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D7EE472-2603-4276-904F-1329F0670626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1. 과정정보" sheetId="1" r:id="rId1"/>
    <sheet name="2. 시간표" sheetId="2" r:id="rId2"/>
    <sheet name="7. 지급표 및 강사정보" sheetId="8" state="hidden" r:id="rId3"/>
    <sheet name="(참고)교과목정보" sheetId="10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5" roundtripDataChecksum="0bVM955WvybugJK+dI++zu9TKUd3VvpB7HmaC0qNKM0="/>
    </ext>
  </extLst>
</workbook>
</file>

<file path=xl/calcChain.xml><?xml version="1.0" encoding="utf-8"?>
<calcChain xmlns="http://schemas.openxmlformats.org/spreadsheetml/2006/main">
  <c r="F268" i="2" l="1"/>
  <c r="G245" i="2"/>
  <c r="F16" i="2"/>
  <c r="F14" i="2"/>
  <c r="F12" i="2"/>
  <c r="F10" i="2"/>
  <c r="F8" i="2"/>
  <c r="F6" i="2"/>
  <c r="K387" i="2"/>
  <c r="J387" i="2"/>
  <c r="I387" i="2"/>
  <c r="H387" i="2"/>
  <c r="G387" i="2"/>
  <c r="F387" i="2"/>
  <c r="E387" i="2"/>
  <c r="D387" i="2"/>
  <c r="K385" i="2"/>
  <c r="J385" i="2"/>
  <c r="I385" i="2"/>
  <c r="H385" i="2"/>
  <c r="G385" i="2"/>
  <c r="F385" i="2"/>
  <c r="E385" i="2"/>
  <c r="D385" i="2"/>
  <c r="K383" i="2"/>
  <c r="J383" i="2"/>
  <c r="I383" i="2"/>
  <c r="H383" i="2"/>
  <c r="G383" i="2"/>
  <c r="F383" i="2"/>
  <c r="E383" i="2"/>
  <c r="D383" i="2"/>
  <c r="K381" i="2"/>
  <c r="J381" i="2"/>
  <c r="I381" i="2"/>
  <c r="H381" i="2"/>
  <c r="G381" i="2"/>
  <c r="F381" i="2"/>
  <c r="E381" i="2"/>
  <c r="D381" i="2"/>
  <c r="K379" i="2"/>
  <c r="J379" i="2"/>
  <c r="I379" i="2"/>
  <c r="H379" i="2"/>
  <c r="G379" i="2"/>
  <c r="F379" i="2"/>
  <c r="E379" i="2"/>
  <c r="D379" i="2"/>
  <c r="K377" i="2"/>
  <c r="J377" i="2"/>
  <c r="I377" i="2"/>
  <c r="H377" i="2"/>
  <c r="G377" i="2"/>
  <c r="F377" i="2"/>
  <c r="E377" i="2"/>
  <c r="D377" i="2"/>
  <c r="K375" i="2"/>
  <c r="J375" i="2"/>
  <c r="I375" i="2"/>
  <c r="H375" i="2"/>
  <c r="G375" i="2"/>
  <c r="F375" i="2"/>
  <c r="E375" i="2"/>
  <c r="D375" i="2"/>
  <c r="K373" i="2"/>
  <c r="J373" i="2"/>
  <c r="I373" i="2"/>
  <c r="H373" i="2"/>
  <c r="G373" i="2"/>
  <c r="F373" i="2"/>
  <c r="E373" i="2"/>
  <c r="D373" i="2"/>
  <c r="K371" i="2"/>
  <c r="J371" i="2"/>
  <c r="I371" i="2"/>
  <c r="H371" i="2"/>
  <c r="G371" i="2"/>
  <c r="F371" i="2"/>
  <c r="E371" i="2"/>
  <c r="D371" i="2"/>
  <c r="K369" i="2"/>
  <c r="J369" i="2"/>
  <c r="I369" i="2"/>
  <c r="H369" i="2"/>
  <c r="G369" i="2"/>
  <c r="F369" i="2"/>
  <c r="E369" i="2"/>
  <c r="D369" i="2"/>
  <c r="K366" i="2"/>
  <c r="J366" i="2"/>
  <c r="I366" i="2"/>
  <c r="H366" i="2"/>
  <c r="G366" i="2"/>
  <c r="F366" i="2"/>
  <c r="E366" i="2"/>
  <c r="D366" i="2"/>
  <c r="K364" i="2"/>
  <c r="J364" i="2"/>
  <c r="I364" i="2"/>
  <c r="H364" i="2"/>
  <c r="G364" i="2"/>
  <c r="F364" i="2"/>
  <c r="E364" i="2"/>
  <c r="D364" i="2"/>
  <c r="K362" i="2"/>
  <c r="J362" i="2"/>
  <c r="I362" i="2"/>
  <c r="H362" i="2"/>
  <c r="G362" i="2"/>
  <c r="F362" i="2"/>
  <c r="E362" i="2"/>
  <c r="D362" i="2"/>
  <c r="K360" i="2"/>
  <c r="J360" i="2"/>
  <c r="I360" i="2"/>
  <c r="H360" i="2"/>
  <c r="G360" i="2"/>
  <c r="F360" i="2"/>
  <c r="E360" i="2"/>
  <c r="D360" i="2"/>
  <c r="K358" i="2"/>
  <c r="J358" i="2"/>
  <c r="I358" i="2"/>
  <c r="H358" i="2"/>
  <c r="G358" i="2"/>
  <c r="F358" i="2"/>
  <c r="E358" i="2"/>
  <c r="D358" i="2"/>
  <c r="K356" i="2"/>
  <c r="J356" i="2"/>
  <c r="I356" i="2"/>
  <c r="H356" i="2"/>
  <c r="G356" i="2"/>
  <c r="F356" i="2"/>
  <c r="E356" i="2"/>
  <c r="D356" i="2"/>
  <c r="D353" i="2"/>
  <c r="I353" i="2" s="1"/>
  <c r="M352" i="2"/>
  <c r="L352" i="2"/>
  <c r="K352" i="2"/>
  <c r="J352" i="2"/>
  <c r="I352" i="2"/>
  <c r="H352" i="2"/>
  <c r="G352" i="2"/>
  <c r="F352" i="2"/>
  <c r="E352" i="2"/>
  <c r="D352" i="2"/>
  <c r="M350" i="2"/>
  <c r="L350" i="2"/>
  <c r="K350" i="2"/>
  <c r="J350" i="2"/>
  <c r="I350" i="2"/>
  <c r="H350" i="2"/>
  <c r="G350" i="2"/>
  <c r="F350" i="2"/>
  <c r="E350" i="2"/>
  <c r="D350" i="2"/>
  <c r="M348" i="2"/>
  <c r="L348" i="2"/>
  <c r="K348" i="2"/>
  <c r="J348" i="2"/>
  <c r="I348" i="2"/>
  <c r="H348" i="2"/>
  <c r="G348" i="2"/>
  <c r="F348" i="2"/>
  <c r="E348" i="2"/>
  <c r="D348" i="2"/>
  <c r="M346" i="2"/>
  <c r="L346" i="2"/>
  <c r="K346" i="2"/>
  <c r="J346" i="2"/>
  <c r="I346" i="2"/>
  <c r="H346" i="2"/>
  <c r="G346" i="2"/>
  <c r="F346" i="2"/>
  <c r="E346" i="2"/>
  <c r="D346" i="2"/>
  <c r="M344" i="2"/>
  <c r="L344" i="2"/>
  <c r="K344" i="2"/>
  <c r="J344" i="2"/>
  <c r="I344" i="2"/>
  <c r="H344" i="2"/>
  <c r="G344" i="2"/>
  <c r="F344" i="2"/>
  <c r="E344" i="2"/>
  <c r="D344" i="2"/>
  <c r="M342" i="2"/>
  <c r="L342" i="2"/>
  <c r="K342" i="2"/>
  <c r="J342" i="2"/>
  <c r="I342" i="2"/>
  <c r="H342" i="2"/>
  <c r="G342" i="2"/>
  <c r="F342" i="2"/>
  <c r="E342" i="2"/>
  <c r="D342" i="2"/>
  <c r="M340" i="2"/>
  <c r="L340" i="2"/>
  <c r="K340" i="2"/>
  <c r="J340" i="2"/>
  <c r="I340" i="2"/>
  <c r="H340" i="2"/>
  <c r="G340" i="2"/>
  <c r="F340" i="2"/>
  <c r="E340" i="2"/>
  <c r="D340" i="2"/>
  <c r="M338" i="2"/>
  <c r="L338" i="2"/>
  <c r="K338" i="2"/>
  <c r="J338" i="2"/>
  <c r="I338" i="2"/>
  <c r="H338" i="2"/>
  <c r="G338" i="2"/>
  <c r="F338" i="2"/>
  <c r="E338" i="2"/>
  <c r="D338" i="2"/>
  <c r="M336" i="2"/>
  <c r="L336" i="2"/>
  <c r="K336" i="2"/>
  <c r="J336" i="2"/>
  <c r="I336" i="2"/>
  <c r="H336" i="2"/>
  <c r="G336" i="2"/>
  <c r="F336" i="2"/>
  <c r="E336" i="2"/>
  <c r="D336" i="2"/>
  <c r="M334" i="2"/>
  <c r="L334" i="2"/>
  <c r="K334" i="2"/>
  <c r="J334" i="2"/>
  <c r="I334" i="2"/>
  <c r="H334" i="2"/>
  <c r="G334" i="2"/>
  <c r="F334" i="2"/>
  <c r="E334" i="2"/>
  <c r="D334" i="2"/>
  <c r="M331" i="2"/>
  <c r="L331" i="2"/>
  <c r="K331" i="2"/>
  <c r="J331" i="2"/>
  <c r="I331" i="2"/>
  <c r="H331" i="2"/>
  <c r="G331" i="2"/>
  <c r="F331" i="2"/>
  <c r="E331" i="2"/>
  <c r="D331" i="2"/>
  <c r="M329" i="2"/>
  <c r="L329" i="2"/>
  <c r="K329" i="2"/>
  <c r="J329" i="2"/>
  <c r="I329" i="2"/>
  <c r="H329" i="2"/>
  <c r="G329" i="2"/>
  <c r="F329" i="2"/>
  <c r="E329" i="2"/>
  <c r="D329" i="2"/>
  <c r="M327" i="2"/>
  <c r="L327" i="2"/>
  <c r="K327" i="2"/>
  <c r="J327" i="2"/>
  <c r="I327" i="2"/>
  <c r="H327" i="2"/>
  <c r="G327" i="2"/>
  <c r="F327" i="2"/>
  <c r="E327" i="2"/>
  <c r="D327" i="2"/>
  <c r="M325" i="2"/>
  <c r="L325" i="2"/>
  <c r="K325" i="2"/>
  <c r="J325" i="2"/>
  <c r="I325" i="2"/>
  <c r="H325" i="2"/>
  <c r="G325" i="2"/>
  <c r="F325" i="2"/>
  <c r="E325" i="2"/>
  <c r="D325" i="2"/>
  <c r="M323" i="2"/>
  <c r="L323" i="2"/>
  <c r="K323" i="2"/>
  <c r="J323" i="2"/>
  <c r="I323" i="2"/>
  <c r="H323" i="2"/>
  <c r="G323" i="2"/>
  <c r="F323" i="2"/>
  <c r="E323" i="2"/>
  <c r="D323" i="2"/>
  <c r="M321" i="2"/>
  <c r="L321" i="2"/>
  <c r="K321" i="2"/>
  <c r="J321" i="2"/>
  <c r="I321" i="2"/>
  <c r="H321" i="2"/>
  <c r="G321" i="2"/>
  <c r="F321" i="2"/>
  <c r="E321" i="2"/>
  <c r="D321" i="2"/>
  <c r="M317" i="2"/>
  <c r="L317" i="2"/>
  <c r="K317" i="2"/>
  <c r="J317" i="2"/>
  <c r="I317" i="2"/>
  <c r="H317" i="2"/>
  <c r="G317" i="2"/>
  <c r="F317" i="2"/>
  <c r="E317" i="2"/>
  <c r="D317" i="2"/>
  <c r="M315" i="2"/>
  <c r="L315" i="2"/>
  <c r="K315" i="2"/>
  <c r="J315" i="2"/>
  <c r="I315" i="2"/>
  <c r="H315" i="2"/>
  <c r="G315" i="2"/>
  <c r="F315" i="2"/>
  <c r="E315" i="2"/>
  <c r="D315" i="2"/>
  <c r="M313" i="2"/>
  <c r="L313" i="2"/>
  <c r="K313" i="2"/>
  <c r="J313" i="2"/>
  <c r="I313" i="2"/>
  <c r="H313" i="2"/>
  <c r="G313" i="2"/>
  <c r="F313" i="2"/>
  <c r="E313" i="2"/>
  <c r="D313" i="2"/>
  <c r="M311" i="2"/>
  <c r="L311" i="2"/>
  <c r="K311" i="2"/>
  <c r="J311" i="2"/>
  <c r="I311" i="2"/>
  <c r="H311" i="2"/>
  <c r="G311" i="2"/>
  <c r="F311" i="2"/>
  <c r="E311" i="2"/>
  <c r="D311" i="2"/>
  <c r="M309" i="2"/>
  <c r="L309" i="2"/>
  <c r="K309" i="2"/>
  <c r="J309" i="2"/>
  <c r="I309" i="2"/>
  <c r="H309" i="2"/>
  <c r="G309" i="2"/>
  <c r="F309" i="2"/>
  <c r="E309" i="2"/>
  <c r="D309" i="2"/>
  <c r="M307" i="2"/>
  <c r="L307" i="2"/>
  <c r="K307" i="2"/>
  <c r="J307" i="2"/>
  <c r="I307" i="2"/>
  <c r="H307" i="2"/>
  <c r="G307" i="2"/>
  <c r="F307" i="2"/>
  <c r="E307" i="2"/>
  <c r="D307" i="2"/>
  <c r="M305" i="2"/>
  <c r="L305" i="2"/>
  <c r="K305" i="2"/>
  <c r="J305" i="2"/>
  <c r="I305" i="2"/>
  <c r="H305" i="2"/>
  <c r="G305" i="2"/>
  <c r="F305" i="2"/>
  <c r="E305" i="2"/>
  <c r="D305" i="2"/>
  <c r="M303" i="2"/>
  <c r="L303" i="2"/>
  <c r="K303" i="2"/>
  <c r="J303" i="2"/>
  <c r="I303" i="2"/>
  <c r="H303" i="2"/>
  <c r="G303" i="2"/>
  <c r="F303" i="2"/>
  <c r="E303" i="2"/>
  <c r="D303" i="2"/>
  <c r="M301" i="2"/>
  <c r="L301" i="2"/>
  <c r="K301" i="2"/>
  <c r="J301" i="2"/>
  <c r="I301" i="2"/>
  <c r="H301" i="2"/>
  <c r="G301" i="2"/>
  <c r="F301" i="2"/>
  <c r="E301" i="2"/>
  <c r="D301" i="2"/>
  <c r="M299" i="2"/>
  <c r="L299" i="2"/>
  <c r="K299" i="2"/>
  <c r="J299" i="2"/>
  <c r="I299" i="2"/>
  <c r="H299" i="2"/>
  <c r="G299" i="2"/>
  <c r="F299" i="2"/>
  <c r="E299" i="2"/>
  <c r="D299" i="2"/>
  <c r="M296" i="2"/>
  <c r="L296" i="2"/>
  <c r="K296" i="2"/>
  <c r="J296" i="2"/>
  <c r="I296" i="2"/>
  <c r="H296" i="2"/>
  <c r="G296" i="2"/>
  <c r="F296" i="2"/>
  <c r="E296" i="2"/>
  <c r="D296" i="2"/>
  <c r="M294" i="2"/>
  <c r="L294" i="2"/>
  <c r="K294" i="2"/>
  <c r="J294" i="2"/>
  <c r="I294" i="2"/>
  <c r="H294" i="2"/>
  <c r="G294" i="2"/>
  <c r="F294" i="2"/>
  <c r="E294" i="2"/>
  <c r="D294" i="2"/>
  <c r="M292" i="2"/>
  <c r="L292" i="2"/>
  <c r="K292" i="2"/>
  <c r="J292" i="2"/>
  <c r="I292" i="2"/>
  <c r="H292" i="2"/>
  <c r="G292" i="2"/>
  <c r="F292" i="2"/>
  <c r="E292" i="2"/>
  <c r="D292" i="2"/>
  <c r="M290" i="2"/>
  <c r="L290" i="2"/>
  <c r="K290" i="2"/>
  <c r="J290" i="2"/>
  <c r="I290" i="2"/>
  <c r="H290" i="2"/>
  <c r="G290" i="2"/>
  <c r="F290" i="2"/>
  <c r="E290" i="2"/>
  <c r="D290" i="2"/>
  <c r="M288" i="2"/>
  <c r="L288" i="2"/>
  <c r="K288" i="2"/>
  <c r="J288" i="2"/>
  <c r="I288" i="2"/>
  <c r="H288" i="2"/>
  <c r="G288" i="2"/>
  <c r="F288" i="2"/>
  <c r="E288" i="2"/>
  <c r="D288" i="2"/>
  <c r="M286" i="2"/>
  <c r="L286" i="2"/>
  <c r="K286" i="2"/>
  <c r="J286" i="2"/>
  <c r="I286" i="2"/>
  <c r="H286" i="2"/>
  <c r="G286" i="2"/>
  <c r="F286" i="2"/>
  <c r="E286" i="2"/>
  <c r="D286" i="2"/>
  <c r="M282" i="2"/>
  <c r="L282" i="2"/>
  <c r="K282" i="2"/>
  <c r="J282" i="2"/>
  <c r="I282" i="2"/>
  <c r="H282" i="2"/>
  <c r="G282" i="2"/>
  <c r="F282" i="2"/>
  <c r="E282" i="2"/>
  <c r="D282" i="2"/>
  <c r="M280" i="2"/>
  <c r="L280" i="2"/>
  <c r="K280" i="2"/>
  <c r="J280" i="2"/>
  <c r="I280" i="2"/>
  <c r="H280" i="2"/>
  <c r="G280" i="2"/>
  <c r="F280" i="2"/>
  <c r="E280" i="2"/>
  <c r="D280" i="2"/>
  <c r="M278" i="2"/>
  <c r="L278" i="2"/>
  <c r="K278" i="2"/>
  <c r="J278" i="2"/>
  <c r="I278" i="2"/>
  <c r="H278" i="2"/>
  <c r="G278" i="2"/>
  <c r="F278" i="2"/>
  <c r="E278" i="2"/>
  <c r="D278" i="2"/>
  <c r="M276" i="2"/>
  <c r="L276" i="2"/>
  <c r="K276" i="2"/>
  <c r="J276" i="2"/>
  <c r="I276" i="2"/>
  <c r="H276" i="2"/>
  <c r="G276" i="2"/>
  <c r="F276" i="2"/>
  <c r="E276" i="2"/>
  <c r="D276" i="2"/>
  <c r="M274" i="2"/>
  <c r="L274" i="2"/>
  <c r="K274" i="2"/>
  <c r="J274" i="2"/>
  <c r="I274" i="2"/>
  <c r="H274" i="2"/>
  <c r="G274" i="2"/>
  <c r="F274" i="2"/>
  <c r="E274" i="2"/>
  <c r="D274" i="2"/>
  <c r="M272" i="2"/>
  <c r="L272" i="2"/>
  <c r="K272" i="2"/>
  <c r="J272" i="2"/>
  <c r="I272" i="2"/>
  <c r="H272" i="2"/>
  <c r="G272" i="2"/>
  <c r="F272" i="2"/>
  <c r="E272" i="2"/>
  <c r="D272" i="2"/>
  <c r="M270" i="2"/>
  <c r="L270" i="2"/>
  <c r="K270" i="2"/>
  <c r="J270" i="2"/>
  <c r="I270" i="2"/>
  <c r="H270" i="2"/>
  <c r="G270" i="2"/>
  <c r="F270" i="2"/>
  <c r="E270" i="2"/>
  <c r="D270" i="2"/>
  <c r="M268" i="2"/>
  <c r="L268" i="2"/>
  <c r="K268" i="2"/>
  <c r="J268" i="2"/>
  <c r="I268" i="2"/>
  <c r="H268" i="2"/>
  <c r="G268" i="2"/>
  <c r="E268" i="2"/>
  <c r="D268" i="2"/>
  <c r="M266" i="2"/>
  <c r="L266" i="2"/>
  <c r="K266" i="2"/>
  <c r="J266" i="2"/>
  <c r="I266" i="2"/>
  <c r="H266" i="2"/>
  <c r="G266" i="2"/>
  <c r="F266" i="2"/>
  <c r="E266" i="2"/>
  <c r="D266" i="2"/>
  <c r="M264" i="2"/>
  <c r="L264" i="2"/>
  <c r="K264" i="2"/>
  <c r="J264" i="2"/>
  <c r="I264" i="2"/>
  <c r="H264" i="2"/>
  <c r="G264" i="2"/>
  <c r="F264" i="2"/>
  <c r="E264" i="2"/>
  <c r="D264" i="2"/>
  <c r="M261" i="2"/>
  <c r="L261" i="2"/>
  <c r="K261" i="2"/>
  <c r="J261" i="2"/>
  <c r="I261" i="2"/>
  <c r="H261" i="2"/>
  <c r="G261" i="2"/>
  <c r="F261" i="2"/>
  <c r="E261" i="2"/>
  <c r="D261" i="2"/>
  <c r="M259" i="2"/>
  <c r="L259" i="2"/>
  <c r="K259" i="2"/>
  <c r="J259" i="2"/>
  <c r="I259" i="2"/>
  <c r="H259" i="2"/>
  <c r="G259" i="2"/>
  <c r="F259" i="2"/>
  <c r="E259" i="2"/>
  <c r="D259" i="2"/>
  <c r="M257" i="2"/>
  <c r="L257" i="2"/>
  <c r="K257" i="2"/>
  <c r="J257" i="2"/>
  <c r="I257" i="2"/>
  <c r="H257" i="2"/>
  <c r="G257" i="2"/>
  <c r="F257" i="2"/>
  <c r="E257" i="2"/>
  <c r="D257" i="2"/>
  <c r="M255" i="2"/>
  <c r="L255" i="2"/>
  <c r="K255" i="2"/>
  <c r="J255" i="2"/>
  <c r="I255" i="2"/>
  <c r="H255" i="2"/>
  <c r="G255" i="2"/>
  <c r="F255" i="2"/>
  <c r="E255" i="2"/>
  <c r="D255" i="2"/>
  <c r="M253" i="2"/>
  <c r="L253" i="2"/>
  <c r="K253" i="2"/>
  <c r="J253" i="2"/>
  <c r="I253" i="2"/>
  <c r="H253" i="2"/>
  <c r="G253" i="2"/>
  <c r="F253" i="2"/>
  <c r="E253" i="2"/>
  <c r="D253" i="2"/>
  <c r="M251" i="2"/>
  <c r="L251" i="2"/>
  <c r="K251" i="2"/>
  <c r="J251" i="2"/>
  <c r="I251" i="2"/>
  <c r="H251" i="2"/>
  <c r="G251" i="2"/>
  <c r="F251" i="2"/>
  <c r="E251" i="2"/>
  <c r="D251" i="2"/>
  <c r="M247" i="2"/>
  <c r="L247" i="2"/>
  <c r="K247" i="2"/>
  <c r="J247" i="2"/>
  <c r="I247" i="2"/>
  <c r="H247" i="2"/>
  <c r="G247" i="2"/>
  <c r="F247" i="2"/>
  <c r="E247" i="2"/>
  <c r="D247" i="2"/>
  <c r="M245" i="2"/>
  <c r="L245" i="2"/>
  <c r="K245" i="2"/>
  <c r="J245" i="2"/>
  <c r="I245" i="2"/>
  <c r="H245" i="2"/>
  <c r="F245" i="2"/>
  <c r="E245" i="2"/>
  <c r="D245" i="2"/>
  <c r="M243" i="2"/>
  <c r="L243" i="2"/>
  <c r="K243" i="2"/>
  <c r="J243" i="2"/>
  <c r="I243" i="2"/>
  <c r="H243" i="2"/>
  <c r="G243" i="2"/>
  <c r="F243" i="2"/>
  <c r="E243" i="2"/>
  <c r="D243" i="2"/>
  <c r="M241" i="2"/>
  <c r="L241" i="2"/>
  <c r="K241" i="2"/>
  <c r="J241" i="2"/>
  <c r="I241" i="2"/>
  <c r="H241" i="2"/>
  <c r="G241" i="2"/>
  <c r="F241" i="2"/>
  <c r="E241" i="2"/>
  <c r="D241" i="2"/>
  <c r="M239" i="2"/>
  <c r="L239" i="2"/>
  <c r="K239" i="2"/>
  <c r="J239" i="2"/>
  <c r="I239" i="2"/>
  <c r="H239" i="2"/>
  <c r="G239" i="2"/>
  <c r="F239" i="2"/>
  <c r="E239" i="2"/>
  <c r="D239" i="2"/>
  <c r="M237" i="2"/>
  <c r="L237" i="2"/>
  <c r="K237" i="2"/>
  <c r="J237" i="2"/>
  <c r="I237" i="2"/>
  <c r="H237" i="2"/>
  <c r="G237" i="2"/>
  <c r="F237" i="2"/>
  <c r="E237" i="2"/>
  <c r="D237" i="2"/>
  <c r="M235" i="2"/>
  <c r="L235" i="2"/>
  <c r="K235" i="2"/>
  <c r="J235" i="2"/>
  <c r="I235" i="2"/>
  <c r="H235" i="2"/>
  <c r="G235" i="2"/>
  <c r="F235" i="2"/>
  <c r="E235" i="2"/>
  <c r="D235" i="2"/>
  <c r="M233" i="2"/>
  <c r="L233" i="2"/>
  <c r="K233" i="2"/>
  <c r="J233" i="2"/>
  <c r="I233" i="2"/>
  <c r="H233" i="2"/>
  <c r="G233" i="2"/>
  <c r="F233" i="2"/>
  <c r="E233" i="2"/>
  <c r="D233" i="2"/>
  <c r="M231" i="2"/>
  <c r="L231" i="2"/>
  <c r="K231" i="2"/>
  <c r="J231" i="2"/>
  <c r="I231" i="2"/>
  <c r="H231" i="2"/>
  <c r="G231" i="2"/>
  <c r="F231" i="2"/>
  <c r="E231" i="2"/>
  <c r="D231" i="2"/>
  <c r="M229" i="2"/>
  <c r="L229" i="2"/>
  <c r="K229" i="2"/>
  <c r="J229" i="2"/>
  <c r="I229" i="2"/>
  <c r="H229" i="2"/>
  <c r="G229" i="2"/>
  <c r="F229" i="2"/>
  <c r="E229" i="2"/>
  <c r="D229" i="2"/>
  <c r="M226" i="2"/>
  <c r="L226" i="2"/>
  <c r="K226" i="2"/>
  <c r="J226" i="2"/>
  <c r="I226" i="2"/>
  <c r="H226" i="2"/>
  <c r="G226" i="2"/>
  <c r="F226" i="2"/>
  <c r="E226" i="2"/>
  <c r="D226" i="2"/>
  <c r="M224" i="2"/>
  <c r="L224" i="2"/>
  <c r="K224" i="2"/>
  <c r="J224" i="2"/>
  <c r="I224" i="2"/>
  <c r="H224" i="2"/>
  <c r="G224" i="2"/>
  <c r="F224" i="2"/>
  <c r="E224" i="2"/>
  <c r="D224" i="2"/>
  <c r="M222" i="2"/>
  <c r="L222" i="2"/>
  <c r="K222" i="2"/>
  <c r="J222" i="2"/>
  <c r="I222" i="2"/>
  <c r="H222" i="2"/>
  <c r="G222" i="2"/>
  <c r="F222" i="2"/>
  <c r="E222" i="2"/>
  <c r="D222" i="2"/>
  <c r="M220" i="2"/>
  <c r="L220" i="2"/>
  <c r="K220" i="2"/>
  <c r="J220" i="2"/>
  <c r="I220" i="2"/>
  <c r="H220" i="2"/>
  <c r="G220" i="2"/>
  <c r="F220" i="2"/>
  <c r="E220" i="2"/>
  <c r="D220" i="2"/>
  <c r="M218" i="2"/>
  <c r="L218" i="2"/>
  <c r="K218" i="2"/>
  <c r="J218" i="2"/>
  <c r="I218" i="2"/>
  <c r="H218" i="2"/>
  <c r="G218" i="2"/>
  <c r="F218" i="2"/>
  <c r="E218" i="2"/>
  <c r="D218" i="2"/>
  <c r="M216" i="2"/>
  <c r="L216" i="2"/>
  <c r="K216" i="2"/>
  <c r="J216" i="2"/>
  <c r="I216" i="2"/>
  <c r="H216" i="2"/>
  <c r="G216" i="2"/>
  <c r="F216" i="2"/>
  <c r="E216" i="2"/>
  <c r="D216" i="2"/>
  <c r="M212" i="2"/>
  <c r="L212" i="2"/>
  <c r="K212" i="2"/>
  <c r="J212" i="2"/>
  <c r="I212" i="2"/>
  <c r="H212" i="2"/>
  <c r="G212" i="2"/>
  <c r="F212" i="2"/>
  <c r="E212" i="2"/>
  <c r="D212" i="2"/>
  <c r="M210" i="2"/>
  <c r="L210" i="2"/>
  <c r="K210" i="2"/>
  <c r="J210" i="2"/>
  <c r="I210" i="2"/>
  <c r="H210" i="2"/>
  <c r="G210" i="2"/>
  <c r="F210" i="2"/>
  <c r="E210" i="2"/>
  <c r="D210" i="2"/>
  <c r="M208" i="2"/>
  <c r="L208" i="2"/>
  <c r="K208" i="2"/>
  <c r="J208" i="2"/>
  <c r="I208" i="2"/>
  <c r="H208" i="2"/>
  <c r="G208" i="2"/>
  <c r="F208" i="2"/>
  <c r="E208" i="2"/>
  <c r="D208" i="2"/>
  <c r="M206" i="2"/>
  <c r="L206" i="2"/>
  <c r="K206" i="2"/>
  <c r="J206" i="2"/>
  <c r="I206" i="2"/>
  <c r="H206" i="2"/>
  <c r="G206" i="2"/>
  <c r="F206" i="2"/>
  <c r="E206" i="2"/>
  <c r="D206" i="2"/>
  <c r="M204" i="2"/>
  <c r="L204" i="2"/>
  <c r="K204" i="2"/>
  <c r="J204" i="2"/>
  <c r="I204" i="2"/>
  <c r="H204" i="2"/>
  <c r="G204" i="2"/>
  <c r="F204" i="2"/>
  <c r="E204" i="2"/>
  <c r="D204" i="2"/>
  <c r="M202" i="2"/>
  <c r="L202" i="2"/>
  <c r="K202" i="2"/>
  <c r="J202" i="2"/>
  <c r="I202" i="2"/>
  <c r="H202" i="2"/>
  <c r="G202" i="2"/>
  <c r="F202" i="2"/>
  <c r="E202" i="2"/>
  <c r="D202" i="2"/>
  <c r="M200" i="2"/>
  <c r="L200" i="2"/>
  <c r="K200" i="2"/>
  <c r="J200" i="2"/>
  <c r="I200" i="2"/>
  <c r="H200" i="2"/>
  <c r="G200" i="2"/>
  <c r="F200" i="2"/>
  <c r="E200" i="2"/>
  <c r="D200" i="2"/>
  <c r="M198" i="2"/>
  <c r="L198" i="2"/>
  <c r="K198" i="2"/>
  <c r="J198" i="2"/>
  <c r="I198" i="2"/>
  <c r="H198" i="2"/>
  <c r="G198" i="2"/>
  <c r="F198" i="2"/>
  <c r="E198" i="2"/>
  <c r="D198" i="2"/>
  <c r="M196" i="2"/>
  <c r="L196" i="2"/>
  <c r="K196" i="2"/>
  <c r="J196" i="2"/>
  <c r="I196" i="2"/>
  <c r="H196" i="2"/>
  <c r="G196" i="2"/>
  <c r="F196" i="2"/>
  <c r="E196" i="2"/>
  <c r="D196" i="2"/>
  <c r="M194" i="2"/>
  <c r="L194" i="2"/>
  <c r="K194" i="2"/>
  <c r="J194" i="2"/>
  <c r="I194" i="2"/>
  <c r="H194" i="2"/>
  <c r="G194" i="2"/>
  <c r="F194" i="2"/>
  <c r="E194" i="2"/>
  <c r="D194" i="2"/>
  <c r="M191" i="2"/>
  <c r="L191" i="2"/>
  <c r="K191" i="2"/>
  <c r="J191" i="2"/>
  <c r="I191" i="2"/>
  <c r="H191" i="2"/>
  <c r="G191" i="2"/>
  <c r="F191" i="2"/>
  <c r="E191" i="2"/>
  <c r="D191" i="2"/>
  <c r="M189" i="2"/>
  <c r="L189" i="2"/>
  <c r="K189" i="2"/>
  <c r="J189" i="2"/>
  <c r="I189" i="2"/>
  <c r="H189" i="2"/>
  <c r="G189" i="2"/>
  <c r="F189" i="2"/>
  <c r="E189" i="2"/>
  <c r="D189" i="2"/>
  <c r="M187" i="2"/>
  <c r="L187" i="2"/>
  <c r="K187" i="2"/>
  <c r="J187" i="2"/>
  <c r="I187" i="2"/>
  <c r="H187" i="2"/>
  <c r="G187" i="2"/>
  <c r="F187" i="2"/>
  <c r="E187" i="2"/>
  <c r="D187" i="2"/>
  <c r="M185" i="2"/>
  <c r="L185" i="2"/>
  <c r="K185" i="2"/>
  <c r="J185" i="2"/>
  <c r="I185" i="2"/>
  <c r="H185" i="2"/>
  <c r="G185" i="2"/>
  <c r="F185" i="2"/>
  <c r="E185" i="2"/>
  <c r="D185" i="2"/>
  <c r="M183" i="2"/>
  <c r="L183" i="2"/>
  <c r="K183" i="2"/>
  <c r="J183" i="2"/>
  <c r="I183" i="2"/>
  <c r="H183" i="2"/>
  <c r="G183" i="2"/>
  <c r="F183" i="2"/>
  <c r="E183" i="2"/>
  <c r="D183" i="2"/>
  <c r="M181" i="2"/>
  <c r="L181" i="2"/>
  <c r="K181" i="2"/>
  <c r="J181" i="2"/>
  <c r="I181" i="2"/>
  <c r="H181" i="2"/>
  <c r="G181" i="2"/>
  <c r="F181" i="2"/>
  <c r="E181" i="2"/>
  <c r="D181" i="2"/>
  <c r="M177" i="2"/>
  <c r="L177" i="2"/>
  <c r="K177" i="2"/>
  <c r="J177" i="2"/>
  <c r="I177" i="2"/>
  <c r="H177" i="2"/>
  <c r="G177" i="2"/>
  <c r="F177" i="2"/>
  <c r="E177" i="2"/>
  <c r="D177" i="2"/>
  <c r="M175" i="2"/>
  <c r="L175" i="2"/>
  <c r="K175" i="2"/>
  <c r="J175" i="2"/>
  <c r="I175" i="2"/>
  <c r="H175" i="2"/>
  <c r="G175" i="2"/>
  <c r="F175" i="2"/>
  <c r="E175" i="2"/>
  <c r="D175" i="2"/>
  <c r="M173" i="2"/>
  <c r="L173" i="2"/>
  <c r="K173" i="2"/>
  <c r="J173" i="2"/>
  <c r="I173" i="2"/>
  <c r="H173" i="2"/>
  <c r="G173" i="2"/>
  <c r="F173" i="2"/>
  <c r="E173" i="2"/>
  <c r="D173" i="2"/>
  <c r="M171" i="2"/>
  <c r="L171" i="2"/>
  <c r="K171" i="2"/>
  <c r="J171" i="2"/>
  <c r="I171" i="2"/>
  <c r="H171" i="2"/>
  <c r="G171" i="2"/>
  <c r="F171" i="2"/>
  <c r="E171" i="2"/>
  <c r="D171" i="2"/>
  <c r="M169" i="2"/>
  <c r="L169" i="2"/>
  <c r="K169" i="2"/>
  <c r="J169" i="2"/>
  <c r="I169" i="2"/>
  <c r="H169" i="2"/>
  <c r="G169" i="2"/>
  <c r="F169" i="2"/>
  <c r="E169" i="2"/>
  <c r="D169" i="2"/>
  <c r="M167" i="2"/>
  <c r="L167" i="2"/>
  <c r="K167" i="2"/>
  <c r="J167" i="2"/>
  <c r="I167" i="2"/>
  <c r="H167" i="2"/>
  <c r="G167" i="2"/>
  <c r="F167" i="2"/>
  <c r="E167" i="2"/>
  <c r="D167" i="2"/>
  <c r="M165" i="2"/>
  <c r="L165" i="2"/>
  <c r="K165" i="2"/>
  <c r="J165" i="2"/>
  <c r="I165" i="2"/>
  <c r="H165" i="2"/>
  <c r="G165" i="2"/>
  <c r="F165" i="2"/>
  <c r="E165" i="2"/>
  <c r="D165" i="2"/>
  <c r="M163" i="2"/>
  <c r="L163" i="2"/>
  <c r="K163" i="2"/>
  <c r="J163" i="2"/>
  <c r="I163" i="2"/>
  <c r="H163" i="2"/>
  <c r="G163" i="2"/>
  <c r="F163" i="2"/>
  <c r="E163" i="2"/>
  <c r="D163" i="2"/>
  <c r="M161" i="2"/>
  <c r="L161" i="2"/>
  <c r="K161" i="2"/>
  <c r="J161" i="2"/>
  <c r="I161" i="2"/>
  <c r="H161" i="2"/>
  <c r="G161" i="2"/>
  <c r="F161" i="2"/>
  <c r="E161" i="2"/>
  <c r="D161" i="2"/>
  <c r="M159" i="2"/>
  <c r="L159" i="2"/>
  <c r="K159" i="2"/>
  <c r="J159" i="2"/>
  <c r="I159" i="2"/>
  <c r="H159" i="2"/>
  <c r="G159" i="2"/>
  <c r="F159" i="2"/>
  <c r="E159" i="2"/>
  <c r="D159" i="2"/>
  <c r="M156" i="2"/>
  <c r="L156" i="2"/>
  <c r="K156" i="2"/>
  <c r="J156" i="2"/>
  <c r="I156" i="2"/>
  <c r="H156" i="2"/>
  <c r="G156" i="2"/>
  <c r="F156" i="2"/>
  <c r="E156" i="2"/>
  <c r="D156" i="2"/>
  <c r="M154" i="2"/>
  <c r="L154" i="2"/>
  <c r="K154" i="2"/>
  <c r="J154" i="2"/>
  <c r="I154" i="2"/>
  <c r="H154" i="2"/>
  <c r="G154" i="2"/>
  <c r="F154" i="2"/>
  <c r="E154" i="2"/>
  <c r="D154" i="2"/>
  <c r="M152" i="2"/>
  <c r="L152" i="2"/>
  <c r="K152" i="2"/>
  <c r="J152" i="2"/>
  <c r="I152" i="2"/>
  <c r="H152" i="2"/>
  <c r="G152" i="2"/>
  <c r="F152" i="2"/>
  <c r="E152" i="2"/>
  <c r="D152" i="2"/>
  <c r="M150" i="2"/>
  <c r="L150" i="2"/>
  <c r="K150" i="2"/>
  <c r="J150" i="2"/>
  <c r="I150" i="2"/>
  <c r="H150" i="2"/>
  <c r="G150" i="2"/>
  <c r="F150" i="2"/>
  <c r="E150" i="2"/>
  <c r="D150" i="2"/>
  <c r="M148" i="2"/>
  <c r="L148" i="2"/>
  <c r="K148" i="2"/>
  <c r="J148" i="2"/>
  <c r="I148" i="2"/>
  <c r="H148" i="2"/>
  <c r="G148" i="2"/>
  <c r="F148" i="2"/>
  <c r="E148" i="2"/>
  <c r="D148" i="2"/>
  <c r="M146" i="2"/>
  <c r="L146" i="2"/>
  <c r="K146" i="2"/>
  <c r="J146" i="2"/>
  <c r="I146" i="2"/>
  <c r="H146" i="2"/>
  <c r="G146" i="2"/>
  <c r="F146" i="2"/>
  <c r="E146" i="2"/>
  <c r="D146" i="2"/>
  <c r="M142" i="2"/>
  <c r="L142" i="2"/>
  <c r="K142" i="2"/>
  <c r="J142" i="2"/>
  <c r="I142" i="2"/>
  <c r="H142" i="2"/>
  <c r="G142" i="2"/>
  <c r="F142" i="2"/>
  <c r="E142" i="2"/>
  <c r="D142" i="2"/>
  <c r="M140" i="2"/>
  <c r="L140" i="2"/>
  <c r="K140" i="2"/>
  <c r="J140" i="2"/>
  <c r="I140" i="2"/>
  <c r="H140" i="2"/>
  <c r="G140" i="2"/>
  <c r="F140" i="2"/>
  <c r="E140" i="2"/>
  <c r="D140" i="2"/>
  <c r="M138" i="2"/>
  <c r="L138" i="2"/>
  <c r="K138" i="2"/>
  <c r="J138" i="2"/>
  <c r="I138" i="2"/>
  <c r="H138" i="2"/>
  <c r="G138" i="2"/>
  <c r="F138" i="2"/>
  <c r="E138" i="2"/>
  <c r="D138" i="2"/>
  <c r="M136" i="2"/>
  <c r="L136" i="2"/>
  <c r="K136" i="2"/>
  <c r="J136" i="2"/>
  <c r="I136" i="2"/>
  <c r="H136" i="2"/>
  <c r="G136" i="2"/>
  <c r="F136" i="2"/>
  <c r="E136" i="2"/>
  <c r="D136" i="2"/>
  <c r="M134" i="2"/>
  <c r="L134" i="2"/>
  <c r="K134" i="2"/>
  <c r="J134" i="2"/>
  <c r="I134" i="2"/>
  <c r="H134" i="2"/>
  <c r="G134" i="2"/>
  <c r="F134" i="2"/>
  <c r="E134" i="2"/>
  <c r="D134" i="2"/>
  <c r="M132" i="2"/>
  <c r="L132" i="2"/>
  <c r="K132" i="2"/>
  <c r="J132" i="2"/>
  <c r="I132" i="2"/>
  <c r="H132" i="2"/>
  <c r="G132" i="2"/>
  <c r="F132" i="2"/>
  <c r="E132" i="2"/>
  <c r="D132" i="2"/>
  <c r="M130" i="2"/>
  <c r="L130" i="2"/>
  <c r="K130" i="2"/>
  <c r="J130" i="2"/>
  <c r="I130" i="2"/>
  <c r="H130" i="2"/>
  <c r="G130" i="2"/>
  <c r="F130" i="2"/>
  <c r="E130" i="2"/>
  <c r="D130" i="2"/>
  <c r="M128" i="2"/>
  <c r="L128" i="2"/>
  <c r="K128" i="2"/>
  <c r="J128" i="2"/>
  <c r="I128" i="2"/>
  <c r="H128" i="2"/>
  <c r="G128" i="2"/>
  <c r="F128" i="2"/>
  <c r="E128" i="2"/>
  <c r="D128" i="2"/>
  <c r="M126" i="2"/>
  <c r="L126" i="2"/>
  <c r="K126" i="2"/>
  <c r="J126" i="2"/>
  <c r="I126" i="2"/>
  <c r="H126" i="2"/>
  <c r="G126" i="2"/>
  <c r="F126" i="2"/>
  <c r="E126" i="2"/>
  <c r="D126" i="2"/>
  <c r="M124" i="2"/>
  <c r="L124" i="2"/>
  <c r="K124" i="2"/>
  <c r="J124" i="2"/>
  <c r="I124" i="2"/>
  <c r="H124" i="2"/>
  <c r="G124" i="2"/>
  <c r="F124" i="2"/>
  <c r="E124" i="2"/>
  <c r="D124" i="2"/>
  <c r="M121" i="2"/>
  <c r="L121" i="2"/>
  <c r="K121" i="2"/>
  <c r="J121" i="2"/>
  <c r="I121" i="2"/>
  <c r="H121" i="2"/>
  <c r="G121" i="2"/>
  <c r="F121" i="2"/>
  <c r="E121" i="2"/>
  <c r="D121" i="2"/>
  <c r="M119" i="2"/>
  <c r="L119" i="2"/>
  <c r="K119" i="2"/>
  <c r="J119" i="2"/>
  <c r="I119" i="2"/>
  <c r="H119" i="2"/>
  <c r="G119" i="2"/>
  <c r="F119" i="2"/>
  <c r="E119" i="2"/>
  <c r="D119" i="2"/>
  <c r="M117" i="2"/>
  <c r="L117" i="2"/>
  <c r="K117" i="2"/>
  <c r="J117" i="2"/>
  <c r="I117" i="2"/>
  <c r="H117" i="2"/>
  <c r="G117" i="2"/>
  <c r="F117" i="2"/>
  <c r="E117" i="2"/>
  <c r="D117" i="2"/>
  <c r="M115" i="2"/>
  <c r="L115" i="2"/>
  <c r="K115" i="2"/>
  <c r="J115" i="2"/>
  <c r="I115" i="2"/>
  <c r="H115" i="2"/>
  <c r="G115" i="2"/>
  <c r="F115" i="2"/>
  <c r="E115" i="2"/>
  <c r="D115" i="2"/>
  <c r="M113" i="2"/>
  <c r="L113" i="2"/>
  <c r="K113" i="2"/>
  <c r="J113" i="2"/>
  <c r="I113" i="2"/>
  <c r="H113" i="2"/>
  <c r="G113" i="2"/>
  <c r="F113" i="2"/>
  <c r="E113" i="2"/>
  <c r="D113" i="2"/>
  <c r="M111" i="2"/>
  <c r="L111" i="2"/>
  <c r="K111" i="2"/>
  <c r="J111" i="2"/>
  <c r="I111" i="2"/>
  <c r="H111" i="2"/>
  <c r="G111" i="2"/>
  <c r="F111" i="2"/>
  <c r="E111" i="2"/>
  <c r="D111" i="2"/>
  <c r="M107" i="2"/>
  <c r="L107" i="2"/>
  <c r="K107" i="2"/>
  <c r="J107" i="2"/>
  <c r="I107" i="2"/>
  <c r="H107" i="2"/>
  <c r="G107" i="2"/>
  <c r="F107" i="2"/>
  <c r="E107" i="2"/>
  <c r="D107" i="2"/>
  <c r="M105" i="2"/>
  <c r="L105" i="2"/>
  <c r="K105" i="2"/>
  <c r="J105" i="2"/>
  <c r="I105" i="2"/>
  <c r="H105" i="2"/>
  <c r="G105" i="2"/>
  <c r="F105" i="2"/>
  <c r="E105" i="2"/>
  <c r="D105" i="2"/>
  <c r="M103" i="2"/>
  <c r="L103" i="2"/>
  <c r="K103" i="2"/>
  <c r="J103" i="2"/>
  <c r="I103" i="2"/>
  <c r="H103" i="2"/>
  <c r="G103" i="2"/>
  <c r="F103" i="2"/>
  <c r="E103" i="2"/>
  <c r="D103" i="2"/>
  <c r="M101" i="2"/>
  <c r="L101" i="2"/>
  <c r="K101" i="2"/>
  <c r="J101" i="2"/>
  <c r="I101" i="2"/>
  <c r="H101" i="2"/>
  <c r="G101" i="2"/>
  <c r="F101" i="2"/>
  <c r="E101" i="2"/>
  <c r="D101" i="2"/>
  <c r="M99" i="2"/>
  <c r="L99" i="2"/>
  <c r="K99" i="2"/>
  <c r="J99" i="2"/>
  <c r="I99" i="2"/>
  <c r="H99" i="2"/>
  <c r="G99" i="2"/>
  <c r="F99" i="2"/>
  <c r="E99" i="2"/>
  <c r="D99" i="2"/>
  <c r="M97" i="2"/>
  <c r="L97" i="2"/>
  <c r="K97" i="2"/>
  <c r="J97" i="2"/>
  <c r="I97" i="2"/>
  <c r="H97" i="2"/>
  <c r="G97" i="2"/>
  <c r="F97" i="2"/>
  <c r="E97" i="2"/>
  <c r="D97" i="2"/>
  <c r="M95" i="2"/>
  <c r="L95" i="2"/>
  <c r="K95" i="2"/>
  <c r="J95" i="2"/>
  <c r="I95" i="2"/>
  <c r="H95" i="2"/>
  <c r="G95" i="2"/>
  <c r="F95" i="2"/>
  <c r="E95" i="2"/>
  <c r="D95" i="2"/>
  <c r="M93" i="2"/>
  <c r="L93" i="2"/>
  <c r="K93" i="2"/>
  <c r="J93" i="2"/>
  <c r="I93" i="2"/>
  <c r="H93" i="2"/>
  <c r="G93" i="2"/>
  <c r="F93" i="2"/>
  <c r="E93" i="2"/>
  <c r="D93" i="2"/>
  <c r="M91" i="2"/>
  <c r="L91" i="2"/>
  <c r="K91" i="2"/>
  <c r="J91" i="2"/>
  <c r="I91" i="2"/>
  <c r="H91" i="2"/>
  <c r="G91" i="2"/>
  <c r="F91" i="2"/>
  <c r="E91" i="2"/>
  <c r="D91" i="2"/>
  <c r="M89" i="2"/>
  <c r="L89" i="2"/>
  <c r="K89" i="2"/>
  <c r="J89" i="2"/>
  <c r="I89" i="2"/>
  <c r="H89" i="2"/>
  <c r="G89" i="2"/>
  <c r="F89" i="2"/>
  <c r="E89" i="2"/>
  <c r="D89" i="2"/>
  <c r="M86" i="2"/>
  <c r="L86" i="2"/>
  <c r="K86" i="2"/>
  <c r="J86" i="2"/>
  <c r="I86" i="2"/>
  <c r="H86" i="2"/>
  <c r="G86" i="2"/>
  <c r="F86" i="2"/>
  <c r="E86" i="2"/>
  <c r="D86" i="2"/>
  <c r="M84" i="2"/>
  <c r="L84" i="2"/>
  <c r="K84" i="2"/>
  <c r="J84" i="2"/>
  <c r="I84" i="2"/>
  <c r="H84" i="2"/>
  <c r="G84" i="2"/>
  <c r="F84" i="2"/>
  <c r="E84" i="2"/>
  <c r="D84" i="2"/>
  <c r="M82" i="2"/>
  <c r="L82" i="2"/>
  <c r="K82" i="2"/>
  <c r="J82" i="2"/>
  <c r="I82" i="2"/>
  <c r="H82" i="2"/>
  <c r="G82" i="2"/>
  <c r="F82" i="2"/>
  <c r="E82" i="2"/>
  <c r="D82" i="2"/>
  <c r="M80" i="2"/>
  <c r="L80" i="2"/>
  <c r="K80" i="2"/>
  <c r="J80" i="2"/>
  <c r="I80" i="2"/>
  <c r="H80" i="2"/>
  <c r="G80" i="2"/>
  <c r="F80" i="2"/>
  <c r="E80" i="2"/>
  <c r="D80" i="2"/>
  <c r="M78" i="2"/>
  <c r="L78" i="2"/>
  <c r="K78" i="2"/>
  <c r="J78" i="2"/>
  <c r="I78" i="2"/>
  <c r="H78" i="2"/>
  <c r="G78" i="2"/>
  <c r="F78" i="2"/>
  <c r="E78" i="2"/>
  <c r="D78" i="2"/>
  <c r="M76" i="2"/>
  <c r="L76" i="2"/>
  <c r="K76" i="2"/>
  <c r="J76" i="2"/>
  <c r="I76" i="2"/>
  <c r="H76" i="2"/>
  <c r="G76" i="2"/>
  <c r="F76" i="2"/>
  <c r="E76" i="2"/>
  <c r="D76" i="2"/>
  <c r="M72" i="2"/>
  <c r="L72" i="2"/>
  <c r="K72" i="2"/>
  <c r="J72" i="2"/>
  <c r="I72" i="2"/>
  <c r="H72" i="2"/>
  <c r="G72" i="2"/>
  <c r="F72" i="2"/>
  <c r="E72" i="2"/>
  <c r="D72" i="2"/>
  <c r="M70" i="2"/>
  <c r="L70" i="2"/>
  <c r="K70" i="2"/>
  <c r="J70" i="2"/>
  <c r="I70" i="2"/>
  <c r="H70" i="2"/>
  <c r="G70" i="2"/>
  <c r="F70" i="2"/>
  <c r="E70" i="2"/>
  <c r="D70" i="2"/>
  <c r="M68" i="2"/>
  <c r="L68" i="2"/>
  <c r="K68" i="2"/>
  <c r="J68" i="2"/>
  <c r="I68" i="2"/>
  <c r="H68" i="2"/>
  <c r="G68" i="2"/>
  <c r="F68" i="2"/>
  <c r="E68" i="2"/>
  <c r="D68" i="2"/>
  <c r="M66" i="2"/>
  <c r="L66" i="2"/>
  <c r="K66" i="2"/>
  <c r="J66" i="2"/>
  <c r="I66" i="2"/>
  <c r="H66" i="2"/>
  <c r="G66" i="2"/>
  <c r="F66" i="2"/>
  <c r="E66" i="2"/>
  <c r="D66" i="2"/>
  <c r="M64" i="2"/>
  <c r="L64" i="2"/>
  <c r="K64" i="2"/>
  <c r="J64" i="2"/>
  <c r="I64" i="2"/>
  <c r="H64" i="2"/>
  <c r="G64" i="2"/>
  <c r="F64" i="2"/>
  <c r="E64" i="2"/>
  <c r="D64" i="2"/>
  <c r="M62" i="2"/>
  <c r="L62" i="2"/>
  <c r="K62" i="2"/>
  <c r="J62" i="2"/>
  <c r="I62" i="2"/>
  <c r="H62" i="2"/>
  <c r="G62" i="2"/>
  <c r="F62" i="2"/>
  <c r="E62" i="2"/>
  <c r="D62" i="2"/>
  <c r="M60" i="2"/>
  <c r="L60" i="2"/>
  <c r="K60" i="2"/>
  <c r="J60" i="2"/>
  <c r="I60" i="2"/>
  <c r="H60" i="2"/>
  <c r="G60" i="2"/>
  <c r="F60" i="2"/>
  <c r="E60" i="2"/>
  <c r="D60" i="2"/>
  <c r="M58" i="2"/>
  <c r="L58" i="2"/>
  <c r="K58" i="2"/>
  <c r="J58" i="2"/>
  <c r="I58" i="2"/>
  <c r="H58" i="2"/>
  <c r="G58" i="2"/>
  <c r="F58" i="2"/>
  <c r="E58" i="2"/>
  <c r="D58" i="2"/>
  <c r="M56" i="2"/>
  <c r="L56" i="2"/>
  <c r="K56" i="2"/>
  <c r="J56" i="2"/>
  <c r="I56" i="2"/>
  <c r="H56" i="2"/>
  <c r="G56" i="2"/>
  <c r="F56" i="2"/>
  <c r="E56" i="2"/>
  <c r="D56" i="2"/>
  <c r="M54" i="2"/>
  <c r="L54" i="2"/>
  <c r="K54" i="2"/>
  <c r="J54" i="2"/>
  <c r="I54" i="2"/>
  <c r="H54" i="2"/>
  <c r="G54" i="2"/>
  <c r="F54" i="2"/>
  <c r="E54" i="2"/>
  <c r="D54" i="2"/>
  <c r="M51" i="2"/>
  <c r="L51" i="2"/>
  <c r="K51" i="2"/>
  <c r="J51" i="2"/>
  <c r="I51" i="2"/>
  <c r="H51" i="2"/>
  <c r="G51" i="2"/>
  <c r="F51" i="2"/>
  <c r="E51" i="2"/>
  <c r="D51" i="2"/>
  <c r="M49" i="2"/>
  <c r="L49" i="2"/>
  <c r="K49" i="2"/>
  <c r="J49" i="2"/>
  <c r="I49" i="2"/>
  <c r="H49" i="2"/>
  <c r="G49" i="2"/>
  <c r="F49" i="2"/>
  <c r="E49" i="2"/>
  <c r="D49" i="2"/>
  <c r="M47" i="2"/>
  <c r="L47" i="2"/>
  <c r="K47" i="2"/>
  <c r="J47" i="2"/>
  <c r="I47" i="2"/>
  <c r="H47" i="2"/>
  <c r="G47" i="2"/>
  <c r="F47" i="2"/>
  <c r="E47" i="2"/>
  <c r="D47" i="2"/>
  <c r="M45" i="2"/>
  <c r="L45" i="2"/>
  <c r="K45" i="2"/>
  <c r="J45" i="2"/>
  <c r="I45" i="2"/>
  <c r="H45" i="2"/>
  <c r="G45" i="2"/>
  <c r="F45" i="2"/>
  <c r="E45" i="2"/>
  <c r="D45" i="2"/>
  <c r="M43" i="2"/>
  <c r="L43" i="2"/>
  <c r="K43" i="2"/>
  <c r="J43" i="2"/>
  <c r="I43" i="2"/>
  <c r="H43" i="2"/>
  <c r="G43" i="2"/>
  <c r="F43" i="2"/>
  <c r="E43" i="2"/>
  <c r="D43" i="2"/>
  <c r="M41" i="2"/>
  <c r="L41" i="2"/>
  <c r="K41" i="2"/>
  <c r="J41" i="2"/>
  <c r="I41" i="2"/>
  <c r="H41" i="2"/>
  <c r="G41" i="2"/>
  <c r="F41" i="2"/>
  <c r="E41" i="2"/>
  <c r="D41" i="2"/>
  <c r="D37" i="2"/>
  <c r="D35" i="2"/>
  <c r="D33" i="2"/>
  <c r="D31" i="2"/>
  <c r="D29" i="2"/>
  <c r="D27" i="2"/>
  <c r="D25" i="2"/>
  <c r="D23" i="2"/>
  <c r="D21" i="2"/>
  <c r="D19" i="2"/>
  <c r="D16" i="2"/>
  <c r="D14" i="2"/>
  <c r="D12" i="2"/>
  <c r="D10" i="2"/>
  <c r="D8" i="2"/>
  <c r="D6" i="2"/>
  <c r="I37" i="2"/>
  <c r="I35" i="2"/>
  <c r="I33" i="2"/>
  <c r="I31" i="2"/>
  <c r="I29" i="2"/>
  <c r="I27" i="2"/>
  <c r="I25" i="2"/>
  <c r="I23" i="2"/>
  <c r="I21" i="2"/>
  <c r="I19" i="2"/>
  <c r="I16" i="2"/>
  <c r="I14" i="2"/>
  <c r="I12" i="2"/>
  <c r="I10" i="2"/>
  <c r="I8" i="2"/>
  <c r="I6" i="2"/>
  <c r="E6" i="2"/>
  <c r="G6" i="2"/>
  <c r="H6" i="2"/>
  <c r="J6" i="2"/>
  <c r="K6" i="2"/>
  <c r="L6" i="2"/>
  <c r="M6" i="2"/>
  <c r="E8" i="2"/>
  <c r="G8" i="2"/>
  <c r="H8" i="2"/>
  <c r="J8" i="2"/>
  <c r="K8" i="2"/>
  <c r="L8" i="2"/>
  <c r="M8" i="2"/>
  <c r="E10" i="2"/>
  <c r="G10" i="2"/>
  <c r="H10" i="2"/>
  <c r="J10" i="2"/>
  <c r="K10" i="2"/>
  <c r="L10" i="2"/>
  <c r="M10" i="2"/>
  <c r="E12" i="2"/>
  <c r="G12" i="2"/>
  <c r="H12" i="2"/>
  <c r="J12" i="2"/>
  <c r="K12" i="2"/>
  <c r="L12" i="2"/>
  <c r="M12" i="2"/>
  <c r="E14" i="2"/>
  <c r="G14" i="2"/>
  <c r="H14" i="2"/>
  <c r="J14" i="2"/>
  <c r="K14" i="2"/>
  <c r="L14" i="2"/>
  <c r="M14" i="2"/>
  <c r="E16" i="2"/>
  <c r="G16" i="2"/>
  <c r="H16" i="2"/>
  <c r="J16" i="2"/>
  <c r="K16" i="2"/>
  <c r="L16" i="2"/>
  <c r="M16" i="2"/>
  <c r="E19" i="2"/>
  <c r="G19" i="2"/>
  <c r="H19" i="2"/>
  <c r="J19" i="2"/>
  <c r="K19" i="2"/>
  <c r="L19" i="2"/>
  <c r="M19" i="2"/>
  <c r="E21" i="2"/>
  <c r="F21" i="2"/>
  <c r="G21" i="2"/>
  <c r="H21" i="2"/>
  <c r="J21" i="2"/>
  <c r="K21" i="2"/>
  <c r="L21" i="2"/>
  <c r="M21" i="2"/>
  <c r="E23" i="2"/>
  <c r="F23" i="2"/>
  <c r="G23" i="2"/>
  <c r="H23" i="2"/>
  <c r="J23" i="2"/>
  <c r="K23" i="2"/>
  <c r="L23" i="2"/>
  <c r="M23" i="2"/>
  <c r="E25" i="2"/>
  <c r="F25" i="2"/>
  <c r="G25" i="2"/>
  <c r="H25" i="2"/>
  <c r="J25" i="2"/>
  <c r="K25" i="2"/>
  <c r="L25" i="2"/>
  <c r="M25" i="2"/>
  <c r="E27" i="2"/>
  <c r="F27" i="2"/>
  <c r="G27" i="2"/>
  <c r="H27" i="2"/>
  <c r="J27" i="2"/>
  <c r="K27" i="2"/>
  <c r="L27" i="2"/>
  <c r="M27" i="2"/>
  <c r="E29" i="2"/>
  <c r="F29" i="2"/>
  <c r="G29" i="2"/>
  <c r="H29" i="2"/>
  <c r="J29" i="2"/>
  <c r="K29" i="2"/>
  <c r="L29" i="2"/>
  <c r="M29" i="2"/>
  <c r="E31" i="2"/>
  <c r="F31" i="2"/>
  <c r="G31" i="2"/>
  <c r="H31" i="2"/>
  <c r="J31" i="2"/>
  <c r="K31" i="2"/>
  <c r="L31" i="2"/>
  <c r="M31" i="2"/>
  <c r="E33" i="2"/>
  <c r="F33" i="2"/>
  <c r="G33" i="2"/>
  <c r="H33" i="2"/>
  <c r="J33" i="2"/>
  <c r="K33" i="2"/>
  <c r="L33" i="2"/>
  <c r="M33" i="2"/>
  <c r="E35" i="2"/>
  <c r="F35" i="2"/>
  <c r="G35" i="2"/>
  <c r="H35" i="2"/>
  <c r="J35" i="2"/>
  <c r="K35" i="2"/>
  <c r="L35" i="2"/>
  <c r="M35" i="2"/>
  <c r="E37" i="2"/>
  <c r="F37" i="2"/>
  <c r="G37" i="2"/>
  <c r="H37" i="2"/>
  <c r="J37" i="2"/>
  <c r="K37" i="2"/>
  <c r="L37" i="2"/>
  <c r="M37" i="2"/>
  <c r="R13" i="2"/>
  <c r="R12" i="2"/>
  <c r="R11" i="2"/>
  <c r="R10" i="2"/>
  <c r="R9" i="2"/>
  <c r="R8" i="2"/>
  <c r="R7" i="2"/>
  <c r="R6" i="2"/>
  <c r="R5" i="2"/>
  <c r="R16" i="2"/>
  <c r="R17" i="2"/>
  <c r="R15" i="2"/>
  <c r="R21" i="2"/>
  <c r="R22" i="2"/>
  <c r="R20" i="2"/>
  <c r="P24" i="2" a="1"/>
  <c r="P24" i="2" s="1"/>
  <c r="P23" i="2" a="1"/>
  <c r="P23" i="2" s="1"/>
  <c r="P22" i="2" a="1"/>
  <c r="P22" i="2" s="1"/>
  <c r="P21" i="2" a="1"/>
  <c r="P21" i="2" s="1"/>
  <c r="P20" i="2" a="1"/>
  <c r="P20" i="2" s="1"/>
  <c r="P17" i="2" a="1"/>
  <c r="P17" i="2" s="1"/>
  <c r="P16" i="2" a="1"/>
  <c r="P16" i="2"/>
  <c r="P15" i="2" a="1"/>
  <c r="P15" i="2" s="1"/>
  <c r="P9" i="2" a="1"/>
  <c r="P9" i="2" s="1"/>
  <c r="I8" i="1"/>
  <c r="K8" i="1" s="1"/>
  <c r="I7" i="1"/>
  <c r="K7" i="1" s="1"/>
  <c r="C7" i="1"/>
  <c r="G93" i="1"/>
  <c r="F93" i="1"/>
  <c r="H92" i="1"/>
  <c r="H91" i="1"/>
  <c r="H90" i="1"/>
  <c r="H89" i="1"/>
  <c r="H88" i="1"/>
  <c r="H93" i="1" s="1"/>
  <c r="G87" i="1"/>
  <c r="F87" i="1"/>
  <c r="H86" i="1"/>
  <c r="H85" i="1"/>
  <c r="H84" i="1"/>
  <c r="H83" i="1"/>
  <c r="H87" i="1" s="1"/>
  <c r="G82" i="1"/>
  <c r="F82" i="1"/>
  <c r="H81" i="1"/>
  <c r="H80" i="1"/>
  <c r="H79" i="1"/>
  <c r="H78" i="1"/>
  <c r="H77" i="1"/>
  <c r="H76" i="1"/>
  <c r="H75" i="1"/>
  <c r="H82" i="1" s="1"/>
  <c r="G74" i="1"/>
  <c r="F74" i="1"/>
  <c r="H73" i="1"/>
  <c r="H72" i="1"/>
  <c r="H71" i="1"/>
  <c r="H70" i="1"/>
  <c r="H69" i="1"/>
  <c r="H68" i="1"/>
  <c r="H67" i="1"/>
  <c r="H74" i="1" s="1"/>
  <c r="G66" i="1"/>
  <c r="F66" i="1"/>
  <c r="H65" i="1"/>
  <c r="H64" i="1"/>
  <c r="H63" i="1"/>
  <c r="H62" i="1"/>
  <c r="H61" i="1"/>
  <c r="H60" i="1"/>
  <c r="H59" i="1"/>
  <c r="H66" i="1" s="1"/>
  <c r="G58" i="1"/>
  <c r="F58" i="1"/>
  <c r="H57" i="1"/>
  <c r="H56" i="1"/>
  <c r="H55" i="1"/>
  <c r="H54" i="1"/>
  <c r="H53" i="1"/>
  <c r="H52" i="1"/>
  <c r="H51" i="1"/>
  <c r="H58" i="1" s="1"/>
  <c r="G50" i="1"/>
  <c r="F50" i="1"/>
  <c r="H49" i="1"/>
  <c r="H48" i="1"/>
  <c r="H47" i="1"/>
  <c r="H46" i="1"/>
  <c r="H45" i="1"/>
  <c r="H44" i="1"/>
  <c r="H43" i="1"/>
  <c r="H50" i="1" s="1"/>
  <c r="G42" i="1"/>
  <c r="F42" i="1"/>
  <c r="H41" i="1"/>
  <c r="H40" i="1"/>
  <c r="H39" i="1"/>
  <c r="H38" i="1"/>
  <c r="H37" i="1"/>
  <c r="H36" i="1"/>
  <c r="H35" i="1"/>
  <c r="H42" i="1" s="1"/>
  <c r="G34" i="1"/>
  <c r="F34" i="1"/>
  <c r="H33" i="1"/>
  <c r="H32" i="1"/>
  <c r="H31" i="1"/>
  <c r="H30" i="1"/>
  <c r="H29" i="1"/>
  <c r="H28" i="1"/>
  <c r="H27" i="1"/>
  <c r="H34" i="1" s="1"/>
  <c r="G26" i="1"/>
  <c r="F26" i="1"/>
  <c r="H25" i="1"/>
  <c r="H24" i="1"/>
  <c r="H23" i="1"/>
  <c r="H22" i="1"/>
  <c r="H21" i="1"/>
  <c r="H20" i="1"/>
  <c r="H19" i="1"/>
  <c r="H26" i="1" s="1"/>
  <c r="G18" i="1"/>
  <c r="G94" i="1" s="1"/>
  <c r="F18" i="1"/>
  <c r="F94" i="1" s="1"/>
  <c r="H17" i="1"/>
  <c r="H16" i="1"/>
  <c r="H15" i="1"/>
  <c r="H14" i="1"/>
  <c r="H13" i="1"/>
  <c r="H12" i="1"/>
  <c r="H11" i="1"/>
  <c r="H18" i="1" s="1"/>
  <c r="H94" i="1" s="1"/>
  <c r="A1" i="2"/>
  <c r="R25" i="2"/>
  <c r="XFD38" i="1"/>
  <c r="XEV38" i="1"/>
  <c r="XEN38" i="1"/>
  <c r="XEF38" i="1"/>
  <c r="XDX38" i="1"/>
  <c r="XDP38" i="1"/>
  <c r="XDH38" i="1"/>
  <c r="XCZ38" i="1"/>
  <c r="XCR38" i="1"/>
  <c r="XCJ38" i="1"/>
  <c r="XCB38" i="1"/>
  <c r="XBT38" i="1"/>
  <c r="XBL38" i="1"/>
  <c r="XBD38" i="1"/>
  <c r="XAV38" i="1"/>
  <c r="XAN38" i="1"/>
  <c r="XAF38" i="1"/>
  <c r="WZX38" i="1"/>
  <c r="WZP38" i="1"/>
  <c r="WZH38" i="1"/>
  <c r="WYZ38" i="1"/>
  <c r="WYR38" i="1"/>
  <c r="WYJ38" i="1"/>
  <c r="WYB38" i="1"/>
  <c r="WXT38" i="1"/>
  <c r="WXL38" i="1"/>
  <c r="WXD38" i="1"/>
  <c r="WWV38" i="1"/>
  <c r="WWN38" i="1"/>
  <c r="WWF38" i="1"/>
  <c r="WVX38" i="1"/>
  <c r="WVP38" i="1"/>
  <c r="WVH38" i="1"/>
  <c r="WUZ38" i="1"/>
  <c r="WUR38" i="1"/>
  <c r="WUJ38" i="1"/>
  <c r="WUB38" i="1"/>
  <c r="WTT38" i="1"/>
  <c r="WTL38" i="1"/>
  <c r="WTD38" i="1"/>
  <c r="WSV38" i="1"/>
  <c r="WSN38" i="1"/>
  <c r="WSF38" i="1"/>
  <c r="WRX38" i="1"/>
  <c r="WRP38" i="1"/>
  <c r="WRH38" i="1"/>
  <c r="WQZ38" i="1"/>
  <c r="WQR38" i="1"/>
  <c r="WQJ38" i="1"/>
  <c r="WQB38" i="1"/>
  <c r="WPT38" i="1"/>
  <c r="WPL38" i="1"/>
  <c r="WPD38" i="1"/>
  <c r="WOV38" i="1"/>
  <c r="WON38" i="1"/>
  <c r="WOF38" i="1"/>
  <c r="WNX38" i="1"/>
  <c r="WNP38" i="1"/>
  <c r="WNH38" i="1"/>
  <c r="WMZ38" i="1"/>
  <c r="WMR38" i="1"/>
  <c r="WMJ38" i="1"/>
  <c r="WMB38" i="1"/>
  <c r="WLT38" i="1"/>
  <c r="WLL38" i="1"/>
  <c r="WLD38" i="1"/>
  <c r="WKV38" i="1"/>
  <c r="WKN38" i="1"/>
  <c r="WKF38" i="1"/>
  <c r="WJX38" i="1"/>
  <c r="WJP38" i="1"/>
  <c r="WJH38" i="1"/>
  <c r="WIZ38" i="1"/>
  <c r="WIR38" i="1"/>
  <c r="WIJ38" i="1"/>
  <c r="WIB38" i="1"/>
  <c r="WHT38" i="1"/>
  <c r="WHL38" i="1"/>
  <c r="WHD38" i="1"/>
  <c r="WGV38" i="1"/>
  <c r="WGN38" i="1"/>
  <c r="WGF38" i="1"/>
  <c r="WFX38" i="1"/>
  <c r="WFP38" i="1"/>
  <c r="WFH38" i="1"/>
  <c r="WEZ38" i="1"/>
  <c r="WER38" i="1"/>
  <c r="WEJ38" i="1"/>
  <c r="WEB38" i="1"/>
  <c r="WDT38" i="1"/>
  <c r="WDL38" i="1"/>
  <c r="WDD38" i="1"/>
  <c r="WCV38" i="1"/>
  <c r="WCN38" i="1"/>
  <c r="WCF38" i="1"/>
  <c r="WBX38" i="1"/>
  <c r="WBP38" i="1"/>
  <c r="WBH38" i="1"/>
  <c r="WAZ38" i="1"/>
  <c r="WAR38" i="1"/>
  <c r="WAJ38" i="1"/>
  <c r="WAB38" i="1"/>
  <c r="VZT38" i="1"/>
  <c r="VZL38" i="1"/>
  <c r="VZD38" i="1"/>
  <c r="VYV38" i="1"/>
  <c r="VYN38" i="1"/>
  <c r="VYF38" i="1"/>
  <c r="VXX38" i="1"/>
  <c r="VXP38" i="1"/>
  <c r="VXH38" i="1"/>
  <c r="VWZ38" i="1"/>
  <c r="VWR38" i="1"/>
  <c r="VWJ38" i="1"/>
  <c r="VWB38" i="1"/>
  <c r="VVT38" i="1"/>
  <c r="VVL38" i="1"/>
  <c r="VVD38" i="1"/>
  <c r="VUV38" i="1"/>
  <c r="VUN38" i="1"/>
  <c r="VUF38" i="1"/>
  <c r="VTX38" i="1"/>
  <c r="VTP38" i="1"/>
  <c r="VTH38" i="1"/>
  <c r="VSZ38" i="1"/>
  <c r="VSR38" i="1"/>
  <c r="VSJ38" i="1"/>
  <c r="VSB38" i="1"/>
  <c r="VRT38" i="1"/>
  <c r="VRL38" i="1"/>
  <c r="VRD38" i="1"/>
  <c r="VQV38" i="1"/>
  <c r="VQN38" i="1"/>
  <c r="VQF38" i="1"/>
  <c r="VPX38" i="1"/>
  <c r="VPP38" i="1"/>
  <c r="VPH38" i="1"/>
  <c r="VOZ38" i="1"/>
  <c r="VOR38" i="1"/>
  <c r="VOJ38" i="1"/>
  <c r="VOB38" i="1"/>
  <c r="VNT38" i="1"/>
  <c r="VNL38" i="1"/>
  <c r="VND38" i="1"/>
  <c r="VMV38" i="1"/>
  <c r="VMN38" i="1"/>
  <c r="VMF38" i="1"/>
  <c r="VLX38" i="1"/>
  <c r="VLP38" i="1"/>
  <c r="VLH38" i="1"/>
  <c r="VKZ38" i="1"/>
  <c r="VKR38" i="1"/>
  <c r="VKJ38" i="1"/>
  <c r="VKB38" i="1"/>
  <c r="VJT38" i="1"/>
  <c r="VJL38" i="1"/>
  <c r="VJD38" i="1"/>
  <c r="VIV38" i="1"/>
  <c r="VIN38" i="1"/>
  <c r="VIF38" i="1"/>
  <c r="VHX38" i="1"/>
  <c r="VHP38" i="1"/>
  <c r="VHH38" i="1"/>
  <c r="VGZ38" i="1"/>
  <c r="VGR38" i="1"/>
  <c r="VGJ38" i="1"/>
  <c r="VGB38" i="1"/>
  <c r="VFT38" i="1"/>
  <c r="VFL38" i="1"/>
  <c r="VFD38" i="1"/>
  <c r="VEV38" i="1"/>
  <c r="VEN38" i="1"/>
  <c r="VEF38" i="1"/>
  <c r="VDX38" i="1"/>
  <c r="VDP38" i="1"/>
  <c r="VDH38" i="1"/>
  <c r="VCZ38" i="1"/>
  <c r="VCR38" i="1"/>
  <c r="VCJ38" i="1"/>
  <c r="VCB38" i="1"/>
  <c r="VBT38" i="1"/>
  <c r="VBL38" i="1"/>
  <c r="VBD38" i="1"/>
  <c r="VAV38" i="1"/>
  <c r="VAN38" i="1"/>
  <c r="VAF38" i="1"/>
  <c r="UZX38" i="1"/>
  <c r="UZP38" i="1"/>
  <c r="UZH38" i="1"/>
  <c r="UYZ38" i="1"/>
  <c r="UYR38" i="1"/>
  <c r="UYJ38" i="1"/>
  <c r="UYB38" i="1"/>
  <c r="UXT38" i="1"/>
  <c r="UXL38" i="1"/>
  <c r="UXD38" i="1"/>
  <c r="UWV38" i="1"/>
  <c r="UWN38" i="1"/>
  <c r="UWF38" i="1"/>
  <c r="UVX38" i="1"/>
  <c r="UVP38" i="1"/>
  <c r="UVH38" i="1"/>
  <c r="UUZ38" i="1"/>
  <c r="UUR38" i="1"/>
  <c r="UUJ38" i="1"/>
  <c r="UUB38" i="1"/>
  <c r="UTT38" i="1"/>
  <c r="UTL38" i="1"/>
  <c r="UTD38" i="1"/>
  <c r="USV38" i="1"/>
  <c r="USN38" i="1"/>
  <c r="USF38" i="1"/>
  <c r="URX38" i="1"/>
  <c r="URP38" i="1"/>
  <c r="URH38" i="1"/>
  <c r="UQZ38" i="1"/>
  <c r="UQR38" i="1"/>
  <c r="UQJ38" i="1"/>
  <c r="UQB38" i="1"/>
  <c r="UPT38" i="1"/>
  <c r="UPL38" i="1"/>
  <c r="UPD38" i="1"/>
  <c r="UOV38" i="1"/>
  <c r="UON38" i="1"/>
  <c r="UOF38" i="1"/>
  <c r="UNX38" i="1"/>
  <c r="UNP38" i="1"/>
  <c r="UNH38" i="1"/>
  <c r="UMZ38" i="1"/>
  <c r="UMR38" i="1"/>
  <c r="UMJ38" i="1"/>
  <c r="UMB38" i="1"/>
  <c r="ULT38" i="1"/>
  <c r="ULL38" i="1"/>
  <c r="ULD38" i="1"/>
  <c r="UKV38" i="1"/>
  <c r="UKN38" i="1"/>
  <c r="UKF38" i="1"/>
  <c r="UJX38" i="1"/>
  <c r="UJP38" i="1"/>
  <c r="UJH38" i="1"/>
  <c r="UIZ38" i="1"/>
  <c r="UIR38" i="1"/>
  <c r="UIJ38" i="1"/>
  <c r="UIB38" i="1"/>
  <c r="UHT38" i="1"/>
  <c r="UHL38" i="1"/>
  <c r="UHD38" i="1"/>
  <c r="UGV38" i="1"/>
  <c r="UGN38" i="1"/>
  <c r="UGF38" i="1"/>
  <c r="UFX38" i="1"/>
  <c r="UFP38" i="1"/>
  <c r="UFH38" i="1"/>
  <c r="UEZ38" i="1"/>
  <c r="UER38" i="1"/>
  <c r="UEJ38" i="1"/>
  <c r="UEB38" i="1"/>
  <c r="UDT38" i="1"/>
  <c r="UDL38" i="1"/>
  <c r="UDD38" i="1"/>
  <c r="UCV38" i="1"/>
  <c r="UCN38" i="1"/>
  <c r="UCF38" i="1"/>
  <c r="UBX38" i="1"/>
  <c r="UBP38" i="1"/>
  <c r="UBH38" i="1"/>
  <c r="UAZ38" i="1"/>
  <c r="UAR38" i="1"/>
  <c r="UAJ38" i="1"/>
  <c r="UAB38" i="1"/>
  <c r="TZT38" i="1"/>
  <c r="TZL38" i="1"/>
  <c r="TZD38" i="1"/>
  <c r="TYV38" i="1"/>
  <c r="TYN38" i="1"/>
  <c r="TYF38" i="1"/>
  <c r="TXX38" i="1"/>
  <c r="TXP38" i="1"/>
  <c r="TXH38" i="1"/>
  <c r="TWZ38" i="1"/>
  <c r="TWR38" i="1"/>
  <c r="TWJ38" i="1"/>
  <c r="TWB38" i="1"/>
  <c r="TVT38" i="1"/>
  <c r="TVL38" i="1"/>
  <c r="TVD38" i="1"/>
  <c r="TUV38" i="1"/>
  <c r="TUN38" i="1"/>
  <c r="TUF38" i="1"/>
  <c r="TTX38" i="1"/>
  <c r="TTP38" i="1"/>
  <c r="TTH38" i="1"/>
  <c r="TSZ38" i="1"/>
  <c r="TSR38" i="1"/>
  <c r="TSJ38" i="1"/>
  <c r="TSB38" i="1"/>
  <c r="TRT38" i="1"/>
  <c r="TRL38" i="1"/>
  <c r="TRD38" i="1"/>
  <c r="TQV38" i="1"/>
  <c r="TQN38" i="1"/>
  <c r="TQF38" i="1"/>
  <c r="TPX38" i="1"/>
  <c r="TPP38" i="1"/>
  <c r="TPH38" i="1"/>
  <c r="TOZ38" i="1"/>
  <c r="TOR38" i="1"/>
  <c r="TOJ38" i="1"/>
  <c r="TOB38" i="1"/>
  <c r="TNT38" i="1"/>
  <c r="TNL38" i="1"/>
  <c r="TND38" i="1"/>
  <c r="TMV38" i="1"/>
  <c r="TMN38" i="1"/>
  <c r="TMF38" i="1"/>
  <c r="TLX38" i="1"/>
  <c r="TLP38" i="1"/>
  <c r="TLH38" i="1"/>
  <c r="TKZ38" i="1"/>
  <c r="TKR38" i="1"/>
  <c r="TKJ38" i="1"/>
  <c r="TKB38" i="1"/>
  <c r="TJT38" i="1"/>
  <c r="TJL38" i="1"/>
  <c r="TJD38" i="1"/>
  <c r="TIV38" i="1"/>
  <c r="TIN38" i="1"/>
  <c r="TIF38" i="1"/>
  <c r="THX38" i="1"/>
  <c r="THP38" i="1"/>
  <c r="THH38" i="1"/>
  <c r="TGZ38" i="1"/>
  <c r="TGR38" i="1"/>
  <c r="TGJ38" i="1"/>
  <c r="TGB38" i="1"/>
  <c r="TFT38" i="1"/>
  <c r="TFL38" i="1"/>
  <c r="TFD38" i="1"/>
  <c r="TEV38" i="1"/>
  <c r="TEN38" i="1"/>
  <c r="TEF38" i="1"/>
  <c r="TDX38" i="1"/>
  <c r="TDP38" i="1"/>
  <c r="TDH38" i="1"/>
  <c r="TCZ38" i="1"/>
  <c r="TCR38" i="1"/>
  <c r="TCJ38" i="1"/>
  <c r="TCB38" i="1"/>
  <c r="TBT38" i="1"/>
  <c r="TBL38" i="1"/>
  <c r="TBD38" i="1"/>
  <c r="TAV38" i="1"/>
  <c r="TAN38" i="1"/>
  <c r="TAF38" i="1"/>
  <c r="SZX38" i="1"/>
  <c r="SZP38" i="1"/>
  <c r="SZH38" i="1"/>
  <c r="SYZ38" i="1"/>
  <c r="SYR38" i="1"/>
  <c r="SYJ38" i="1"/>
  <c r="SYB38" i="1"/>
  <c r="SXT38" i="1"/>
  <c r="SXL38" i="1"/>
  <c r="SXD38" i="1"/>
  <c r="SWV38" i="1"/>
  <c r="SWN38" i="1"/>
  <c r="SWF38" i="1"/>
  <c r="SVX38" i="1"/>
  <c r="SVP38" i="1"/>
  <c r="SVH38" i="1"/>
  <c r="SUZ38" i="1"/>
  <c r="SUR38" i="1"/>
  <c r="SUJ38" i="1"/>
  <c r="SUB38" i="1"/>
  <c r="STT38" i="1"/>
  <c r="STL38" i="1"/>
  <c r="STD38" i="1"/>
  <c r="SSV38" i="1"/>
  <c r="SSN38" i="1"/>
  <c r="SSF38" i="1"/>
  <c r="SRX38" i="1"/>
  <c r="SRP38" i="1"/>
  <c r="SRH38" i="1"/>
  <c r="SQZ38" i="1"/>
  <c r="SQR38" i="1"/>
  <c r="SQJ38" i="1"/>
  <c r="SQB38" i="1"/>
  <c r="SPT38" i="1"/>
  <c r="SPL38" i="1"/>
  <c r="SPD38" i="1"/>
  <c r="SOV38" i="1"/>
  <c r="SON38" i="1"/>
  <c r="SOF38" i="1"/>
  <c r="SNX38" i="1"/>
  <c r="SNP38" i="1"/>
  <c r="SNH38" i="1"/>
  <c r="SMZ38" i="1"/>
  <c r="SMR38" i="1"/>
  <c r="SMJ38" i="1"/>
  <c r="SMB38" i="1"/>
  <c r="SLT38" i="1"/>
  <c r="SLL38" i="1"/>
  <c r="SLD38" i="1"/>
  <c r="SKV38" i="1"/>
  <c r="SKN38" i="1"/>
  <c r="SKF38" i="1"/>
  <c r="SJX38" i="1"/>
  <c r="SJP38" i="1"/>
  <c r="SJH38" i="1"/>
  <c r="SIZ38" i="1"/>
  <c r="SIR38" i="1"/>
  <c r="SIJ38" i="1"/>
  <c r="SIB38" i="1"/>
  <c r="SHT38" i="1"/>
  <c r="SHL38" i="1"/>
  <c r="SHD38" i="1"/>
  <c r="SGV38" i="1"/>
  <c r="SGN38" i="1"/>
  <c r="SGF38" i="1"/>
  <c r="SFX38" i="1"/>
  <c r="SFP38" i="1"/>
  <c r="SFH38" i="1"/>
  <c r="SEZ38" i="1"/>
  <c r="SER38" i="1"/>
  <c r="SEJ38" i="1"/>
  <c r="SEB38" i="1"/>
  <c r="SDT38" i="1"/>
  <c r="SDL38" i="1"/>
  <c r="SDD38" i="1"/>
  <c r="SCV38" i="1"/>
  <c r="SCN38" i="1"/>
  <c r="SCF38" i="1"/>
  <c r="SBX38" i="1"/>
  <c r="SBP38" i="1"/>
  <c r="SBH38" i="1"/>
  <c r="SAZ38" i="1"/>
  <c r="SAR38" i="1"/>
  <c r="SAJ38" i="1"/>
  <c r="SAB38" i="1"/>
  <c r="RZT38" i="1"/>
  <c r="RZL38" i="1"/>
  <c r="RZD38" i="1"/>
  <c r="RYV38" i="1"/>
  <c r="RYN38" i="1"/>
  <c r="RYF38" i="1"/>
  <c r="RXX38" i="1"/>
  <c r="RXP38" i="1"/>
  <c r="RXH38" i="1"/>
  <c r="RWZ38" i="1"/>
  <c r="RWR38" i="1"/>
  <c r="RWJ38" i="1"/>
  <c r="RWB38" i="1"/>
  <c r="RVT38" i="1"/>
  <c r="RVL38" i="1"/>
  <c r="RVD38" i="1"/>
  <c r="RUV38" i="1"/>
  <c r="RUN38" i="1"/>
  <c r="RUF38" i="1"/>
  <c r="RTX38" i="1"/>
  <c r="RTP38" i="1"/>
  <c r="RTH38" i="1"/>
  <c r="RSZ38" i="1"/>
  <c r="RSR38" i="1"/>
  <c r="RSJ38" i="1"/>
  <c r="RSB38" i="1"/>
  <c r="RRT38" i="1"/>
  <c r="RRL38" i="1"/>
  <c r="RRD38" i="1"/>
  <c r="RQV38" i="1"/>
  <c r="RQN38" i="1"/>
  <c r="RQF38" i="1"/>
  <c r="RPX38" i="1"/>
  <c r="RPP38" i="1"/>
  <c r="RPH38" i="1"/>
  <c r="ROZ38" i="1"/>
  <c r="ROR38" i="1"/>
  <c r="ROJ38" i="1"/>
  <c r="ROB38" i="1"/>
  <c r="RNT38" i="1"/>
  <c r="RNL38" i="1"/>
  <c r="RND38" i="1"/>
  <c r="RMV38" i="1"/>
  <c r="RMN38" i="1"/>
  <c r="RMF38" i="1"/>
  <c r="RLX38" i="1"/>
  <c r="RLP38" i="1"/>
  <c r="RLH38" i="1"/>
  <c r="RKZ38" i="1"/>
  <c r="RKR38" i="1"/>
  <c r="RKJ38" i="1"/>
  <c r="RKB38" i="1"/>
  <c r="RJT38" i="1"/>
  <c r="RJL38" i="1"/>
  <c r="RJD38" i="1"/>
  <c r="RIV38" i="1"/>
  <c r="RIN38" i="1"/>
  <c r="RIF38" i="1"/>
  <c r="RHX38" i="1"/>
  <c r="RHP38" i="1"/>
  <c r="RHH38" i="1"/>
  <c r="RGZ38" i="1"/>
  <c r="RGR38" i="1"/>
  <c r="RGJ38" i="1"/>
  <c r="RGB38" i="1"/>
  <c r="RFT38" i="1"/>
  <c r="RFL38" i="1"/>
  <c r="RFD38" i="1"/>
  <c r="REV38" i="1"/>
  <c r="REN38" i="1"/>
  <c r="REF38" i="1"/>
  <c r="RDX38" i="1"/>
  <c r="RDP38" i="1"/>
  <c r="RDH38" i="1"/>
  <c r="RCZ38" i="1"/>
  <c r="RCR38" i="1"/>
  <c r="RCJ38" i="1"/>
  <c r="RCB38" i="1"/>
  <c r="RBT38" i="1"/>
  <c r="RBL38" i="1"/>
  <c r="RBD38" i="1"/>
  <c r="RAV38" i="1"/>
  <c r="RAN38" i="1"/>
  <c r="RAF38" i="1"/>
  <c r="QZX38" i="1"/>
  <c r="QZP38" i="1"/>
  <c r="QZH38" i="1"/>
  <c r="QYZ38" i="1"/>
  <c r="QYR38" i="1"/>
  <c r="QYJ38" i="1"/>
  <c r="QYB38" i="1"/>
  <c r="QXT38" i="1"/>
  <c r="QXL38" i="1"/>
  <c r="QXD38" i="1"/>
  <c r="QWV38" i="1"/>
  <c r="QWN38" i="1"/>
  <c r="QWF38" i="1"/>
  <c r="QVX38" i="1"/>
  <c r="QVP38" i="1"/>
  <c r="QVH38" i="1"/>
  <c r="QUZ38" i="1"/>
  <c r="QUR38" i="1"/>
  <c r="QUJ38" i="1"/>
  <c r="QUB38" i="1"/>
  <c r="QTT38" i="1"/>
  <c r="QTL38" i="1"/>
  <c r="QTD38" i="1"/>
  <c r="QSV38" i="1"/>
  <c r="QSN38" i="1"/>
  <c r="QSF38" i="1"/>
  <c r="QRX38" i="1"/>
  <c r="QRP38" i="1"/>
  <c r="QRH38" i="1"/>
  <c r="QQZ38" i="1"/>
  <c r="QQR38" i="1"/>
  <c r="QQJ38" i="1"/>
  <c r="QQB38" i="1"/>
  <c r="QPT38" i="1"/>
  <c r="QPL38" i="1"/>
  <c r="QPD38" i="1"/>
  <c r="QOV38" i="1"/>
  <c r="QON38" i="1"/>
  <c r="QOF38" i="1"/>
  <c r="QNX38" i="1"/>
  <c r="QNP38" i="1"/>
  <c r="QNH38" i="1"/>
  <c r="QMZ38" i="1"/>
  <c r="QMR38" i="1"/>
  <c r="QMJ38" i="1"/>
  <c r="QMB38" i="1"/>
  <c r="QLT38" i="1"/>
  <c r="QLL38" i="1"/>
  <c r="QLD38" i="1"/>
  <c r="QKV38" i="1"/>
  <c r="QKN38" i="1"/>
  <c r="QKF38" i="1"/>
  <c r="QJX38" i="1"/>
  <c r="QJP38" i="1"/>
  <c r="QJH38" i="1"/>
  <c r="QIZ38" i="1"/>
  <c r="QIR38" i="1"/>
  <c r="QIJ38" i="1"/>
  <c r="QIB38" i="1"/>
  <c r="QHT38" i="1"/>
  <c r="QHL38" i="1"/>
  <c r="QHD38" i="1"/>
  <c r="QGV38" i="1"/>
  <c r="QGN38" i="1"/>
  <c r="QGF38" i="1"/>
  <c r="QFX38" i="1"/>
  <c r="QFP38" i="1"/>
  <c r="QFH38" i="1"/>
  <c r="QEZ38" i="1"/>
  <c r="QER38" i="1"/>
  <c r="QEJ38" i="1"/>
  <c r="QEB38" i="1"/>
  <c r="QDT38" i="1"/>
  <c r="QDL38" i="1"/>
  <c r="QDD38" i="1"/>
  <c r="QCV38" i="1"/>
  <c r="QCN38" i="1"/>
  <c r="QCF38" i="1"/>
  <c r="QBX38" i="1"/>
  <c r="QBP38" i="1"/>
  <c r="QBH38" i="1"/>
  <c r="QAZ38" i="1"/>
  <c r="QAR38" i="1"/>
  <c r="QAJ38" i="1"/>
  <c r="QAB38" i="1"/>
  <c r="PZT38" i="1"/>
  <c r="PZL38" i="1"/>
  <c r="PZD38" i="1"/>
  <c r="PYV38" i="1"/>
  <c r="PYN38" i="1"/>
  <c r="PYF38" i="1"/>
  <c r="PXX38" i="1"/>
  <c r="PXP38" i="1"/>
  <c r="PXH38" i="1"/>
  <c r="PWZ38" i="1"/>
  <c r="PWR38" i="1"/>
  <c r="PWJ38" i="1"/>
  <c r="PWB38" i="1"/>
  <c r="PVT38" i="1"/>
  <c r="PVL38" i="1"/>
  <c r="PVD38" i="1"/>
  <c r="PUV38" i="1"/>
  <c r="PUN38" i="1"/>
  <c r="PUF38" i="1"/>
  <c r="PTX38" i="1"/>
  <c r="PTP38" i="1"/>
  <c r="PTH38" i="1"/>
  <c r="PSZ38" i="1"/>
  <c r="PSR38" i="1"/>
  <c r="PSJ38" i="1"/>
  <c r="PSB38" i="1"/>
  <c r="PRT38" i="1"/>
  <c r="PRL38" i="1"/>
  <c r="PRD38" i="1"/>
  <c r="PQV38" i="1"/>
  <c r="PQN38" i="1"/>
  <c r="PQF38" i="1"/>
  <c r="PPX38" i="1"/>
  <c r="PPP38" i="1"/>
  <c r="PPH38" i="1"/>
  <c r="POZ38" i="1"/>
  <c r="POR38" i="1"/>
  <c r="POJ38" i="1"/>
  <c r="POB38" i="1"/>
  <c r="PNT38" i="1"/>
  <c r="PNL38" i="1"/>
  <c r="PND38" i="1"/>
  <c r="PMV38" i="1"/>
  <c r="PMN38" i="1"/>
  <c r="PMF38" i="1"/>
  <c r="PLX38" i="1"/>
  <c r="PLP38" i="1"/>
  <c r="PLH38" i="1"/>
  <c r="PKZ38" i="1"/>
  <c r="PKR38" i="1"/>
  <c r="PKJ38" i="1"/>
  <c r="PKB38" i="1"/>
  <c r="PJT38" i="1"/>
  <c r="PJL38" i="1"/>
  <c r="PJD38" i="1"/>
  <c r="PIV38" i="1"/>
  <c r="PIN38" i="1"/>
  <c r="PIF38" i="1"/>
  <c r="PHX38" i="1"/>
  <c r="PHP38" i="1"/>
  <c r="PHH38" i="1"/>
  <c r="PGZ38" i="1"/>
  <c r="PGR38" i="1"/>
  <c r="PGJ38" i="1"/>
  <c r="PGB38" i="1"/>
  <c r="PFT38" i="1"/>
  <c r="PFL38" i="1"/>
  <c r="PFD38" i="1"/>
  <c r="PEV38" i="1"/>
  <c r="PEN38" i="1"/>
  <c r="PEF38" i="1"/>
  <c r="PDX38" i="1"/>
  <c r="PDP38" i="1"/>
  <c r="PDH38" i="1"/>
  <c r="PCZ38" i="1"/>
  <c r="PCR38" i="1"/>
  <c r="PCJ38" i="1"/>
  <c r="PCB38" i="1"/>
  <c r="PBT38" i="1"/>
  <c r="PBL38" i="1"/>
  <c r="PBD38" i="1"/>
  <c r="PAV38" i="1"/>
  <c r="PAN38" i="1"/>
  <c r="PAF38" i="1"/>
  <c r="OZX38" i="1"/>
  <c r="OZP38" i="1"/>
  <c r="OZH38" i="1"/>
  <c r="OYZ38" i="1"/>
  <c r="OYR38" i="1"/>
  <c r="OYJ38" i="1"/>
  <c r="OYB38" i="1"/>
  <c r="OXT38" i="1"/>
  <c r="OXL38" i="1"/>
  <c r="OXD38" i="1"/>
  <c r="OWV38" i="1"/>
  <c r="OWN38" i="1"/>
  <c r="OWF38" i="1"/>
  <c r="OVX38" i="1"/>
  <c r="OVP38" i="1"/>
  <c r="OVH38" i="1"/>
  <c r="OUZ38" i="1"/>
  <c r="OUR38" i="1"/>
  <c r="OUJ38" i="1"/>
  <c r="OUB38" i="1"/>
  <c r="OTT38" i="1"/>
  <c r="OTL38" i="1"/>
  <c r="OTD38" i="1"/>
  <c r="OSV38" i="1"/>
  <c r="OSN38" i="1"/>
  <c r="OSF38" i="1"/>
  <c r="ORX38" i="1"/>
  <c r="ORP38" i="1"/>
  <c r="ORH38" i="1"/>
  <c r="OQZ38" i="1"/>
  <c r="OQR38" i="1"/>
  <c r="OQJ38" i="1"/>
  <c r="OQB38" i="1"/>
  <c r="OPT38" i="1"/>
  <c r="OPL38" i="1"/>
  <c r="OPD38" i="1"/>
  <c r="OOV38" i="1"/>
  <c r="OON38" i="1"/>
  <c r="OOF38" i="1"/>
  <c r="ONX38" i="1"/>
  <c r="ONP38" i="1"/>
  <c r="ONH38" i="1"/>
  <c r="OMZ38" i="1"/>
  <c r="OMR38" i="1"/>
  <c r="OMJ38" i="1"/>
  <c r="OMB38" i="1"/>
  <c r="OLT38" i="1"/>
  <c r="OLL38" i="1"/>
  <c r="OLD38" i="1"/>
  <c r="OKV38" i="1"/>
  <c r="OKN38" i="1"/>
  <c r="OKF38" i="1"/>
  <c r="OJX38" i="1"/>
  <c r="OJP38" i="1"/>
  <c r="OJH38" i="1"/>
  <c r="OIZ38" i="1"/>
  <c r="OIR38" i="1"/>
  <c r="OIJ38" i="1"/>
  <c r="OIB38" i="1"/>
  <c r="OHT38" i="1"/>
  <c r="OHL38" i="1"/>
  <c r="OHD38" i="1"/>
  <c r="OGV38" i="1"/>
  <c r="OGN38" i="1"/>
  <c r="OGF38" i="1"/>
  <c r="OFX38" i="1"/>
  <c r="OFP38" i="1"/>
  <c r="OFH38" i="1"/>
  <c r="OEZ38" i="1"/>
  <c r="OER38" i="1"/>
  <c r="OEJ38" i="1"/>
  <c r="OEB38" i="1"/>
  <c r="ODT38" i="1"/>
  <c r="ODL38" i="1"/>
  <c r="ODD38" i="1"/>
  <c r="OCV38" i="1"/>
  <c r="OCN38" i="1"/>
  <c r="OCF38" i="1"/>
  <c r="OBX38" i="1"/>
  <c r="OBP38" i="1"/>
  <c r="OBH38" i="1"/>
  <c r="OAZ38" i="1"/>
  <c r="OAR38" i="1"/>
  <c r="OAJ38" i="1"/>
  <c r="OAB38" i="1"/>
  <c r="NZT38" i="1"/>
  <c r="NZL38" i="1"/>
  <c r="NZD38" i="1"/>
  <c r="NYV38" i="1"/>
  <c r="NYN38" i="1"/>
  <c r="NYF38" i="1"/>
  <c r="NXX38" i="1"/>
  <c r="NXP38" i="1"/>
  <c r="NXH38" i="1"/>
  <c r="NWZ38" i="1"/>
  <c r="NWR38" i="1"/>
  <c r="NWJ38" i="1"/>
  <c r="NWB38" i="1"/>
  <c r="NVT38" i="1"/>
  <c r="NVL38" i="1"/>
  <c r="NVD38" i="1"/>
  <c r="NUV38" i="1"/>
  <c r="NUN38" i="1"/>
  <c r="NUF38" i="1"/>
  <c r="NTX38" i="1"/>
  <c r="NTP38" i="1"/>
  <c r="NTH38" i="1"/>
  <c r="NSZ38" i="1"/>
  <c r="NSR38" i="1"/>
  <c r="NSJ38" i="1"/>
  <c r="NSB38" i="1"/>
  <c r="NRT38" i="1"/>
  <c r="NRL38" i="1"/>
  <c r="NRD38" i="1"/>
  <c r="NQV38" i="1"/>
  <c r="NQN38" i="1"/>
  <c r="NQF38" i="1"/>
  <c r="NPX38" i="1"/>
  <c r="NPP38" i="1"/>
  <c r="NPH38" i="1"/>
  <c r="NOZ38" i="1"/>
  <c r="NOR38" i="1"/>
  <c r="NOJ38" i="1"/>
  <c r="NOB38" i="1"/>
  <c r="NNT38" i="1"/>
  <c r="NNL38" i="1"/>
  <c r="NND38" i="1"/>
  <c r="NMV38" i="1"/>
  <c r="NMN38" i="1"/>
  <c r="NMF38" i="1"/>
  <c r="NLX38" i="1"/>
  <c r="NLP38" i="1"/>
  <c r="NLH38" i="1"/>
  <c r="NKZ38" i="1"/>
  <c r="NKR38" i="1"/>
  <c r="NKJ38" i="1"/>
  <c r="NKB38" i="1"/>
  <c r="NJT38" i="1"/>
  <c r="NJL38" i="1"/>
  <c r="NJD38" i="1"/>
  <c r="NIV38" i="1"/>
  <c r="NIN38" i="1"/>
  <c r="NIF38" i="1"/>
  <c r="NHX38" i="1"/>
  <c r="NHP38" i="1"/>
  <c r="NHH38" i="1"/>
  <c r="NGZ38" i="1"/>
  <c r="NGR38" i="1"/>
  <c r="NGJ38" i="1"/>
  <c r="NGB38" i="1"/>
  <c r="NFT38" i="1"/>
  <c r="NFL38" i="1"/>
  <c r="NFD38" i="1"/>
  <c r="NEV38" i="1"/>
  <c r="NEN38" i="1"/>
  <c r="NEF38" i="1"/>
  <c r="NDX38" i="1"/>
  <c r="NDP38" i="1"/>
  <c r="NDH38" i="1"/>
  <c r="NCZ38" i="1"/>
  <c r="NCR38" i="1"/>
  <c r="NCJ38" i="1"/>
  <c r="NCB38" i="1"/>
  <c r="NBT38" i="1"/>
  <c r="NBL38" i="1"/>
  <c r="NBD38" i="1"/>
  <c r="NAV38" i="1"/>
  <c r="NAN38" i="1"/>
  <c r="NAF38" i="1"/>
  <c r="MZX38" i="1"/>
  <c r="MZP38" i="1"/>
  <c r="MZH38" i="1"/>
  <c r="MYZ38" i="1"/>
  <c r="MYR38" i="1"/>
  <c r="MYJ38" i="1"/>
  <c r="MYB38" i="1"/>
  <c r="MXT38" i="1"/>
  <c r="MXL38" i="1"/>
  <c r="MXD38" i="1"/>
  <c r="MWV38" i="1"/>
  <c r="MWN38" i="1"/>
  <c r="MWF38" i="1"/>
  <c r="MVX38" i="1"/>
  <c r="MVP38" i="1"/>
  <c r="MVH38" i="1"/>
  <c r="MUZ38" i="1"/>
  <c r="MUR38" i="1"/>
  <c r="MUJ38" i="1"/>
  <c r="MUB38" i="1"/>
  <c r="MTT38" i="1"/>
  <c r="MTL38" i="1"/>
  <c r="MTD38" i="1"/>
  <c r="MSV38" i="1"/>
  <c r="MSN38" i="1"/>
  <c r="MSF38" i="1"/>
  <c r="MRX38" i="1"/>
  <c r="MRP38" i="1"/>
  <c r="MRH38" i="1"/>
  <c r="MQZ38" i="1"/>
  <c r="MQR38" i="1"/>
  <c r="MQJ38" i="1"/>
  <c r="MQB38" i="1"/>
  <c r="MPT38" i="1"/>
  <c r="MPL38" i="1"/>
  <c r="MPD38" i="1"/>
  <c r="MOV38" i="1"/>
  <c r="MON38" i="1"/>
  <c r="MOF38" i="1"/>
  <c r="MNX38" i="1"/>
  <c r="MNP38" i="1"/>
  <c r="MNH38" i="1"/>
  <c r="MMZ38" i="1"/>
  <c r="MMR38" i="1"/>
  <c r="MMJ38" i="1"/>
  <c r="MMB38" i="1"/>
  <c r="MLT38" i="1"/>
  <c r="MLL38" i="1"/>
  <c r="MLD38" i="1"/>
  <c r="MKV38" i="1"/>
  <c r="MKN38" i="1"/>
  <c r="MKF38" i="1"/>
  <c r="MJX38" i="1"/>
  <c r="MJP38" i="1"/>
  <c r="MJH38" i="1"/>
  <c r="MIZ38" i="1"/>
  <c r="MIR38" i="1"/>
  <c r="MIJ38" i="1"/>
  <c r="MIB38" i="1"/>
  <c r="MHT38" i="1"/>
  <c r="MHL38" i="1"/>
  <c r="MHD38" i="1"/>
  <c r="MGV38" i="1"/>
  <c r="MGN38" i="1"/>
  <c r="MGF38" i="1"/>
  <c r="MFX38" i="1"/>
  <c r="MFP38" i="1"/>
  <c r="MFH38" i="1"/>
  <c r="MEZ38" i="1"/>
  <c r="MER38" i="1"/>
  <c r="MEJ38" i="1"/>
  <c r="MEB38" i="1"/>
  <c r="MDT38" i="1"/>
  <c r="MDL38" i="1"/>
  <c r="MDD38" i="1"/>
  <c r="MCV38" i="1"/>
  <c r="MCN38" i="1"/>
  <c r="MCF38" i="1"/>
  <c r="MBX38" i="1"/>
  <c r="MBP38" i="1"/>
  <c r="MBH38" i="1"/>
  <c r="MAZ38" i="1"/>
  <c r="MAR38" i="1"/>
  <c r="MAJ38" i="1"/>
  <c r="MAB38" i="1"/>
  <c r="LZT38" i="1"/>
  <c r="LZL38" i="1"/>
  <c r="LZD38" i="1"/>
  <c r="LYV38" i="1"/>
  <c r="LYN38" i="1"/>
  <c r="LYF38" i="1"/>
  <c r="LXX38" i="1"/>
  <c r="LXP38" i="1"/>
  <c r="LXH38" i="1"/>
  <c r="LWZ38" i="1"/>
  <c r="LWR38" i="1"/>
  <c r="LWJ38" i="1"/>
  <c r="LWB38" i="1"/>
  <c r="LVT38" i="1"/>
  <c r="LVL38" i="1"/>
  <c r="LVD38" i="1"/>
  <c r="LUV38" i="1"/>
  <c r="LUN38" i="1"/>
  <c r="LUF38" i="1"/>
  <c r="LTX38" i="1"/>
  <c r="LTP38" i="1"/>
  <c r="LTH38" i="1"/>
  <c r="LSZ38" i="1"/>
  <c r="LSR38" i="1"/>
  <c r="LSJ38" i="1"/>
  <c r="LSB38" i="1"/>
  <c r="LRT38" i="1"/>
  <c r="LRL38" i="1"/>
  <c r="LRD38" i="1"/>
  <c r="LQV38" i="1"/>
  <c r="LQN38" i="1"/>
  <c r="LQF38" i="1"/>
  <c r="LPX38" i="1"/>
  <c r="LPP38" i="1"/>
  <c r="LPH38" i="1"/>
  <c r="LOZ38" i="1"/>
  <c r="LOR38" i="1"/>
  <c r="LOJ38" i="1"/>
  <c r="LOB38" i="1"/>
  <c r="LNT38" i="1"/>
  <c r="LNL38" i="1"/>
  <c r="LND38" i="1"/>
  <c r="LMV38" i="1"/>
  <c r="LMN38" i="1"/>
  <c r="LMF38" i="1"/>
  <c r="LLX38" i="1"/>
  <c r="LLP38" i="1"/>
  <c r="LLH38" i="1"/>
  <c r="LKZ38" i="1"/>
  <c r="LKR38" i="1"/>
  <c r="LKJ38" i="1"/>
  <c r="LKB38" i="1"/>
  <c r="LJT38" i="1"/>
  <c r="LJL38" i="1"/>
  <c r="LJD38" i="1"/>
  <c r="LIV38" i="1"/>
  <c r="LIN38" i="1"/>
  <c r="LIF38" i="1"/>
  <c r="LHX38" i="1"/>
  <c r="LHP38" i="1"/>
  <c r="LHH38" i="1"/>
  <c r="LGZ38" i="1"/>
  <c r="LGR38" i="1"/>
  <c r="LGJ38" i="1"/>
  <c r="LGB38" i="1"/>
  <c r="LFT38" i="1"/>
  <c r="LFL38" i="1"/>
  <c r="LFD38" i="1"/>
  <c r="LEV38" i="1"/>
  <c r="LEN38" i="1"/>
  <c r="LEF38" i="1"/>
  <c r="LDX38" i="1"/>
  <c r="LDP38" i="1"/>
  <c r="LDH38" i="1"/>
  <c r="LCZ38" i="1"/>
  <c r="LCR38" i="1"/>
  <c r="LCJ38" i="1"/>
  <c r="LCB38" i="1"/>
  <c r="LBT38" i="1"/>
  <c r="LBL38" i="1"/>
  <c r="LBD38" i="1"/>
  <c r="LAV38" i="1"/>
  <c r="LAN38" i="1"/>
  <c r="LAF38" i="1"/>
  <c r="KZX38" i="1"/>
  <c r="KZP38" i="1"/>
  <c r="KZH38" i="1"/>
  <c r="KYZ38" i="1"/>
  <c r="KYR38" i="1"/>
  <c r="KYJ38" i="1"/>
  <c r="KYB38" i="1"/>
  <c r="KXT38" i="1"/>
  <c r="KXL38" i="1"/>
  <c r="KXD38" i="1"/>
  <c r="KWV38" i="1"/>
  <c r="KWN38" i="1"/>
  <c r="KWF38" i="1"/>
  <c r="KVX38" i="1"/>
  <c r="KVP38" i="1"/>
  <c r="KVH38" i="1"/>
  <c r="KUZ38" i="1"/>
  <c r="KUR38" i="1"/>
  <c r="KUJ38" i="1"/>
  <c r="KUB38" i="1"/>
  <c r="KTT38" i="1"/>
  <c r="KTL38" i="1"/>
  <c r="KTD38" i="1"/>
  <c r="KSV38" i="1"/>
  <c r="KSN38" i="1"/>
  <c r="KSF38" i="1"/>
  <c r="KRX38" i="1"/>
  <c r="KRP38" i="1"/>
  <c r="KRH38" i="1"/>
  <c r="KQZ38" i="1"/>
  <c r="KQR38" i="1"/>
  <c r="KQJ38" i="1"/>
  <c r="KQB38" i="1"/>
  <c r="KPT38" i="1"/>
  <c r="KPL38" i="1"/>
  <c r="KPD38" i="1"/>
  <c r="KOV38" i="1"/>
  <c r="KON38" i="1"/>
  <c r="KOF38" i="1"/>
  <c r="KNX38" i="1"/>
  <c r="KNP38" i="1"/>
  <c r="KNH38" i="1"/>
  <c r="KMZ38" i="1"/>
  <c r="KMR38" i="1"/>
  <c r="KMJ38" i="1"/>
  <c r="KMB38" i="1"/>
  <c r="KLT38" i="1"/>
  <c r="KLL38" i="1"/>
  <c r="KLD38" i="1"/>
  <c r="KKV38" i="1"/>
  <c r="KKN38" i="1"/>
  <c r="KKF38" i="1"/>
  <c r="KJX38" i="1"/>
  <c r="KJP38" i="1"/>
  <c r="KJH38" i="1"/>
  <c r="KIZ38" i="1"/>
  <c r="KIR38" i="1"/>
  <c r="KIJ38" i="1"/>
  <c r="KIB38" i="1"/>
  <c r="KHT38" i="1"/>
  <c r="KHL38" i="1"/>
  <c r="KHD38" i="1"/>
  <c r="KGV38" i="1"/>
  <c r="KGN38" i="1"/>
  <c r="KGF38" i="1"/>
  <c r="KFX38" i="1"/>
  <c r="KFP38" i="1"/>
  <c r="KFH38" i="1"/>
  <c r="KEZ38" i="1"/>
  <c r="KER38" i="1"/>
  <c r="KEJ38" i="1"/>
  <c r="KEB38" i="1"/>
  <c r="KDT38" i="1"/>
  <c r="KDL38" i="1"/>
  <c r="KDD38" i="1"/>
  <c r="KCV38" i="1"/>
  <c r="KCN38" i="1"/>
  <c r="KCF38" i="1"/>
  <c r="KBX38" i="1"/>
  <c r="KBP38" i="1"/>
  <c r="KBH38" i="1"/>
  <c r="KAZ38" i="1"/>
  <c r="KAR38" i="1"/>
  <c r="KAJ38" i="1"/>
  <c r="KAB38" i="1"/>
  <c r="JZT38" i="1"/>
  <c r="JZL38" i="1"/>
  <c r="JZD38" i="1"/>
  <c r="JYV38" i="1"/>
  <c r="JYN38" i="1"/>
  <c r="JYF38" i="1"/>
  <c r="JXX38" i="1"/>
  <c r="JXP38" i="1"/>
  <c r="JXH38" i="1"/>
  <c r="JWZ38" i="1"/>
  <c r="JWR38" i="1"/>
  <c r="JWJ38" i="1"/>
  <c r="JWB38" i="1"/>
  <c r="JVT38" i="1"/>
  <c r="JVL38" i="1"/>
  <c r="JVD38" i="1"/>
  <c r="JUV38" i="1"/>
  <c r="JUN38" i="1"/>
  <c r="JUF38" i="1"/>
  <c r="JTX38" i="1"/>
  <c r="JTP38" i="1"/>
  <c r="JTH38" i="1"/>
  <c r="JSZ38" i="1"/>
  <c r="JSR38" i="1"/>
  <c r="JSJ38" i="1"/>
  <c r="JSB38" i="1"/>
  <c r="JRT38" i="1"/>
  <c r="JRL38" i="1"/>
  <c r="JRD38" i="1"/>
  <c r="JQV38" i="1"/>
  <c r="JQN38" i="1"/>
  <c r="JQF38" i="1"/>
  <c r="JPX38" i="1"/>
  <c r="JPP38" i="1"/>
  <c r="JPH38" i="1"/>
  <c r="JOZ38" i="1"/>
  <c r="JOR38" i="1"/>
  <c r="JOJ38" i="1"/>
  <c r="JOB38" i="1"/>
  <c r="JNT38" i="1"/>
  <c r="JNL38" i="1"/>
  <c r="JND38" i="1"/>
  <c r="JMV38" i="1"/>
  <c r="JMN38" i="1"/>
  <c r="JMF38" i="1"/>
  <c r="JLX38" i="1"/>
  <c r="JLP38" i="1"/>
  <c r="JLH38" i="1"/>
  <c r="JKZ38" i="1"/>
  <c r="JKR38" i="1"/>
  <c r="JKJ38" i="1"/>
  <c r="JKB38" i="1"/>
  <c r="JJT38" i="1"/>
  <c r="JJL38" i="1"/>
  <c r="JJD38" i="1"/>
  <c r="JIV38" i="1"/>
  <c r="JIN38" i="1"/>
  <c r="JIF38" i="1"/>
  <c r="JHX38" i="1"/>
  <c r="JHP38" i="1"/>
  <c r="JHH38" i="1"/>
  <c r="JGZ38" i="1"/>
  <c r="JGR38" i="1"/>
  <c r="JGJ38" i="1"/>
  <c r="JGB38" i="1"/>
  <c r="JFT38" i="1"/>
  <c r="JFL38" i="1"/>
  <c r="JFD38" i="1"/>
  <c r="JEV38" i="1"/>
  <c r="JEN38" i="1"/>
  <c r="JEF38" i="1"/>
  <c r="JDX38" i="1"/>
  <c r="JDP38" i="1"/>
  <c r="JDH38" i="1"/>
  <c r="JCZ38" i="1"/>
  <c r="JCR38" i="1"/>
  <c r="JCJ38" i="1"/>
  <c r="JCB38" i="1"/>
  <c r="JBT38" i="1"/>
  <c r="JBL38" i="1"/>
  <c r="JBD38" i="1"/>
  <c r="JAV38" i="1"/>
  <c r="JAN38" i="1"/>
  <c r="JAF38" i="1"/>
  <c r="IZX38" i="1"/>
  <c r="IZP38" i="1"/>
  <c r="IZH38" i="1"/>
  <c r="IYZ38" i="1"/>
  <c r="IYR38" i="1"/>
  <c r="IYJ38" i="1"/>
  <c r="IYB38" i="1"/>
  <c r="IXT38" i="1"/>
  <c r="IXL38" i="1"/>
  <c r="IXD38" i="1"/>
  <c r="IWV38" i="1"/>
  <c r="IWN38" i="1"/>
  <c r="IWF38" i="1"/>
  <c r="IVX38" i="1"/>
  <c r="IVP38" i="1"/>
  <c r="IVH38" i="1"/>
  <c r="IUZ38" i="1"/>
  <c r="IUR38" i="1"/>
  <c r="IUJ38" i="1"/>
  <c r="IUB38" i="1"/>
  <c r="ITT38" i="1"/>
  <c r="ITL38" i="1"/>
  <c r="ITD38" i="1"/>
  <c r="ISV38" i="1"/>
  <c r="ISN38" i="1"/>
  <c r="ISF38" i="1"/>
  <c r="IRX38" i="1"/>
  <c r="IRP38" i="1"/>
  <c r="IRH38" i="1"/>
  <c r="IQZ38" i="1"/>
  <c r="IQR38" i="1"/>
  <c r="IQJ38" i="1"/>
  <c r="IQB38" i="1"/>
  <c r="IPT38" i="1"/>
  <c r="IPL38" i="1"/>
  <c r="IPD38" i="1"/>
  <c r="IOV38" i="1"/>
  <c r="ION38" i="1"/>
  <c r="IOF38" i="1"/>
  <c r="INX38" i="1"/>
  <c r="INP38" i="1"/>
  <c r="INH38" i="1"/>
  <c r="IMZ38" i="1"/>
  <c r="IMR38" i="1"/>
  <c r="IMJ38" i="1"/>
  <c r="IMB38" i="1"/>
  <c r="ILT38" i="1"/>
  <c r="ILL38" i="1"/>
  <c r="ILD38" i="1"/>
  <c r="IKV38" i="1"/>
  <c r="IKN38" i="1"/>
  <c r="IKF38" i="1"/>
  <c r="IJX38" i="1"/>
  <c r="IJP38" i="1"/>
  <c r="IJH38" i="1"/>
  <c r="IIZ38" i="1"/>
  <c r="IIR38" i="1"/>
  <c r="IIJ38" i="1"/>
  <c r="IIB38" i="1"/>
  <c r="IHT38" i="1"/>
  <c r="IHL38" i="1"/>
  <c r="IHD38" i="1"/>
  <c r="IGV38" i="1"/>
  <c r="IGN38" i="1"/>
  <c r="IGF38" i="1"/>
  <c r="IFX38" i="1"/>
  <c r="IFP38" i="1"/>
  <c r="IFH38" i="1"/>
  <c r="IEZ38" i="1"/>
  <c r="IER38" i="1"/>
  <c r="IEJ38" i="1"/>
  <c r="IEB38" i="1"/>
  <c r="IDT38" i="1"/>
  <c r="IDL38" i="1"/>
  <c r="IDD38" i="1"/>
  <c r="ICV38" i="1"/>
  <c r="ICN38" i="1"/>
  <c r="ICF38" i="1"/>
  <c r="IBX38" i="1"/>
  <c r="IBP38" i="1"/>
  <c r="IBH38" i="1"/>
  <c r="IAZ38" i="1"/>
  <c r="IAR38" i="1"/>
  <c r="IAJ38" i="1"/>
  <c r="IAB38" i="1"/>
  <c r="HZT38" i="1"/>
  <c r="HZL38" i="1"/>
  <c r="HZD38" i="1"/>
  <c r="HYV38" i="1"/>
  <c r="HYN38" i="1"/>
  <c r="HYF38" i="1"/>
  <c r="HXX38" i="1"/>
  <c r="HXP38" i="1"/>
  <c r="HXH38" i="1"/>
  <c r="HWZ38" i="1"/>
  <c r="HWR38" i="1"/>
  <c r="HWJ38" i="1"/>
  <c r="HWB38" i="1"/>
  <c r="HVT38" i="1"/>
  <c r="HVL38" i="1"/>
  <c r="HVD38" i="1"/>
  <c r="HUV38" i="1"/>
  <c r="HUN38" i="1"/>
  <c r="HUF38" i="1"/>
  <c r="HTX38" i="1"/>
  <c r="HTP38" i="1"/>
  <c r="HTH38" i="1"/>
  <c r="HSZ38" i="1"/>
  <c r="HSR38" i="1"/>
  <c r="HSJ38" i="1"/>
  <c r="HSB38" i="1"/>
  <c r="HRT38" i="1"/>
  <c r="HRL38" i="1"/>
  <c r="HRD38" i="1"/>
  <c r="HQV38" i="1"/>
  <c r="HQN38" i="1"/>
  <c r="HQF38" i="1"/>
  <c r="HPX38" i="1"/>
  <c r="HPP38" i="1"/>
  <c r="HPH38" i="1"/>
  <c r="HOZ38" i="1"/>
  <c r="HOR38" i="1"/>
  <c r="HOJ38" i="1"/>
  <c r="HOB38" i="1"/>
  <c r="HNT38" i="1"/>
  <c r="HNL38" i="1"/>
  <c r="HND38" i="1"/>
  <c r="HMV38" i="1"/>
  <c r="HMN38" i="1"/>
  <c r="HMF38" i="1"/>
  <c r="HLX38" i="1"/>
  <c r="HLP38" i="1"/>
  <c r="HLH38" i="1"/>
  <c r="HKZ38" i="1"/>
  <c r="HKR38" i="1"/>
  <c r="HKJ38" i="1"/>
  <c r="HKB38" i="1"/>
  <c r="HJT38" i="1"/>
  <c r="HJL38" i="1"/>
  <c r="HJD38" i="1"/>
  <c r="HIV38" i="1"/>
  <c r="HIN38" i="1"/>
  <c r="HIF38" i="1"/>
  <c r="HHX38" i="1"/>
  <c r="HHP38" i="1"/>
  <c r="HHH38" i="1"/>
  <c r="HGZ38" i="1"/>
  <c r="HGR38" i="1"/>
  <c r="HGJ38" i="1"/>
  <c r="HGB38" i="1"/>
  <c r="HFT38" i="1"/>
  <c r="HFL38" i="1"/>
  <c r="HFD38" i="1"/>
  <c r="HEV38" i="1"/>
  <c r="HEN38" i="1"/>
  <c r="HEF38" i="1"/>
  <c r="HDX38" i="1"/>
  <c r="HDP38" i="1"/>
  <c r="HDH38" i="1"/>
  <c r="HCZ38" i="1"/>
  <c r="HCR38" i="1"/>
  <c r="HCJ38" i="1"/>
  <c r="HCB38" i="1"/>
  <c r="HBT38" i="1"/>
  <c r="HBL38" i="1"/>
  <c r="HBD38" i="1"/>
  <c r="HAV38" i="1"/>
  <c r="HAN38" i="1"/>
  <c r="HAF38" i="1"/>
  <c r="GZX38" i="1"/>
  <c r="GZP38" i="1"/>
  <c r="GZH38" i="1"/>
  <c r="GYZ38" i="1"/>
  <c r="GYR38" i="1"/>
  <c r="GYJ38" i="1"/>
  <c r="GYB38" i="1"/>
  <c r="GXT38" i="1"/>
  <c r="GXL38" i="1"/>
  <c r="GXD38" i="1"/>
  <c r="GWV38" i="1"/>
  <c r="GWN38" i="1"/>
  <c r="GWF38" i="1"/>
  <c r="GVX38" i="1"/>
  <c r="GVP38" i="1"/>
  <c r="GVH38" i="1"/>
  <c r="GUZ38" i="1"/>
  <c r="GUR38" i="1"/>
  <c r="GUJ38" i="1"/>
  <c r="GUB38" i="1"/>
  <c r="GTT38" i="1"/>
  <c r="GTL38" i="1"/>
  <c r="GTD38" i="1"/>
  <c r="GSV38" i="1"/>
  <c r="GSN38" i="1"/>
  <c r="GSF38" i="1"/>
  <c r="GRX38" i="1"/>
  <c r="GRP38" i="1"/>
  <c r="GRH38" i="1"/>
  <c r="GQZ38" i="1"/>
  <c r="GQR38" i="1"/>
  <c r="GQJ38" i="1"/>
  <c r="GQB38" i="1"/>
  <c r="GPT38" i="1"/>
  <c r="GPL38" i="1"/>
  <c r="GPD38" i="1"/>
  <c r="GOV38" i="1"/>
  <c r="GON38" i="1"/>
  <c r="GOF38" i="1"/>
  <c r="GNX38" i="1"/>
  <c r="GNP38" i="1"/>
  <c r="GNH38" i="1"/>
  <c r="GMZ38" i="1"/>
  <c r="GMR38" i="1"/>
  <c r="GMJ38" i="1"/>
  <c r="GMB38" i="1"/>
  <c r="GLT38" i="1"/>
  <c r="GLL38" i="1"/>
  <c r="GLD38" i="1"/>
  <c r="GKV38" i="1"/>
  <c r="GKN38" i="1"/>
  <c r="GKF38" i="1"/>
  <c r="GJX38" i="1"/>
  <c r="GJP38" i="1"/>
  <c r="GJH38" i="1"/>
  <c r="GIZ38" i="1"/>
  <c r="GIR38" i="1"/>
  <c r="GIJ38" i="1"/>
  <c r="GIB38" i="1"/>
  <c r="GHT38" i="1"/>
  <c r="GHL38" i="1"/>
  <c r="GHD38" i="1"/>
  <c r="GGV38" i="1"/>
  <c r="GGN38" i="1"/>
  <c r="GGF38" i="1"/>
  <c r="GFX38" i="1"/>
  <c r="GFP38" i="1"/>
  <c r="GFH38" i="1"/>
  <c r="GEZ38" i="1"/>
  <c r="GER38" i="1"/>
  <c r="GEJ38" i="1"/>
  <c r="GEB38" i="1"/>
  <c r="GDT38" i="1"/>
  <c r="GDL38" i="1"/>
  <c r="GDD38" i="1"/>
  <c r="GCV38" i="1"/>
  <c r="GCN38" i="1"/>
  <c r="GCF38" i="1"/>
  <c r="GBX38" i="1"/>
  <c r="GBP38" i="1"/>
  <c r="GBH38" i="1"/>
  <c r="GAZ38" i="1"/>
  <c r="GAR38" i="1"/>
  <c r="GAJ38" i="1"/>
  <c r="GAB38" i="1"/>
  <c r="FZT38" i="1"/>
  <c r="FZL38" i="1"/>
  <c r="FZD38" i="1"/>
  <c r="FYV38" i="1"/>
  <c r="FYN38" i="1"/>
  <c r="FYF38" i="1"/>
  <c r="FXX38" i="1"/>
  <c r="FXP38" i="1"/>
  <c r="FXH38" i="1"/>
  <c r="FWZ38" i="1"/>
  <c r="FWR38" i="1"/>
  <c r="FWJ38" i="1"/>
  <c r="FWB38" i="1"/>
  <c r="FVT38" i="1"/>
  <c r="FVL38" i="1"/>
  <c r="FVD38" i="1"/>
  <c r="FUV38" i="1"/>
  <c r="FUN38" i="1"/>
  <c r="FUF38" i="1"/>
  <c r="FTX38" i="1"/>
  <c r="FTP38" i="1"/>
  <c r="FTH38" i="1"/>
  <c r="FSZ38" i="1"/>
  <c r="FSR38" i="1"/>
  <c r="FSJ38" i="1"/>
  <c r="FSB38" i="1"/>
  <c r="FRT38" i="1"/>
  <c r="FRL38" i="1"/>
  <c r="FRD38" i="1"/>
  <c r="FQV38" i="1"/>
  <c r="FQN38" i="1"/>
  <c r="FQF38" i="1"/>
  <c r="FPX38" i="1"/>
  <c r="FPP38" i="1"/>
  <c r="FPH38" i="1"/>
  <c r="FOZ38" i="1"/>
  <c r="FOR38" i="1"/>
  <c r="FOJ38" i="1"/>
  <c r="FOB38" i="1"/>
  <c r="FNT38" i="1"/>
  <c r="FNL38" i="1"/>
  <c r="FND38" i="1"/>
  <c r="FMV38" i="1"/>
  <c r="FMN38" i="1"/>
  <c r="FMF38" i="1"/>
  <c r="FLX38" i="1"/>
  <c r="FLP38" i="1"/>
  <c r="FLH38" i="1"/>
  <c r="FKZ38" i="1"/>
  <c r="FKR38" i="1"/>
  <c r="FKJ38" i="1"/>
  <c r="FKB38" i="1"/>
  <c r="FJT38" i="1"/>
  <c r="FJL38" i="1"/>
  <c r="FJD38" i="1"/>
  <c r="FIV38" i="1"/>
  <c r="FIN38" i="1"/>
  <c r="FIF38" i="1"/>
  <c r="FHX38" i="1"/>
  <c r="FHP38" i="1"/>
  <c r="FHH38" i="1"/>
  <c r="FGZ38" i="1"/>
  <c r="FGR38" i="1"/>
  <c r="FGJ38" i="1"/>
  <c r="FGB38" i="1"/>
  <c r="FFT38" i="1"/>
  <c r="FFL38" i="1"/>
  <c r="FFD38" i="1"/>
  <c r="FEV38" i="1"/>
  <c r="FEN38" i="1"/>
  <c r="FEF38" i="1"/>
  <c r="FDX38" i="1"/>
  <c r="FDP38" i="1"/>
  <c r="FDH38" i="1"/>
  <c r="FCZ38" i="1"/>
  <c r="FCR38" i="1"/>
  <c r="FCJ38" i="1"/>
  <c r="FCB38" i="1"/>
  <c r="FBT38" i="1"/>
  <c r="FBL38" i="1"/>
  <c r="FBD38" i="1"/>
  <c r="FAV38" i="1"/>
  <c r="FAN38" i="1"/>
  <c r="FAF38" i="1"/>
  <c r="EZX38" i="1"/>
  <c r="EZP38" i="1"/>
  <c r="EZH38" i="1"/>
  <c r="EYZ38" i="1"/>
  <c r="EYR38" i="1"/>
  <c r="EYJ38" i="1"/>
  <c r="EYB38" i="1"/>
  <c r="EXT38" i="1"/>
  <c r="EXL38" i="1"/>
  <c r="EXD38" i="1"/>
  <c r="EWV38" i="1"/>
  <c r="EWN38" i="1"/>
  <c r="EWF38" i="1"/>
  <c r="EVX38" i="1"/>
  <c r="EVP38" i="1"/>
  <c r="EVH38" i="1"/>
  <c r="EUZ38" i="1"/>
  <c r="EUR38" i="1"/>
  <c r="EUJ38" i="1"/>
  <c r="EUB38" i="1"/>
  <c r="ETT38" i="1"/>
  <c r="ETL38" i="1"/>
  <c r="ETD38" i="1"/>
  <c r="ESV38" i="1"/>
  <c r="ESN38" i="1"/>
  <c r="ESF38" i="1"/>
  <c r="ERX38" i="1"/>
  <c r="ERP38" i="1"/>
  <c r="ERH38" i="1"/>
  <c r="EQZ38" i="1"/>
  <c r="EQR38" i="1"/>
  <c r="EQJ38" i="1"/>
  <c r="EQB38" i="1"/>
  <c r="EPT38" i="1"/>
  <c r="EPL38" i="1"/>
  <c r="EPD38" i="1"/>
  <c r="EOV38" i="1"/>
  <c r="EON38" i="1"/>
  <c r="EOF38" i="1"/>
  <c r="ENX38" i="1"/>
  <c r="ENP38" i="1"/>
  <c r="ENH38" i="1"/>
  <c r="EMZ38" i="1"/>
  <c r="EMR38" i="1"/>
  <c r="EMJ38" i="1"/>
  <c r="EMB38" i="1"/>
  <c r="ELT38" i="1"/>
  <c r="ELL38" i="1"/>
  <c r="ELD38" i="1"/>
  <c r="EKV38" i="1"/>
  <c r="EKN38" i="1"/>
  <c r="EKF38" i="1"/>
  <c r="EJX38" i="1"/>
  <c r="EJP38" i="1"/>
  <c r="EJH38" i="1"/>
  <c r="EIZ38" i="1"/>
  <c r="EIR38" i="1"/>
  <c r="EIJ38" i="1"/>
  <c r="EIB38" i="1"/>
  <c r="EHT38" i="1"/>
  <c r="EHL38" i="1"/>
  <c r="EHD38" i="1"/>
  <c r="EGV38" i="1"/>
  <c r="EGN38" i="1"/>
  <c r="EGF38" i="1"/>
  <c r="EFX38" i="1"/>
  <c r="EFP38" i="1"/>
  <c r="EFH38" i="1"/>
  <c r="EEZ38" i="1"/>
  <c r="EER38" i="1"/>
  <c r="EEJ38" i="1"/>
  <c r="EEB38" i="1"/>
  <c r="EDT38" i="1"/>
  <c r="EDL38" i="1"/>
  <c r="EDD38" i="1"/>
  <c r="ECV38" i="1"/>
  <c r="ECN38" i="1"/>
  <c r="ECF38" i="1"/>
  <c r="EBX38" i="1"/>
  <c r="EBP38" i="1"/>
  <c r="EBH38" i="1"/>
  <c r="EAZ38" i="1"/>
  <c r="EAR38" i="1"/>
  <c r="EAJ38" i="1"/>
  <c r="EAB38" i="1"/>
  <c r="DZT38" i="1"/>
  <c r="DZL38" i="1"/>
  <c r="DZD38" i="1"/>
  <c r="DYV38" i="1"/>
  <c r="DYN38" i="1"/>
  <c r="DYF38" i="1"/>
  <c r="DXX38" i="1"/>
  <c r="DXP38" i="1"/>
  <c r="DXH38" i="1"/>
  <c r="DWZ38" i="1"/>
  <c r="DWR38" i="1"/>
  <c r="DWJ38" i="1"/>
  <c r="DWB38" i="1"/>
  <c r="DVT38" i="1"/>
  <c r="DVL38" i="1"/>
  <c r="DVD38" i="1"/>
  <c r="DUV38" i="1"/>
  <c r="DUN38" i="1"/>
  <c r="DUF38" i="1"/>
  <c r="DTX38" i="1"/>
  <c r="DTP38" i="1"/>
  <c r="DTH38" i="1"/>
  <c r="DSZ38" i="1"/>
  <c r="DSR38" i="1"/>
  <c r="DSJ38" i="1"/>
  <c r="DSB38" i="1"/>
  <c r="DRT38" i="1"/>
  <c r="DRL38" i="1"/>
  <c r="DRD38" i="1"/>
  <c r="DQV38" i="1"/>
  <c r="DQN38" i="1"/>
  <c r="DQF38" i="1"/>
  <c r="DPX38" i="1"/>
  <c r="DPP38" i="1"/>
  <c r="DPH38" i="1"/>
  <c r="DOZ38" i="1"/>
  <c r="DOR38" i="1"/>
  <c r="DOJ38" i="1"/>
  <c r="DOB38" i="1"/>
  <c r="DNT38" i="1"/>
  <c r="DNL38" i="1"/>
  <c r="DND38" i="1"/>
  <c r="DMV38" i="1"/>
  <c r="DMN38" i="1"/>
  <c r="DMF38" i="1"/>
  <c r="DLX38" i="1"/>
  <c r="DLP38" i="1"/>
  <c r="DLH38" i="1"/>
  <c r="DKZ38" i="1"/>
  <c r="DKR38" i="1"/>
  <c r="DKJ38" i="1"/>
  <c r="DKB38" i="1"/>
  <c r="DJT38" i="1"/>
  <c r="DJL38" i="1"/>
  <c r="DJD38" i="1"/>
  <c r="DIV38" i="1"/>
  <c r="DIN38" i="1"/>
  <c r="DIF38" i="1"/>
  <c r="DHX38" i="1"/>
  <c r="DHP38" i="1"/>
  <c r="DHH38" i="1"/>
  <c r="DGZ38" i="1"/>
  <c r="DGR38" i="1"/>
  <c r="DGJ38" i="1"/>
  <c r="DGB38" i="1"/>
  <c r="DFT38" i="1"/>
  <c r="DFL38" i="1"/>
  <c r="DFD38" i="1"/>
  <c r="DEV38" i="1"/>
  <c r="DEN38" i="1"/>
  <c r="DEF38" i="1"/>
  <c r="DDX38" i="1"/>
  <c r="DDP38" i="1"/>
  <c r="DDH38" i="1"/>
  <c r="DCZ38" i="1"/>
  <c r="DCR38" i="1"/>
  <c r="DCJ38" i="1"/>
  <c r="DCB38" i="1"/>
  <c r="DBT38" i="1"/>
  <c r="DBL38" i="1"/>
  <c r="DBD38" i="1"/>
  <c r="DAV38" i="1"/>
  <c r="DAN38" i="1"/>
  <c r="DAF38" i="1"/>
  <c r="CZX38" i="1"/>
  <c r="CZP38" i="1"/>
  <c r="CZH38" i="1"/>
  <c r="CYZ38" i="1"/>
  <c r="CYR38" i="1"/>
  <c r="CYJ38" i="1"/>
  <c r="CYB38" i="1"/>
  <c r="CXT38" i="1"/>
  <c r="CXL38" i="1"/>
  <c r="CXD38" i="1"/>
  <c r="CWV38" i="1"/>
  <c r="CWN38" i="1"/>
  <c r="CWF38" i="1"/>
  <c r="CVX38" i="1"/>
  <c r="CVP38" i="1"/>
  <c r="CVH38" i="1"/>
  <c r="CUZ38" i="1"/>
  <c r="CUR38" i="1"/>
  <c r="CUJ38" i="1"/>
  <c r="CUB38" i="1"/>
  <c r="CTT38" i="1"/>
  <c r="CTL38" i="1"/>
  <c r="CTD38" i="1"/>
  <c r="CSV38" i="1"/>
  <c r="CSN38" i="1"/>
  <c r="CSF38" i="1"/>
  <c r="CRX38" i="1"/>
  <c r="CRP38" i="1"/>
  <c r="CRH38" i="1"/>
  <c r="CQZ38" i="1"/>
  <c r="CQR38" i="1"/>
  <c r="CQJ38" i="1"/>
  <c r="CQB38" i="1"/>
  <c r="CPT38" i="1"/>
  <c r="CPL38" i="1"/>
  <c r="CPD38" i="1"/>
  <c r="COV38" i="1"/>
  <c r="CON38" i="1"/>
  <c r="COF38" i="1"/>
  <c r="CNX38" i="1"/>
  <c r="CNP38" i="1"/>
  <c r="CNH38" i="1"/>
  <c r="CMZ38" i="1"/>
  <c r="CMR38" i="1"/>
  <c r="CMJ38" i="1"/>
  <c r="CMB38" i="1"/>
  <c r="CLT38" i="1"/>
  <c r="CLL38" i="1"/>
  <c r="CLD38" i="1"/>
  <c r="CKV38" i="1"/>
  <c r="CKN38" i="1"/>
  <c r="CKF38" i="1"/>
  <c r="CJX38" i="1"/>
  <c r="CJP38" i="1"/>
  <c r="CJH38" i="1"/>
  <c r="CIZ38" i="1"/>
  <c r="CIR38" i="1"/>
  <c r="CIJ38" i="1"/>
  <c r="CIB38" i="1"/>
  <c r="CHT38" i="1"/>
  <c r="CHL38" i="1"/>
  <c r="CHD38" i="1"/>
  <c r="CGV38" i="1"/>
  <c r="CGN38" i="1"/>
  <c r="CGF38" i="1"/>
  <c r="CFX38" i="1"/>
  <c r="CFP38" i="1"/>
  <c r="CFH38" i="1"/>
  <c r="CEZ38" i="1"/>
  <c r="CER38" i="1"/>
  <c r="CEJ38" i="1"/>
  <c r="CEB38" i="1"/>
  <c r="CDT38" i="1"/>
  <c r="CDL38" i="1"/>
  <c r="CDD38" i="1"/>
  <c r="CCV38" i="1"/>
  <c r="CCN38" i="1"/>
  <c r="CCF38" i="1"/>
  <c r="CBX38" i="1"/>
  <c r="CBP38" i="1"/>
  <c r="CBH38" i="1"/>
  <c r="CAZ38" i="1"/>
  <c r="CAR38" i="1"/>
  <c r="CAJ38" i="1"/>
  <c r="CAB38" i="1"/>
  <c r="BZT38" i="1"/>
  <c r="BZL38" i="1"/>
  <c r="BZD38" i="1"/>
  <c r="BYV38" i="1"/>
  <c r="BYN38" i="1"/>
  <c r="BYF38" i="1"/>
  <c r="BXX38" i="1"/>
  <c r="BXP38" i="1"/>
  <c r="BXH38" i="1"/>
  <c r="BWZ38" i="1"/>
  <c r="BWR38" i="1"/>
  <c r="BWJ38" i="1"/>
  <c r="BWB38" i="1"/>
  <c r="BVT38" i="1"/>
  <c r="BVL38" i="1"/>
  <c r="BVD38" i="1"/>
  <c r="BUV38" i="1"/>
  <c r="BUN38" i="1"/>
  <c r="BUF38" i="1"/>
  <c r="BTX38" i="1"/>
  <c r="BTP38" i="1"/>
  <c r="BTH38" i="1"/>
  <c r="BSZ38" i="1"/>
  <c r="BSR38" i="1"/>
  <c r="BSJ38" i="1"/>
  <c r="BSB38" i="1"/>
  <c r="BRT38" i="1"/>
  <c r="BRL38" i="1"/>
  <c r="BRD38" i="1"/>
  <c r="BQV38" i="1"/>
  <c r="BQN38" i="1"/>
  <c r="BQF38" i="1"/>
  <c r="BPX38" i="1"/>
  <c r="BPP38" i="1"/>
  <c r="BPH38" i="1"/>
  <c r="BOZ38" i="1"/>
  <c r="BOR38" i="1"/>
  <c r="BOJ38" i="1"/>
  <c r="BOB38" i="1"/>
  <c r="BNT38" i="1"/>
  <c r="BNL38" i="1"/>
  <c r="BND38" i="1"/>
  <c r="BMV38" i="1"/>
  <c r="BMN38" i="1"/>
  <c r="BMF38" i="1"/>
  <c r="BLX38" i="1"/>
  <c r="BLP38" i="1"/>
  <c r="BLH38" i="1"/>
  <c r="BKZ38" i="1"/>
  <c r="BKR38" i="1"/>
  <c r="BKJ38" i="1"/>
  <c r="BKB38" i="1"/>
  <c r="BJT38" i="1"/>
  <c r="BJL38" i="1"/>
  <c r="BJD38" i="1"/>
  <c r="BIV38" i="1"/>
  <c r="BIN38" i="1"/>
  <c r="BIF38" i="1"/>
  <c r="BHX38" i="1"/>
  <c r="BHP38" i="1"/>
  <c r="BHH38" i="1"/>
  <c r="BGZ38" i="1"/>
  <c r="BGR38" i="1"/>
  <c r="BGJ38" i="1"/>
  <c r="BGB38" i="1"/>
  <c r="BFT38" i="1"/>
  <c r="BFL38" i="1"/>
  <c r="BFD38" i="1"/>
  <c r="BEV38" i="1"/>
  <c r="BEN38" i="1"/>
  <c r="BEF38" i="1"/>
  <c r="BDX38" i="1"/>
  <c r="BDP38" i="1"/>
  <c r="BDH38" i="1"/>
  <c r="BCZ38" i="1"/>
  <c r="BCR38" i="1"/>
  <c r="BCJ38" i="1"/>
  <c r="BCB38" i="1"/>
  <c r="BBT38" i="1"/>
  <c r="BBL38" i="1"/>
  <c r="BBD38" i="1"/>
  <c r="BAV38" i="1"/>
  <c r="BAN38" i="1"/>
  <c r="BAF38" i="1"/>
  <c r="AZX38" i="1"/>
  <c r="AZP38" i="1"/>
  <c r="AZH38" i="1"/>
  <c r="AYZ38" i="1"/>
  <c r="AYR38" i="1"/>
  <c r="AYJ38" i="1"/>
  <c r="AYB38" i="1"/>
  <c r="AXT38" i="1"/>
  <c r="AXL38" i="1"/>
  <c r="AXD38" i="1"/>
  <c r="AWV38" i="1"/>
  <c r="AWN38" i="1"/>
  <c r="AWF38" i="1"/>
  <c r="AVX38" i="1"/>
  <c r="AVP38" i="1"/>
  <c r="AVH38" i="1"/>
  <c r="AUZ38" i="1"/>
  <c r="AUR38" i="1"/>
  <c r="AUJ38" i="1"/>
  <c r="AUB38" i="1"/>
  <c r="ATT38" i="1"/>
  <c r="ATL38" i="1"/>
  <c r="ATD38" i="1"/>
  <c r="ASV38" i="1"/>
  <c r="ASN38" i="1"/>
  <c r="ASF38" i="1"/>
  <c r="ARX38" i="1"/>
  <c r="ARP38" i="1"/>
  <c r="ARH38" i="1"/>
  <c r="AQZ38" i="1"/>
  <c r="AQR38" i="1"/>
  <c r="AQJ38" i="1"/>
  <c r="AQB38" i="1"/>
  <c r="APT38" i="1"/>
  <c r="APL38" i="1"/>
  <c r="APD38" i="1"/>
  <c r="AOV38" i="1"/>
  <c r="AON38" i="1"/>
  <c r="AOF38" i="1"/>
  <c r="ANX38" i="1"/>
  <c r="ANP38" i="1"/>
  <c r="ANH38" i="1"/>
  <c r="AMZ38" i="1"/>
  <c r="AMR38" i="1"/>
  <c r="AMJ38" i="1"/>
  <c r="AMB38" i="1"/>
  <c r="ALT38" i="1"/>
  <c r="ALL38" i="1"/>
  <c r="ALD38" i="1"/>
  <c r="AKV38" i="1"/>
  <c r="AKN38" i="1"/>
  <c r="AKF38" i="1"/>
  <c r="AJX38" i="1"/>
  <c r="AJP38" i="1"/>
  <c r="AJH38" i="1"/>
  <c r="AIZ38" i="1"/>
  <c r="AIR38" i="1"/>
  <c r="AIJ38" i="1"/>
  <c r="AIB38" i="1"/>
  <c r="AHT38" i="1"/>
  <c r="AHL38" i="1"/>
  <c r="AHD38" i="1"/>
  <c r="AGV38" i="1"/>
  <c r="AGN38" i="1"/>
  <c r="AGF38" i="1"/>
  <c r="AFX38" i="1"/>
  <c r="AFP38" i="1"/>
  <c r="AFH38" i="1"/>
  <c r="AEZ38" i="1"/>
  <c r="AER38" i="1"/>
  <c r="AEJ38" i="1"/>
  <c r="AEB38" i="1"/>
  <c r="ADT38" i="1"/>
  <c r="ADL38" i="1"/>
  <c r="ADD38" i="1"/>
  <c r="ACV38" i="1"/>
  <c r="ACN38" i="1"/>
  <c r="ACF38" i="1"/>
  <c r="ABX38" i="1"/>
  <c r="ABP38" i="1"/>
  <c r="ABH38" i="1"/>
  <c r="AAZ38" i="1"/>
  <c r="AAR38" i="1"/>
  <c r="AAJ38" i="1"/>
  <c r="AAB38" i="1"/>
  <c r="ZT38" i="1"/>
  <c r="ZL38" i="1"/>
  <c r="ZD38" i="1"/>
  <c r="YV38" i="1"/>
  <c r="YN38" i="1"/>
  <c r="YF38" i="1"/>
  <c r="XX38" i="1"/>
  <c r="XP38" i="1"/>
  <c r="XH38" i="1"/>
  <c r="WZ38" i="1"/>
  <c r="WR38" i="1"/>
  <c r="WJ38" i="1"/>
  <c r="WB38" i="1"/>
  <c r="VT38" i="1"/>
  <c r="VL38" i="1"/>
  <c r="VD38" i="1"/>
  <c r="UV38" i="1"/>
  <c r="UN38" i="1"/>
  <c r="UF38" i="1"/>
  <c r="TX38" i="1"/>
  <c r="TP38" i="1"/>
  <c r="TH38" i="1"/>
  <c r="SZ38" i="1"/>
  <c r="SR38" i="1"/>
  <c r="SJ38" i="1"/>
  <c r="SB38" i="1"/>
  <c r="RT38" i="1"/>
  <c r="RL38" i="1"/>
  <c r="RD38" i="1"/>
  <c r="QV38" i="1"/>
  <c r="QN38" i="1"/>
  <c r="QF38" i="1"/>
  <c r="PX38" i="1"/>
  <c r="PP38" i="1"/>
  <c r="PH38" i="1"/>
  <c r="OZ38" i="1"/>
  <c r="OR38" i="1"/>
  <c r="OJ38" i="1"/>
  <c r="OB38" i="1"/>
  <c r="NT38" i="1"/>
  <c r="NL38" i="1"/>
  <c r="ND38" i="1"/>
  <c r="MV38" i="1"/>
  <c r="MN38" i="1"/>
  <c r="MF38" i="1"/>
  <c r="LX38" i="1"/>
  <c r="LP38" i="1"/>
  <c r="LH38" i="1"/>
  <c r="KZ38" i="1"/>
  <c r="KR38" i="1"/>
  <c r="KJ38" i="1"/>
  <c r="KB38" i="1"/>
  <c r="JT38" i="1"/>
  <c r="JL38" i="1"/>
  <c r="JD38" i="1"/>
  <c r="IV38" i="1"/>
  <c r="IN38" i="1"/>
  <c r="IF38" i="1"/>
  <c r="HX38" i="1"/>
  <c r="HP38" i="1"/>
  <c r="H59" i="8"/>
  <c r="G59" i="8"/>
  <c r="F59" i="8"/>
  <c r="A59" i="8"/>
  <c r="H58" i="8"/>
  <c r="G58" i="8"/>
  <c r="F58" i="8"/>
  <c r="A58" i="8"/>
  <c r="H57" i="8"/>
  <c r="G57" i="8"/>
  <c r="F57" i="8"/>
  <c r="A57" i="8"/>
  <c r="H56" i="8"/>
  <c r="G56" i="8"/>
  <c r="F56" i="8"/>
  <c r="A56" i="8"/>
  <c r="H55" i="8"/>
  <c r="G55" i="8"/>
  <c r="F55" i="8"/>
  <c r="A55" i="8"/>
  <c r="H54" i="8"/>
  <c r="G54" i="8"/>
  <c r="F54" i="8"/>
  <c r="A54" i="8"/>
  <c r="H53" i="8"/>
  <c r="G53" i="8"/>
  <c r="F53" i="8"/>
  <c r="A53" i="8"/>
  <c r="H52" i="8"/>
  <c r="G52" i="8"/>
  <c r="F52" i="8"/>
  <c r="A52" i="8"/>
  <c r="H51" i="8"/>
  <c r="G51" i="8"/>
  <c r="F51" i="8"/>
  <c r="A51" i="8"/>
  <c r="H50" i="8"/>
  <c r="G50" i="8"/>
  <c r="F50" i="8"/>
  <c r="A50" i="8"/>
  <c r="H49" i="8"/>
  <c r="G49" i="8"/>
  <c r="F49" i="8"/>
  <c r="A49" i="8"/>
  <c r="H48" i="8"/>
  <c r="G48" i="8"/>
  <c r="F48" i="8"/>
  <c r="A48" i="8"/>
  <c r="H47" i="8"/>
  <c r="G47" i="8"/>
  <c r="F47" i="8"/>
  <c r="A47" i="8"/>
  <c r="H46" i="8"/>
  <c r="G46" i="8"/>
  <c r="F46" i="8"/>
  <c r="A46" i="8"/>
  <c r="H45" i="8"/>
  <c r="G45" i="8"/>
  <c r="F45" i="8"/>
  <c r="A45" i="8"/>
  <c r="H44" i="8"/>
  <c r="G44" i="8"/>
  <c r="F44" i="8"/>
  <c r="A44" i="8"/>
  <c r="H43" i="8"/>
  <c r="G43" i="8"/>
  <c r="F43" i="8"/>
  <c r="A43" i="8"/>
  <c r="H42" i="8"/>
  <c r="G42" i="8"/>
  <c r="F42" i="8"/>
  <c r="A42" i="8"/>
  <c r="H41" i="8"/>
  <c r="G41" i="8"/>
  <c r="F41" i="8"/>
  <c r="A41" i="8"/>
  <c r="H40" i="8"/>
  <c r="G40" i="8"/>
  <c r="F40" i="8"/>
  <c r="C40" i="8"/>
  <c r="A40" i="8"/>
  <c r="H39" i="8"/>
  <c r="G39" i="8"/>
  <c r="F39" i="8"/>
  <c r="C39" i="8"/>
  <c r="A39" i="8"/>
  <c r="H38" i="8"/>
  <c r="G38" i="8"/>
  <c r="F38" i="8"/>
  <c r="C38" i="8"/>
  <c r="A38" i="8"/>
  <c r="H37" i="8"/>
  <c r="G37" i="8"/>
  <c r="F37" i="8"/>
  <c r="C37" i="8"/>
  <c r="A37" i="8"/>
  <c r="H36" i="8"/>
  <c r="G36" i="8"/>
  <c r="F36" i="8"/>
  <c r="C36" i="8"/>
  <c r="A36" i="8"/>
  <c r="H35" i="8"/>
  <c r="G35" i="8"/>
  <c r="F35" i="8"/>
  <c r="C35" i="8"/>
  <c r="A35" i="8"/>
  <c r="H34" i="8"/>
  <c r="G34" i="8"/>
  <c r="F34" i="8"/>
  <c r="C34" i="8"/>
  <c r="A34" i="8"/>
  <c r="H33" i="8"/>
  <c r="G33" i="8"/>
  <c r="F33" i="8"/>
  <c r="C33" i="8"/>
  <c r="A33" i="8"/>
  <c r="H32" i="8"/>
  <c r="G32" i="8"/>
  <c r="F32" i="8"/>
  <c r="C32" i="8"/>
  <c r="A32" i="8"/>
  <c r="H31" i="8"/>
  <c r="G31" i="8"/>
  <c r="F31" i="8"/>
  <c r="C31" i="8"/>
  <c r="A31" i="8"/>
  <c r="H30" i="8"/>
  <c r="G30" i="8"/>
  <c r="F30" i="8"/>
  <c r="C30" i="8"/>
  <c r="A30" i="8"/>
  <c r="H29" i="8"/>
  <c r="G29" i="8"/>
  <c r="F29" i="8"/>
  <c r="C29" i="8"/>
  <c r="A29" i="8"/>
  <c r="H28" i="8"/>
  <c r="G28" i="8"/>
  <c r="F28" i="8"/>
  <c r="C28" i="8"/>
  <c r="A28" i="8"/>
  <c r="H27" i="8"/>
  <c r="G27" i="8"/>
  <c r="F27" i="8"/>
  <c r="C27" i="8"/>
  <c r="A27" i="8"/>
  <c r="H26" i="8"/>
  <c r="G26" i="8"/>
  <c r="F26" i="8"/>
  <c r="C26" i="8"/>
  <c r="A26" i="8"/>
  <c r="H25" i="8"/>
  <c r="G25" i="8"/>
  <c r="F25" i="8"/>
  <c r="C25" i="8"/>
  <c r="A25" i="8"/>
  <c r="H24" i="8"/>
  <c r="G24" i="8"/>
  <c r="F24" i="8"/>
  <c r="C24" i="8"/>
  <c r="A24" i="8"/>
  <c r="H23" i="8"/>
  <c r="G23" i="8"/>
  <c r="F23" i="8"/>
  <c r="C23" i="8"/>
  <c r="A23" i="8"/>
  <c r="H22" i="8"/>
  <c r="G22" i="8"/>
  <c r="F22" i="8"/>
  <c r="C22" i="8"/>
  <c r="A22" i="8"/>
  <c r="H21" i="8"/>
  <c r="G21" i="8"/>
  <c r="F21" i="8"/>
  <c r="C21" i="8"/>
  <c r="A21" i="8"/>
  <c r="H20" i="8"/>
  <c r="G20" i="8"/>
  <c r="F20" i="8"/>
  <c r="C20" i="8"/>
  <c r="A20" i="8"/>
  <c r="H19" i="8"/>
  <c r="G19" i="8"/>
  <c r="F19" i="8"/>
  <c r="C19" i="8"/>
  <c r="A19" i="8"/>
  <c r="H18" i="8"/>
  <c r="G18" i="8"/>
  <c r="F18" i="8"/>
  <c r="C18" i="8"/>
  <c r="A18" i="8"/>
  <c r="H17" i="8"/>
  <c r="G17" i="8"/>
  <c r="F17" i="8"/>
  <c r="C17" i="8"/>
  <c r="A17" i="8"/>
  <c r="H16" i="8"/>
  <c r="G16" i="8"/>
  <c r="F16" i="8"/>
  <c r="C16" i="8"/>
  <c r="A16" i="8"/>
  <c r="H15" i="8"/>
  <c r="G15" i="8"/>
  <c r="F15" i="8"/>
  <c r="C15" i="8"/>
  <c r="A15" i="8"/>
  <c r="H14" i="8"/>
  <c r="G14" i="8"/>
  <c r="F14" i="8"/>
  <c r="C14" i="8"/>
  <c r="A14" i="8"/>
  <c r="H13" i="8"/>
  <c r="G13" i="8"/>
  <c r="F13" i="8"/>
  <c r="C13" i="8"/>
  <c r="A13" i="8"/>
  <c r="H12" i="8"/>
  <c r="G12" i="8"/>
  <c r="F12" i="8"/>
  <c r="C12" i="8"/>
  <c r="A12" i="8"/>
  <c r="H11" i="8"/>
  <c r="G11" i="8"/>
  <c r="F11" i="8"/>
  <c r="C11" i="8"/>
  <c r="A11" i="8"/>
  <c r="H10" i="8"/>
  <c r="G10" i="8"/>
  <c r="F10" i="8"/>
  <c r="C10" i="8"/>
  <c r="A10" i="8"/>
  <c r="H9" i="8"/>
  <c r="G9" i="8"/>
  <c r="F9" i="8"/>
  <c r="C9" i="8"/>
  <c r="A9" i="8"/>
  <c r="H8" i="8"/>
  <c r="G8" i="8"/>
  <c r="F8" i="8"/>
  <c r="C8" i="8"/>
  <c r="A8" i="8"/>
  <c r="H7" i="8"/>
  <c r="G7" i="8"/>
  <c r="F7" i="8"/>
  <c r="C7" i="8"/>
  <c r="A7" i="8"/>
  <c r="H6" i="8"/>
  <c r="G6" i="8"/>
  <c r="F6" i="8"/>
  <c r="C6" i="8"/>
  <c r="A6" i="8"/>
  <c r="H5" i="8"/>
  <c r="G5" i="8"/>
  <c r="F5" i="8"/>
  <c r="C5" i="8" s="1"/>
  <c r="A5" i="8"/>
  <c r="C4" i="8"/>
  <c r="P18" i="2" a="1"/>
  <c r="P18" i="2"/>
  <c r="P13" i="2" a="1"/>
  <c r="P13" i="2" s="1"/>
  <c r="P12" i="2" a="1"/>
  <c r="P12" i="2"/>
  <c r="P11" i="2" a="1"/>
  <c r="P11" i="2" s="1"/>
  <c r="P10" i="2" a="1"/>
  <c r="P10" i="2" s="1"/>
  <c r="P8" i="2" a="1"/>
  <c r="P8" i="2" s="1"/>
  <c r="P7" i="2" a="1"/>
  <c r="P7" i="2" s="1"/>
  <c r="P6" i="2" a="1"/>
  <c r="P6" i="2" s="1"/>
  <c r="P5" i="2" a="1"/>
  <c r="P5" i="2"/>
  <c r="I3" i="2"/>
  <c r="D38" i="2" s="1"/>
  <c r="I38" i="2" s="1"/>
  <c r="D73" i="2" s="1"/>
  <c r="I73" i="2" s="1"/>
  <c r="D108" i="2" s="1"/>
  <c r="I108" i="2" s="1"/>
  <c r="D143" i="2" s="1"/>
  <c r="I143" i="2" s="1"/>
  <c r="D178" i="2" s="1"/>
  <c r="I178" i="2" s="1"/>
  <c r="D213" i="2" s="1"/>
  <c r="I213" i="2" s="1"/>
  <c r="D248" i="2" s="1"/>
  <c r="I248" i="2" s="1"/>
  <c r="D283" i="2" s="1"/>
  <c r="I283" i="2" s="1"/>
  <c r="D318" i="2" s="1"/>
  <c r="I318" i="2" s="1"/>
  <c r="I6" i="1"/>
  <c r="C6" i="1"/>
  <c r="J5" i="1"/>
  <c r="I5" i="1"/>
  <c r="D5" i="1"/>
  <c r="C5" i="1"/>
  <c r="I4" i="1"/>
  <c r="C4" i="1"/>
  <c r="I3" i="1"/>
  <c r="C3" i="1"/>
  <c r="C2" i="1"/>
  <c r="F19" i="2" l="1"/>
  <c r="F4" i="2"/>
  <c r="G4" i="2" s="1"/>
  <c r="H4" i="2" s="1"/>
  <c r="I4" i="2" s="1"/>
  <c r="J4" i="2" s="1"/>
  <c r="K4" i="2" s="1"/>
  <c r="L4" i="2" s="1"/>
  <c r="M4" i="2" s="1"/>
  <c r="D39" i="2" s="1"/>
  <c r="E39" i="2" l="1"/>
  <c r="T18" i="2"/>
  <c r="R19" i="2"/>
  <c r="R14" i="2"/>
  <c r="F39" i="2" l="1"/>
  <c r="G39" i="2" s="1"/>
  <c r="H39" i="2" s="1"/>
  <c r="I39" i="2" s="1"/>
  <c r="J39" i="2" s="1"/>
  <c r="K39" i="2" s="1"/>
  <c r="L39" i="2" s="1"/>
  <c r="M39" i="2" s="1"/>
  <c r="D74" i="2" s="1"/>
  <c r="E74" i="2" s="1"/>
  <c r="F74" i="2" s="1"/>
  <c r="G74" i="2" s="1"/>
  <c r="H74" i="2" s="1"/>
  <c r="I74" i="2" s="1"/>
  <c r="J74" i="2" s="1"/>
  <c r="K74" i="2" s="1"/>
  <c r="L74" i="2" s="1"/>
  <c r="M74" i="2" s="1"/>
  <c r="D109" i="2" s="1"/>
  <c r="E109" i="2" s="1"/>
  <c r="F109" i="2" s="1"/>
  <c r="G109" i="2" s="1"/>
  <c r="H109" i="2" s="1"/>
  <c r="I109" i="2" s="1"/>
  <c r="J109" i="2" s="1"/>
  <c r="K109" i="2" s="1"/>
  <c r="L109" i="2" s="1"/>
  <c r="M109" i="2"/>
  <c r="D144" i="2" l="1"/>
  <c r="T24" i="2"/>
  <c r="T23" i="2"/>
  <c r="E144" i="2" l="1"/>
  <c r="F144" i="2" l="1"/>
  <c r="G144" i="2" l="1"/>
  <c r="H144" i="2" l="1"/>
  <c r="I144" i="2" l="1"/>
  <c r="J144" i="2" l="1"/>
  <c r="K144" i="2" l="1"/>
  <c r="L144" i="2" l="1"/>
  <c r="M144" i="2" l="1"/>
  <c r="D179" i="2" l="1"/>
  <c r="E179" i="2" l="1"/>
  <c r="F179" i="2" l="1"/>
  <c r="G179" i="2" l="1"/>
  <c r="H179" i="2" l="1"/>
  <c r="I179" i="2" l="1"/>
  <c r="J179" i="2" l="1"/>
  <c r="K179" i="2" l="1"/>
  <c r="L179" i="2" l="1"/>
  <c r="M179" i="2" l="1"/>
  <c r="D214" i="2" l="1"/>
  <c r="E214" i="2" l="1"/>
  <c r="F214" i="2" l="1"/>
  <c r="G214" i="2" l="1"/>
  <c r="H214" i="2" l="1"/>
  <c r="I214" i="2" l="1"/>
  <c r="J214" i="2" l="1"/>
  <c r="K214" i="2" l="1"/>
  <c r="L214" i="2" l="1"/>
  <c r="M214" i="2" l="1"/>
  <c r="D249" i="2" l="1"/>
  <c r="E249" i="2" l="1"/>
  <c r="F249" i="2" l="1"/>
  <c r="G249" i="2" l="1"/>
  <c r="H249" i="2" l="1"/>
  <c r="I249" i="2" l="1"/>
  <c r="J249" i="2" l="1"/>
  <c r="K249" i="2" l="1"/>
  <c r="L249" i="2" l="1"/>
  <c r="M249" i="2" l="1"/>
  <c r="D284" i="2" l="1"/>
  <c r="E284" i="2" l="1"/>
  <c r="F284" i="2" l="1"/>
  <c r="G284" i="2" l="1"/>
  <c r="H284" i="2" l="1"/>
  <c r="I284" i="2" l="1"/>
  <c r="J284" i="2" l="1"/>
  <c r="K284" i="2" l="1"/>
  <c r="L284" i="2" l="1"/>
  <c r="M284" i="2" l="1"/>
  <c r="D319" i="2" l="1"/>
  <c r="E319" i="2" l="1"/>
  <c r="F319" i="2" l="1"/>
  <c r="G319" i="2" l="1"/>
  <c r="H319" i="2" l="1"/>
  <c r="I319" i="2" l="1"/>
  <c r="J319" i="2" l="1"/>
  <c r="K319" i="2" l="1"/>
  <c r="L319" i="2" l="1"/>
  <c r="M319" i="2" l="1"/>
  <c r="D354" i="2" s="1"/>
  <c r="E354" i="2" s="1"/>
  <c r="F354" i="2" s="1"/>
  <c r="G354" i="2" s="1"/>
  <c r="H354" i="2" s="1"/>
  <c r="I354" i="2" s="1"/>
  <c r="J354" i="2" s="1"/>
  <c r="K354" i="2" s="1"/>
  <c r="S9" i="2" l="1"/>
  <c r="T9" i="2" s="1"/>
  <c r="S10" i="2"/>
  <c r="T10" i="2" s="1"/>
  <c r="S11" i="2"/>
  <c r="T11" i="2" s="1"/>
  <c r="S12" i="2"/>
  <c r="T12" i="2" s="1"/>
  <c r="S13" i="2"/>
  <c r="T13" i="2" s="1"/>
  <c r="S5" i="2"/>
  <c r="S6" i="2"/>
  <c r="T6" i="2" s="1"/>
  <c r="S7" i="2"/>
  <c r="T7" i="2" s="1"/>
  <c r="S8" i="2"/>
  <c r="T8" i="2" s="1"/>
  <c r="S17" i="2"/>
  <c r="T17" i="2" s="1"/>
  <c r="S22" i="2"/>
  <c r="T22" i="2" s="1"/>
  <c r="S21" i="2"/>
  <c r="T21" i="2" s="1"/>
  <c r="S20" i="2"/>
  <c r="S16" i="2"/>
  <c r="T16" i="2" s="1"/>
  <c r="S15" i="2"/>
  <c r="T5" i="2" l="1"/>
  <c r="S14" i="2"/>
  <c r="T14" i="2" s="1"/>
  <c r="T15" i="2"/>
  <c r="S19" i="2"/>
  <c r="T19" i="2" s="1"/>
  <c r="T20" i="2"/>
  <c r="S25" i="2"/>
  <c r="T25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RICHVALUE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<sst xmlns="http://schemas.openxmlformats.org/spreadsheetml/2006/main" count="10514" uniqueCount="169">
  <si>
    <t>훈련과정명</t>
  </si>
  <si>
    <t>[이스트캠프] AI 휴먼(멀티모달, TTS, STT, 프롬프트 엔지니어링, RAG)</t>
  </si>
  <si>
    <t>훈련과정 ID</t>
  </si>
  <si>
    <t>회차</t>
  </si>
  <si>
    <t>연간운영인원</t>
  </si>
  <si>
    <t>정원</t>
  </si>
  <si>
    <t>디지털 신기술 분야</t>
  </si>
  <si>
    <t>훈련수준</t>
  </si>
  <si>
    <t>NCS소분류(6자리)</t>
  </si>
  <si>
    <t>NCS세분류(8자리)</t>
  </si>
  <si>
    <t>국기직종</t>
  </si>
  <si>
    <t>KECO직종</t>
  </si>
  <si>
    <t>총 훈련시간</t>
  </si>
  <si>
    <t>정규교과 시간</t>
  </si>
  <si>
    <t>프로젝트 시간</t>
  </si>
  <si>
    <t>교과구분</t>
  </si>
  <si>
    <t>교과목명</t>
  </si>
  <si>
    <t>세부내용</t>
  </si>
  <si>
    <t>훈련시간</t>
  </si>
  <si>
    <t>비고</t>
  </si>
  <si>
    <t>이론</t>
  </si>
  <si>
    <t>실기</t>
  </si>
  <si>
    <t>합계</t>
  </si>
  <si>
    <t>정규교과-1</t>
  </si>
  <si>
    <t>Python 전처리 및 시각화</t>
  </si>
  <si>
    <t>상수, 변수, 함수, 제어문, 반복문을 이용한 코드 구현</t>
  </si>
  <si>
    <t>객체지향에 대한 이해 및 객체지향 프로그래밍</t>
  </si>
  <si>
    <t>소계</t>
  </si>
  <si>
    <t>-</t>
  </si>
  <si>
    <t>정규교과-2</t>
  </si>
  <si>
    <t>Pandas, Numpy를 이용한 데이터 전처리</t>
  </si>
  <si>
    <t>Matplolib, Seaborn 등 도구를 활용한 데이터 시각화</t>
  </si>
  <si>
    <t>정규교과-3</t>
  </si>
  <si>
    <t>머신러닝과 딥러닝</t>
  </si>
  <si>
    <t>지도-비지도 학습, 머신러닝으로 해결 가능한 예측-분류 문제에 대한 이해</t>
  </si>
  <si>
    <t>간단한 머신러닝 모델 학습을 통해 모델, 학습, 추론 등 개념에 대해 이해</t>
  </si>
  <si>
    <t>인공신경망과 기본적인 딥러닝 모델(RNN, CNN, LSTM 등) 학습</t>
  </si>
  <si>
    <t>딥러닝 모델을 사용한 문제 해결 실습</t>
  </si>
  <si>
    <t>정규교과-4</t>
  </si>
  <si>
    <t>자연어 및 음성 데이터 활용 및 모델 개발</t>
  </si>
  <si>
    <t>자연어 및 음성 데이터의 특성 파악</t>
  </si>
  <si>
    <t>자연어 및 음성 데이터의 고유한 특성에 맞는 전처리 방식 학습</t>
  </si>
  <si>
    <t>분석을 위한 기초 모델에 대한 이해</t>
  </si>
  <si>
    <t>멀티 모달에 대한 이해 및 활용</t>
  </si>
  <si>
    <t>SwiftUI 앱 개발</t>
  </si>
  <si>
    <t>SwiftUI, UserDefaults: 회고 시스템 개발</t>
  </si>
  <si>
    <t>프로젝트-1</t>
  </si>
  <si>
    <t>데이터의 특성에 따른 적절한 음성 모델 검증하기</t>
  </si>
  <si>
    <t>SwiftUI, SwiftData: 반응형 컨텐츠를 활용한 퀴즈 앱 개발</t>
  </si>
  <si>
    <t>음성 데이터 활용 모델 학습 및 평가하기</t>
  </si>
  <si>
    <t>정규교과-5</t>
  </si>
  <si>
    <t>음성 데이터 활용한 TTS와 STT 모델 개발</t>
  </si>
  <si>
    <t>음성 데이터의 특성과 처리 방식에 대한 이론 및 실습</t>
  </si>
  <si>
    <t>오픈소스 모델을 활용한 음성 데이터 학습 실습</t>
  </si>
  <si>
    <t>정규교과-6</t>
  </si>
  <si>
    <t>거대 언어 모델을 활용한 자연어 생성</t>
  </si>
  <si>
    <t>LLaMA를 활용한 자연어 생성 실습</t>
  </si>
  <si>
    <t>Transformer 신경망 아키텍쳐 모델 학습</t>
  </si>
  <si>
    <t>정규교과-7</t>
  </si>
  <si>
    <t>프롬프트 엔지니어링</t>
  </si>
  <si>
    <t>프롬프트 엔지니어링을 통한 답변 형식 최적화</t>
  </si>
  <si>
    <t>정규교과-8</t>
  </si>
  <si>
    <t>Langchain 활용하기</t>
  </si>
  <si>
    <t>Langchain 프레임워크 활용법 이해하기</t>
  </si>
  <si>
    <t>Langchain을 활용한 데이터베이스 통합 시스템 구축</t>
  </si>
  <si>
    <t>정규교과-9</t>
  </si>
  <si>
    <t>RAG(Retrieval-Augmented Generation)</t>
  </si>
  <si>
    <t>RAG(Retrieval-Augmented Generation; 검색 증강 생성) 이해하기</t>
  </si>
  <si>
    <t>외부 데이터 소스 연동 및 RAG 모델을 활용한 프롬프트 최적화</t>
  </si>
  <si>
    <t>나만의 음성 모델 만들기</t>
  </si>
  <si>
    <t>- PERSO AI에 탑재할 텍스트-음성, 음성-텍스트 변환 모델 구현
- 구현한 모델을 제공되는 PERSO AI SDK에 탑재하기</t>
  </si>
  <si>
    <t>프로젝트-2</t>
  </si>
  <si>
    <t>거대 언어 모델을 활용한 PERSO AI 답변 기능 구현하기</t>
  </si>
  <si>
    <t>- LLaMa를 활용한 응답 생성 모델 구축하기
- 원하는 스타일에 맞게 응답이 나오도록 프롬프트 최적화하기
- 학습시킨 응답 생성 모델의 성능 검증하기
- PERSO Live Chat SDK의 API로 학습시킨 응답 모델 탑재하기</t>
  </si>
  <si>
    <t>프로젝트-3</t>
  </si>
  <si>
    <t>사전 데이터 기반 PERSO AI의 답변 커스텀하기</t>
  </si>
  <si>
    <t>- Langchain 활용 LLM 기반 애플리케이션 오케스트레이션
- 외부 데이터를 동적으로 참조하여 응답 생성하는 RAG 기능 구현
- 사용자 질의에 대해 정확하고 풍부한 맥락을 제공할 수 있는 커스텀 AI 시스템 완성</t>
  </si>
  <si>
    <t>프로젝트-4</t>
  </si>
  <si>
    <t>기타-1</t>
  </si>
  <si>
    <t>OT</t>
  </si>
  <si>
    <t>- Ice Breaking 및 팀워크 훈련</t>
  </si>
  <si>
    <t>기타-2</t>
  </si>
  <si>
    <t>프로젝트 발표 및 수료식</t>
  </si>
  <si>
    <t>- 최종 프로젝트 발표
- 우수 수료생 시상
- 수료식</t>
  </si>
  <si>
    <t>기타-3</t>
  </si>
  <si>
    <t>커리어 특강, 인성 교육</t>
  </si>
  <si>
    <t>- 이스트소프트 HR 담당자의 커리어 특강
- 이스트소프트 기술 인력의 기술 특강</t>
  </si>
  <si>
    <t>기타-4</t>
  </si>
  <si>
    <t>기타-5</t>
  </si>
  <si>
    <t>훈련시간 대조표</t>
  </si>
  <si>
    <t>※ 작성 가이드 : O2 셀에서 과정 선택 / 2. 시간표 내 "교과구분, 세부내용" 작성 / 3. 시간표 내 세부내용 작성 시 RD상 세부내용으로 기입 요청</t>
  </si>
  <si>
    <t>AI휴먼</t>
  </si>
  <si>
    <t>&lt;- 과정 선택</t>
  </si>
  <si>
    <t>자동기입</t>
  </si>
  <si>
    <t>교시</t>
  </si>
  <si>
    <t>시간</t>
  </si>
  <si>
    <t>상세</t>
  </si>
  <si>
    <t>입력 시 시간표 자동입력</t>
  </si>
  <si>
    <t>훈련시간 비교</t>
  </si>
  <si>
    <t>대조
(A-B)</t>
  </si>
  <si>
    <t>강사명</t>
  </si>
  <si>
    <t>과정정보 (A)</t>
  </si>
  <si>
    <t>시간표 (B)</t>
  </si>
  <si>
    <t>1교시</t>
  </si>
  <si>
    <t>09:00
~
10:00</t>
  </si>
  <si>
    <t>주강사</t>
  </si>
  <si>
    <t>2교시</t>
  </si>
  <si>
    <t>10:00
~
11:00</t>
  </si>
  <si>
    <t>3교시</t>
  </si>
  <si>
    <t>11:00
~
12:00</t>
  </si>
  <si>
    <t>점심
시간</t>
  </si>
  <si>
    <t>4교시</t>
  </si>
  <si>
    <t>13:00
~
14:00</t>
  </si>
  <si>
    <t>5교시</t>
  </si>
  <si>
    <t>14:00
~
15:00</t>
  </si>
  <si>
    <t>6교시</t>
  </si>
  <si>
    <t>15:00
~
16:00</t>
  </si>
  <si>
    <t>7교시</t>
  </si>
  <si>
    <t>16:00
~
17:00</t>
  </si>
  <si>
    <t>8교시</t>
  </si>
  <si>
    <t>17:00
~
18:00</t>
  </si>
  <si>
    <t>연락처</t>
  </si>
  <si>
    <t>예시</t>
  </si>
  <si>
    <t>홍길동</t>
  </si>
  <si>
    <t>취업특강</t>
  </si>
  <si>
    <t>NO</t>
  </si>
  <si>
    <t>일자</t>
  </si>
  <si>
    <t>1. 아래 강사 정보를 기입
2. 지급표 시트에서 "일자, 투입시간,이름" 만 기입</t>
  </si>
  <si>
    <t>요일</t>
  </si>
  <si>
    <t>투입 시간</t>
  </si>
  <si>
    <t>이름</t>
  </si>
  <si>
    <t>담당</t>
  </si>
  <si>
    <t>소속</t>
  </si>
  <si>
    <t>메일주소</t>
  </si>
  <si>
    <t>금액(단가)</t>
  </si>
  <si>
    <t>1회차</t>
  </si>
  <si>
    <t>주강사 or 멘토</t>
  </si>
  <si>
    <t>프리랜서 or 이스트소프트</t>
  </si>
  <si>
    <t>현직자 멘토링 or 취업특강 등</t>
  </si>
  <si>
    <t>프리랜서</t>
  </si>
  <si>
    <t>000-0000-0000</t>
  </si>
  <si>
    <t>KKK@estsoft.com</t>
  </si>
  <si>
    <t>교과목 정보</t>
  </si>
  <si>
    <t>과정구분</t>
  </si>
  <si>
    <t>Python 프로그래밍</t>
  </si>
  <si>
    <t>커리어 특강 및 인성 교육</t>
  </si>
  <si>
    <t>5회차</t>
    <phoneticPr fontId="31" type="noConversion"/>
  </si>
  <si>
    <t>김도영</t>
    <phoneticPr fontId="31" type="noConversion"/>
  </si>
  <si>
    <t>정동형</t>
    <phoneticPr fontId="31" type="noConversion"/>
  </si>
  <si>
    <t>Ice Breaking 및 팀워크 훈련</t>
  </si>
  <si>
    <t>지도-비지도학습, 머신러닝으로 해결 가능한 예측-분류 문제에 대한 이해</t>
  </si>
  <si>
    <t>간단한 머신러닝모델 학습을 통해 모델, 학습, 추론 등 개념에 대해 이해</t>
  </si>
  <si>
    <t>자연어 및 음성데이터의 고유한 특성에 맞는 전처리 방식 학습</t>
  </si>
  <si>
    <t>PERSOAI에 탑재할 텍스트-음성, 음성-텍스트변환 모델 구현</t>
  </si>
  <si>
    <t>구현한 모델을 제공되는PERSO AI SDK에 탑재하기</t>
  </si>
  <si>
    <t>LLaMa를 활용한 응답 생성 모델 구축하기</t>
  </si>
  <si>
    <t>원하는 스타일에 맞게 응답이 나오도록 프롬프트 최적화 하기</t>
  </si>
  <si>
    <t>학습시킨 응답 생성 모델의 성능 검증하기</t>
  </si>
  <si>
    <t>PERSOLiveChatSDK의API로학습시킨응답모델탑재 하기</t>
  </si>
  <si>
    <t>RAG(Retrieval-AugmentedGeneration;검색증강생성) 이해하기</t>
  </si>
  <si>
    <t>외부 데이터소스 연동 및 RAG모델을 활용한 프롬프트 최적화</t>
  </si>
  <si>
    <t>Langchain 활용LLM 기반 애플리케이션 오케스트레이션</t>
  </si>
  <si>
    <t>외부데이터를 동적으로 참조하여 응답 생성하는 RAG 기능 구현</t>
  </si>
  <si>
    <t>사용자 질의에 대해 정확하고 풍부한 맥락을 제공 할 수 있는 커스텀AI 시스템 완성</t>
  </si>
  <si>
    <t>이스트소프트HR 담당자의 커리어 특강</t>
  </si>
  <si>
    <t>이스트소프트 기술 인력의 기술 특강</t>
  </si>
  <si>
    <t>최종 프로젝트 발표</t>
    <phoneticPr fontId="31" type="noConversion"/>
  </si>
  <si>
    <t>우수 수료생 시상</t>
    <phoneticPr fontId="31" type="noConversion"/>
  </si>
  <si>
    <t>수료식</t>
    <phoneticPr fontId="3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</si>
</sst>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#&quot; 명&quot;"/>
    <numFmt numFmtId="177" formatCode="#&quot; 시간&quot;"/>
    <numFmt numFmtId="178" formatCode="#,##0_);[Red]\(#,##0\)"/>
    <numFmt numFmtId="179" formatCode="#&quot;주차&quot;"/>
    <numFmt numFmtId="180" formatCode="mm\/dd\(aaa\)"/>
    <numFmt numFmtId="181" formatCode="#,##0_ ;[Red]\-#,##0\ "/>
    <numFmt numFmtId="182" formatCode="yyyy\-mm\-dd"/>
    <numFmt numFmtId="183" formatCode="_-* #,##0_-;\-* #,##0_-;_-* &quot;-&quot;_-;_-@"/>
  </numFmts>
  <fonts count="39">
    <font>
      <sz val="11"/>
      <color theme="1"/>
      <name val="Calibri"/>
      <scheme val="minor"/>
    </font>
    <font>
      <b/>
      <sz val="11"/>
      <color theme="1"/>
      <name val="Malgun Gothic"/>
      <family val="3"/>
      <charset val="129"/>
    </font>
    <font>
      <sz val="11"/>
      <name val="Calibri"/>
    </font>
    <font>
      <b/>
      <sz val="11"/>
      <color rgb="FF0008FF"/>
      <name val="Malgun Gothic"/>
      <family val="3"/>
      <charset val="129"/>
    </font>
    <font>
      <sz val="10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b/>
      <sz val="10"/>
      <color rgb="FF833C0B"/>
      <name val="Malgun Gothic"/>
      <family val="3"/>
      <charset val="129"/>
    </font>
    <font>
      <sz val="9"/>
      <color theme="1"/>
      <name val="Malgun Gothic"/>
      <family val="3"/>
      <charset val="129"/>
    </font>
    <font>
      <sz val="9"/>
      <color rgb="FF000000"/>
      <name val="Malgun Gothic"/>
      <family val="3"/>
      <charset val="129"/>
    </font>
    <font>
      <b/>
      <sz val="9"/>
      <color theme="1"/>
      <name val="Malgun Gothic"/>
      <family val="3"/>
      <charset val="129"/>
    </font>
    <font>
      <b/>
      <sz val="10"/>
      <color rgb="FF0008FF"/>
      <name val="Malgun Gothic"/>
      <family val="3"/>
      <charset val="129"/>
    </font>
    <font>
      <b/>
      <sz val="10"/>
      <color theme="1"/>
      <name val="Malgun Gothic"/>
      <family val="3"/>
      <charset val="129"/>
    </font>
    <font>
      <b/>
      <sz val="9"/>
      <color rgb="FF0008FF"/>
      <name val="Malgun Gothic"/>
      <family val="3"/>
      <charset val="129"/>
    </font>
    <font>
      <b/>
      <sz val="18"/>
      <color theme="1"/>
      <name val="Malgun Gothic"/>
      <family val="3"/>
      <charset val="129"/>
    </font>
    <font>
      <sz val="11"/>
      <color theme="1"/>
      <name val="Calibri"/>
    </font>
    <font>
      <b/>
      <sz val="10"/>
      <color rgb="FFFF0000"/>
      <name val="Malgun Gothic"/>
      <family val="3"/>
      <charset val="129"/>
    </font>
    <font>
      <b/>
      <sz val="11"/>
      <color rgb="FFFF0000"/>
      <name val="Malgun Gothic"/>
      <family val="3"/>
      <charset val="129"/>
    </font>
    <font>
      <b/>
      <sz val="9"/>
      <color rgb="FF833C0B"/>
      <name val="Malgun Gothic"/>
      <family val="3"/>
      <charset val="129"/>
    </font>
    <font>
      <b/>
      <sz val="9"/>
      <color rgb="FF000000"/>
      <name val="Malgun Gothic"/>
      <family val="3"/>
      <charset val="129"/>
    </font>
    <font>
      <sz val="8"/>
      <color rgb="FF000000"/>
      <name val="Malgun Gothic"/>
      <family val="3"/>
      <charset val="129"/>
    </font>
    <font>
      <b/>
      <sz val="9"/>
      <color rgb="FF1F3864"/>
      <name val="Malgun Gothic"/>
      <family val="3"/>
      <charset val="129"/>
    </font>
    <font>
      <b/>
      <sz val="9"/>
      <color rgb="FF262626"/>
      <name val="Malgun Gothic"/>
      <family val="3"/>
      <charset val="129"/>
    </font>
    <font>
      <b/>
      <sz val="9"/>
      <color rgb="FF385623"/>
      <name val="Malgun Gothic"/>
      <family val="3"/>
      <charset val="129"/>
    </font>
    <font>
      <b/>
      <sz val="21"/>
      <color theme="1"/>
      <name val="Malgun Gothic"/>
      <family val="3"/>
      <charset val="129"/>
    </font>
    <font>
      <b/>
      <sz val="11"/>
      <color rgb="FF0000FF"/>
      <name val="Calibri"/>
    </font>
    <font>
      <b/>
      <sz val="11"/>
      <color rgb="FFC55A11"/>
      <name val="Malgun Gothic"/>
      <family val="3"/>
      <charset val="129"/>
    </font>
    <font>
      <i/>
      <sz val="9"/>
      <color rgb="FF999999"/>
      <name val="Malgun Gothic"/>
      <family val="3"/>
      <charset val="129"/>
    </font>
    <font>
      <sz val="10"/>
      <color rgb="FF999999"/>
      <name val="Malgun Gothic"/>
      <family val="3"/>
      <charset val="129"/>
    </font>
    <font>
      <i/>
      <sz val="10"/>
      <color rgb="FF999999"/>
      <name val="Malgun Gothic"/>
      <family val="3"/>
      <charset val="129"/>
    </font>
    <font>
      <u/>
      <sz val="11"/>
      <color theme="10"/>
      <name val="Calibri"/>
    </font>
    <font>
      <b/>
      <sz val="16"/>
      <color theme="0"/>
      <name val="Malgun Gothic"/>
      <family val="3"/>
      <charset val="129"/>
    </font>
    <font>
      <sz val="8"/>
      <name val="Calibri"/>
      <family val="3"/>
      <charset val="129"/>
      <scheme val="minor"/>
    </font>
    <font>
      <sz val="10"/>
      <color rgb="FF000000"/>
      <name val="Calibri"/>
      <family val="2"/>
      <scheme val="minor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10"/>
      <color rgb="FF0008FF"/>
      <name val="맑은 고딕"/>
      <family val="3"/>
      <charset val="129"/>
    </font>
    <font>
      <sz val="10"/>
      <color rgb="FF0008FF"/>
      <name val="Malgun Gothic"/>
      <family val="3"/>
      <charset val="129"/>
    </font>
    <font>
      <b/>
      <sz val="10"/>
      <color rgb="FF1F3864"/>
      <name val="Malgun Gothic"/>
      <family val="3"/>
      <charset val="129"/>
    </font>
    <font>
      <b/>
      <sz val="11"/>
      <color rgb="FF385623"/>
      <name val="Malgun Gothic"/>
      <family val="3"/>
      <charset val="129"/>
    </font>
  </fonts>
  <fills count="21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FEFBF0"/>
        <bgColor rgb="FFFEFBF0"/>
      </patternFill>
    </fill>
    <fill>
      <patternFill patternType="solid">
        <fgColor rgb="FFFBE4D5"/>
        <bgColor rgb="FFFBE4D5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FFCF3"/>
        <bgColor rgb="FFFFFCF3"/>
      </patternFill>
    </fill>
    <fill>
      <patternFill patternType="solid">
        <fgColor rgb="FFF3F3F3"/>
        <bgColor rgb="FFF3F3F3"/>
      </patternFill>
    </fill>
    <fill>
      <patternFill patternType="solid">
        <fgColor rgb="FFFEF8E3"/>
        <bgColor rgb="FFFEF8E3"/>
      </patternFill>
    </fill>
    <fill>
      <patternFill patternType="solid">
        <fgColor rgb="FFFFF8E3"/>
        <bgColor rgb="FFFFF8E3"/>
      </patternFill>
    </fill>
    <fill>
      <patternFill patternType="solid">
        <fgColor rgb="FFFFD965"/>
        <bgColor rgb="FFFFD965"/>
      </patternFill>
    </fill>
    <fill>
      <patternFill patternType="solid">
        <fgColor rgb="FFA5A5A5"/>
        <bgColor rgb="FFA5A5A5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72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rgb="FF7F7F7F"/>
      </bottom>
      <diagonal/>
    </border>
    <border>
      <left/>
      <right style="thin">
        <color rgb="FF7F7F7F"/>
      </right>
      <top style="thin">
        <color theme="1"/>
      </top>
      <bottom style="thin">
        <color rgb="FF7F7F7F"/>
      </bottom>
      <diagonal/>
    </border>
    <border>
      <left style="thin">
        <color rgb="FF7F7F7F"/>
      </left>
      <right/>
      <top style="thin">
        <color theme="1"/>
      </top>
      <bottom style="thin">
        <color rgb="FF7F7F7F"/>
      </bottom>
      <diagonal/>
    </border>
    <border>
      <left/>
      <right/>
      <top style="thin">
        <color theme="1"/>
      </top>
      <bottom style="thin">
        <color rgb="FF7F7F7F"/>
      </bottom>
      <diagonal/>
    </border>
    <border>
      <left style="thin">
        <color theme="1"/>
      </left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1"/>
      </left>
      <right/>
      <top style="thin">
        <color rgb="FF7F7F7F"/>
      </top>
      <bottom/>
      <diagonal/>
    </border>
    <border>
      <left style="thin">
        <color rgb="FF7F7F7F"/>
      </left>
      <right style="thin">
        <color theme="1"/>
      </right>
      <top style="thin">
        <color rgb="FF7F7F7F"/>
      </top>
      <bottom style="thin">
        <color rgb="FF7F7F7F"/>
      </bottom>
      <diagonal/>
    </border>
    <border>
      <left style="thin">
        <color theme="1"/>
      </left>
      <right/>
      <top/>
      <bottom style="thin">
        <color rgb="FF7F7F7F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/>
      <top/>
      <bottom style="thin">
        <color rgb="FF7F7F7F"/>
      </bottom>
      <diagonal/>
    </border>
    <border>
      <left/>
      <right/>
      <top/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/>
      <diagonal/>
    </border>
    <border>
      <left/>
      <right/>
      <top style="thin">
        <color rgb="FF7F7F7F"/>
      </top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theme="1"/>
      </right>
      <top style="thin">
        <color rgb="FF7F7F7F"/>
      </top>
      <bottom/>
      <diagonal/>
    </border>
    <border>
      <left style="thin">
        <color theme="1"/>
      </left>
      <right style="thin">
        <color rgb="FF7F7F7F"/>
      </right>
      <top style="thin">
        <color theme="1"/>
      </top>
      <bottom/>
      <diagonal/>
    </border>
    <border>
      <left style="thin">
        <color rgb="FF7F7F7F"/>
      </left>
      <right style="thin">
        <color rgb="FF7F7F7F"/>
      </right>
      <top style="thin">
        <color theme="1"/>
      </top>
      <bottom/>
      <diagonal/>
    </border>
    <border>
      <left style="thin">
        <color rgb="FF7F7F7F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rgb="FF7F7F7F"/>
      </right>
      <top style="thin">
        <color theme="1"/>
      </top>
      <bottom/>
      <diagonal/>
    </border>
    <border>
      <left style="thin">
        <color theme="1"/>
      </left>
      <right style="thin">
        <color rgb="FF7F7F7F"/>
      </right>
      <top/>
      <bottom style="thin">
        <color rgb="FF7F7F7F"/>
      </bottom>
      <diagonal/>
    </border>
    <border>
      <left style="thin">
        <color theme="1"/>
      </left>
      <right style="thin">
        <color rgb="FF7F7F7F"/>
      </right>
      <top style="thin">
        <color rgb="FF7F7F7F"/>
      </top>
      <bottom/>
      <diagonal/>
    </border>
    <border>
      <left style="thin">
        <color theme="1"/>
      </left>
      <right style="thin">
        <color rgb="FF7F7F7F"/>
      </right>
      <top/>
      <bottom/>
      <diagonal/>
    </border>
    <border>
      <left/>
      <right style="thin">
        <color theme="1"/>
      </right>
      <top style="thin">
        <color rgb="FF7F7F7F"/>
      </top>
      <bottom style="thin">
        <color rgb="FF7F7F7F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000000"/>
      </left>
      <right style="thin">
        <color rgb="FF7F7F7F"/>
      </right>
      <top style="thin">
        <color rgb="FF000000"/>
      </top>
      <bottom/>
      <diagonal/>
    </border>
    <border>
      <left style="thin">
        <color rgb="FF7F7F7F"/>
      </left>
      <right style="thin">
        <color rgb="FF7F7F7F"/>
      </right>
      <top style="thin">
        <color rgb="FF000000"/>
      </top>
      <bottom/>
      <diagonal/>
    </border>
    <border>
      <left style="thin">
        <color rgb="FF7F7F7F"/>
      </left>
      <right/>
      <top style="thin">
        <color rgb="FF000000"/>
      </top>
      <bottom style="thin">
        <color rgb="FF7F7F7F"/>
      </bottom>
      <diagonal/>
    </border>
    <border>
      <left/>
      <right style="thin">
        <color rgb="FF000000"/>
      </right>
      <top style="thin">
        <color rgb="FF000000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000000"/>
      </right>
      <top style="thin">
        <color rgb="FF7F7F7F"/>
      </top>
      <bottom/>
      <diagonal/>
    </border>
    <border>
      <left style="thin">
        <color rgb="FF000000"/>
      </left>
      <right style="thin">
        <color rgb="FF7F7F7F"/>
      </right>
      <top style="thin">
        <color rgb="FF000000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000000"/>
      </top>
      <bottom style="thin">
        <color rgb="FF7F7F7F"/>
      </bottom>
      <diagonal/>
    </border>
    <border>
      <left style="thin">
        <color rgb="FF7F7F7F"/>
      </left>
      <right style="thin">
        <color rgb="FF000000"/>
      </right>
      <top style="thin">
        <color rgb="FF000000"/>
      </top>
      <bottom style="thin">
        <color rgb="FF7F7F7F"/>
      </bottom>
      <diagonal/>
    </border>
    <border>
      <left style="thin">
        <color rgb="FF000000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000000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7F7F7F"/>
      </right>
      <top style="thin">
        <color rgb="FF7F7F7F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000000"/>
      </bottom>
      <diagonal/>
    </border>
    <border>
      <left style="thin">
        <color rgb="FF7F7F7F"/>
      </left>
      <right style="thin">
        <color rgb="FF000000"/>
      </right>
      <top style="thin">
        <color rgb="FF7F7F7F"/>
      </top>
      <bottom style="thin">
        <color rgb="FF000000"/>
      </bottom>
      <diagonal/>
    </border>
    <border>
      <left style="thin">
        <color rgb="FF000000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theme="1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1"/>
      </left>
      <right/>
      <top style="thin">
        <color rgb="FF7F7F7F"/>
      </top>
      <bottom style="thin">
        <color theme="1"/>
      </bottom>
      <diagonal/>
    </border>
    <border>
      <left/>
      <right/>
      <top style="thin">
        <color rgb="FF7F7F7F"/>
      </top>
      <bottom style="thin">
        <color theme="1"/>
      </bottom>
      <diagonal/>
    </border>
    <border>
      <left/>
      <right style="thin">
        <color rgb="FF7F7F7F"/>
      </right>
      <top style="thin">
        <color rgb="FF7F7F7F"/>
      </top>
      <bottom style="thin">
        <color theme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theme="1"/>
      </bottom>
      <diagonal/>
    </border>
    <border>
      <left style="thin">
        <color rgb="FF7F7F7F"/>
      </left>
      <right/>
      <top style="thin">
        <color rgb="FF7F7F7F"/>
      </top>
      <bottom style="thin">
        <color theme="1"/>
      </bottom>
      <diagonal/>
    </border>
    <border>
      <left/>
      <right style="thin">
        <color theme="1"/>
      </right>
      <top style="thin">
        <color rgb="FF7F7F7F"/>
      </top>
      <bottom style="thin">
        <color theme="1"/>
      </bottom>
      <diagonal/>
    </border>
  </borders>
  <cellStyleXfs count="2">
    <xf numFmtId="0" fontId="0" fillId="0" borderId="0"/>
    <xf numFmtId="0" fontId="32" fillId="0" borderId="43"/>
  </cellStyleXfs>
  <cellXfs count="176">
    <xf numFmtId="0" fontId="0" fillId="0" borderId="0" xfId="0"/>
    <xf numFmtId="0" fontId="4" fillId="0" borderId="0" xfId="0" applyFont="1" applyAlignment="1">
      <alignment horizontal="center" vertical="center"/>
    </xf>
    <xf numFmtId="0" fontId="5" fillId="3" borderId="6" xfId="0" applyFont="1" applyFill="1" applyBorder="1" applyAlignment="1">
      <alignment horizontal="center" vertical="center" shrinkToFit="1" readingOrder="1"/>
    </xf>
    <xf numFmtId="9" fontId="5" fillId="3" borderId="8" xfId="0" applyNumberFormat="1" applyFont="1" applyFill="1" applyBorder="1" applyAlignment="1">
      <alignment horizontal="center" vertical="center" shrinkToFit="1" readingOrder="1"/>
    </xf>
    <xf numFmtId="9" fontId="5" fillId="3" borderId="16" xfId="0" applyNumberFormat="1" applyFont="1" applyFill="1" applyBorder="1" applyAlignment="1">
      <alignment horizontal="center" vertical="center" shrinkToFit="1" readingOrder="1"/>
    </xf>
    <xf numFmtId="0" fontId="1" fillId="2" borderId="6" xfId="0" applyFont="1" applyFill="1" applyBorder="1" applyAlignment="1">
      <alignment horizontal="center" vertical="center" readingOrder="1"/>
    </xf>
    <xf numFmtId="0" fontId="3" fillId="2" borderId="6" xfId="0" applyFont="1" applyFill="1" applyBorder="1" applyAlignment="1">
      <alignment horizontal="center" vertical="center" readingOrder="1"/>
    </xf>
    <xf numFmtId="178" fontId="9" fillId="2" borderId="6" xfId="0" applyNumberFormat="1" applyFont="1" applyFill="1" applyBorder="1" applyAlignment="1">
      <alignment horizontal="center" vertical="center" readingOrder="1"/>
    </xf>
    <xf numFmtId="178" fontId="10" fillId="2" borderId="6" xfId="0" applyNumberFormat="1" applyFont="1" applyFill="1" applyBorder="1" applyAlignment="1">
      <alignment horizontal="center" vertical="center" readingOrder="1"/>
    </xf>
    <xf numFmtId="0" fontId="14" fillId="0" borderId="0" xfId="0" applyFont="1"/>
    <xf numFmtId="0" fontId="15" fillId="0" borderId="0" xfId="0" applyFont="1" applyAlignment="1">
      <alignment horizontal="left" vertical="center" readingOrder="1"/>
    </xf>
    <xf numFmtId="0" fontId="4" fillId="0" borderId="0" xfId="0" applyFont="1" applyAlignment="1">
      <alignment horizontal="left" vertical="center" readingOrder="1"/>
    </xf>
    <xf numFmtId="0" fontId="4" fillId="0" borderId="0" xfId="0" applyFont="1" applyAlignment="1">
      <alignment horizontal="center" vertical="center" readingOrder="1"/>
    </xf>
    <xf numFmtId="0" fontId="16" fillId="11" borderId="26" xfId="0" applyFont="1" applyFill="1" applyBorder="1" applyAlignment="1">
      <alignment horizontal="center" vertical="center"/>
    </xf>
    <xf numFmtId="180" fontId="9" fillId="2" borderId="33" xfId="0" applyNumberFormat="1" applyFont="1" applyFill="1" applyBorder="1" applyAlignment="1">
      <alignment horizontal="center" vertical="center" wrapText="1" readingOrder="1"/>
    </xf>
    <xf numFmtId="0" fontId="9" fillId="2" borderId="35" xfId="0" applyFont="1" applyFill="1" applyBorder="1" applyAlignment="1">
      <alignment horizontal="center" vertical="center" readingOrder="1"/>
    </xf>
    <xf numFmtId="0" fontId="9" fillId="2" borderId="33" xfId="0" applyFont="1" applyFill="1" applyBorder="1" applyAlignment="1">
      <alignment horizontal="center" vertical="center" readingOrder="1"/>
    </xf>
    <xf numFmtId="0" fontId="9" fillId="2" borderId="36" xfId="0" applyFont="1" applyFill="1" applyBorder="1" applyAlignment="1">
      <alignment horizontal="center" vertical="center" readingOrder="1"/>
    </xf>
    <xf numFmtId="0" fontId="17" fillId="4" borderId="37" xfId="0" applyFont="1" applyFill="1" applyBorder="1" applyAlignment="1">
      <alignment horizontal="center" vertical="center" readingOrder="1"/>
    </xf>
    <xf numFmtId="0" fontId="18" fillId="3" borderId="37" xfId="0" applyFont="1" applyFill="1" applyBorder="1" applyAlignment="1">
      <alignment horizontal="center" vertical="center" shrinkToFit="1" readingOrder="1"/>
    </xf>
    <xf numFmtId="0" fontId="17" fillId="5" borderId="38" xfId="0" applyFont="1" applyFill="1" applyBorder="1" applyAlignment="1">
      <alignment horizontal="center" vertical="center" shrinkToFit="1" readingOrder="1"/>
    </xf>
    <xf numFmtId="0" fontId="17" fillId="5" borderId="33" xfId="0" applyFont="1" applyFill="1" applyBorder="1" applyAlignment="1">
      <alignment horizontal="center" vertical="center" shrinkToFit="1" readingOrder="1"/>
    </xf>
    <xf numFmtId="178" fontId="7" fillId="6" borderId="33" xfId="0" applyNumberFormat="1" applyFont="1" applyFill="1" applyBorder="1" applyAlignment="1">
      <alignment horizontal="center" vertical="center" readingOrder="1"/>
    </xf>
    <xf numFmtId="181" fontId="12" fillId="4" borderId="33" xfId="0" applyNumberFormat="1" applyFont="1" applyFill="1" applyBorder="1" applyAlignment="1">
      <alignment horizontal="center" vertical="center" readingOrder="1"/>
    </xf>
    <xf numFmtId="0" fontId="17" fillId="4" borderId="39" xfId="0" applyFont="1" applyFill="1" applyBorder="1" applyAlignment="1">
      <alignment horizontal="center" vertical="center" readingOrder="1"/>
    </xf>
    <xf numFmtId="0" fontId="19" fillId="3" borderId="39" xfId="0" applyFont="1" applyFill="1" applyBorder="1" applyAlignment="1">
      <alignment horizontal="center" vertical="center" shrinkToFit="1" readingOrder="1"/>
    </xf>
    <xf numFmtId="0" fontId="17" fillId="5" borderId="36" xfId="0" applyFont="1" applyFill="1" applyBorder="1" applyAlignment="1">
      <alignment horizontal="center" vertical="center" shrinkToFit="1" readingOrder="1"/>
    </xf>
    <xf numFmtId="178" fontId="7" fillId="0" borderId="33" xfId="0" applyNumberFormat="1" applyFont="1" applyBorder="1" applyAlignment="1">
      <alignment horizontal="center" vertical="center" shrinkToFit="1" readingOrder="1"/>
    </xf>
    <xf numFmtId="0" fontId="17" fillId="4" borderId="40" xfId="0" applyFont="1" applyFill="1" applyBorder="1" applyAlignment="1">
      <alignment horizontal="center" vertical="center" readingOrder="1"/>
    </xf>
    <xf numFmtId="0" fontId="19" fillId="3" borderId="40" xfId="0" applyFont="1" applyFill="1" applyBorder="1" applyAlignment="1">
      <alignment horizontal="center" vertical="center" shrinkToFit="1" readingOrder="1"/>
    </xf>
    <xf numFmtId="0" fontId="9" fillId="2" borderId="40" xfId="0" applyFont="1" applyFill="1" applyBorder="1" applyAlignment="1">
      <alignment horizontal="center" vertical="center" readingOrder="1"/>
    </xf>
    <xf numFmtId="0" fontId="8" fillId="2" borderId="40" xfId="0" applyFont="1" applyFill="1" applyBorder="1" applyAlignment="1">
      <alignment horizontal="center" vertical="center" shrinkToFit="1" readingOrder="1"/>
    </xf>
    <xf numFmtId="0" fontId="9" fillId="2" borderId="42" xfId="0" applyFont="1" applyFill="1" applyBorder="1" applyAlignment="1">
      <alignment horizontal="center" vertical="center" readingOrder="1"/>
    </xf>
    <xf numFmtId="0" fontId="11" fillId="0" borderId="0" xfId="0" applyFont="1" applyAlignment="1">
      <alignment horizontal="center" vertical="center"/>
    </xf>
    <xf numFmtId="177" fontId="9" fillId="7" borderId="33" xfId="0" applyNumberFormat="1" applyFont="1" applyFill="1" applyBorder="1" applyAlignment="1">
      <alignment horizontal="center" vertical="center" shrinkToFit="1" readingOrder="1"/>
    </xf>
    <xf numFmtId="181" fontId="12" fillId="2" borderId="33" xfId="0" applyNumberFormat="1" applyFont="1" applyFill="1" applyBorder="1" applyAlignment="1">
      <alignment horizontal="center" vertical="center" readingOrder="1"/>
    </xf>
    <xf numFmtId="178" fontId="9" fillId="7" borderId="33" xfId="0" applyNumberFormat="1" applyFont="1" applyFill="1" applyBorder="1" applyAlignment="1">
      <alignment horizontal="center" vertical="center" readingOrder="1"/>
    </xf>
    <xf numFmtId="0" fontId="20" fillId="8" borderId="33" xfId="0" applyFont="1" applyFill="1" applyBorder="1" applyAlignment="1">
      <alignment horizontal="center" vertical="center" shrinkToFit="1" readingOrder="1"/>
    </xf>
    <xf numFmtId="0" fontId="21" fillId="10" borderId="33" xfId="0" applyFont="1" applyFill="1" applyBorder="1" applyAlignment="1">
      <alignment horizontal="center" vertical="center" wrapText="1" readingOrder="1"/>
    </xf>
    <xf numFmtId="0" fontId="21" fillId="10" borderId="37" xfId="0" applyFont="1" applyFill="1" applyBorder="1" applyAlignment="1">
      <alignment horizontal="center" vertical="center" readingOrder="1"/>
    </xf>
    <xf numFmtId="0" fontId="21" fillId="10" borderId="37" xfId="0" applyFont="1" applyFill="1" applyBorder="1" applyAlignment="1">
      <alignment horizontal="center" vertical="center" shrinkToFit="1" readingOrder="1"/>
    </xf>
    <xf numFmtId="0" fontId="22" fillId="9" borderId="33" xfId="0" applyFont="1" applyFill="1" applyBorder="1" applyAlignment="1">
      <alignment horizontal="center" vertical="center" shrinkToFit="1" readingOrder="1"/>
    </xf>
    <xf numFmtId="0" fontId="5" fillId="0" borderId="0" xfId="0" applyFont="1"/>
    <xf numFmtId="0" fontId="1" fillId="15" borderId="46" xfId="0" applyFont="1" applyFill="1" applyBorder="1" applyAlignment="1">
      <alignment horizontal="center" vertical="center"/>
    </xf>
    <xf numFmtId="0" fontId="25" fillId="15" borderId="46" xfId="0" applyFont="1" applyFill="1" applyBorder="1" applyAlignment="1">
      <alignment horizontal="center" vertical="center"/>
    </xf>
    <xf numFmtId="0" fontId="1" fillId="16" borderId="46" xfId="0" applyFont="1" applyFill="1" applyBorder="1" applyAlignment="1">
      <alignment horizontal="center" vertical="center"/>
    </xf>
    <xf numFmtId="0" fontId="26" fillId="14" borderId="46" xfId="0" applyFont="1" applyFill="1" applyBorder="1" applyAlignment="1">
      <alignment horizontal="center"/>
    </xf>
    <xf numFmtId="182" fontId="26" fillId="14" borderId="46" xfId="0" applyNumberFormat="1" applyFont="1" applyFill="1" applyBorder="1" applyAlignment="1">
      <alignment horizontal="center"/>
    </xf>
    <xf numFmtId="0" fontId="27" fillId="0" borderId="46" xfId="0" applyFont="1" applyBorder="1" applyAlignment="1">
      <alignment horizontal="center" vertical="center"/>
    </xf>
    <xf numFmtId="0" fontId="28" fillId="0" borderId="46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183" fontId="28" fillId="0" borderId="46" xfId="0" applyNumberFormat="1" applyFont="1" applyBorder="1" applyAlignment="1">
      <alignment horizontal="center" vertical="center"/>
    </xf>
    <xf numFmtId="0" fontId="5" fillId="0" borderId="46" xfId="0" applyFont="1" applyBorder="1" applyAlignment="1">
      <alignment horizontal="center"/>
    </xf>
    <xf numFmtId="182" fontId="5" fillId="0" borderId="46" xfId="0" applyNumberFormat="1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5" fillId="0" borderId="46" xfId="0" applyFont="1" applyBorder="1"/>
    <xf numFmtId="183" fontId="5" fillId="0" borderId="46" xfId="0" applyNumberFormat="1" applyFont="1" applyBorder="1" applyAlignment="1">
      <alignment horizontal="center" vertical="center"/>
    </xf>
    <xf numFmtId="0" fontId="14" fillId="0" borderId="0" xfId="0" applyFont="1" applyAlignment="1">
      <alignment wrapText="1"/>
    </xf>
    <xf numFmtId="0" fontId="9" fillId="2" borderId="51" xfId="0" applyFont="1" applyFill="1" applyBorder="1" applyAlignment="1">
      <alignment horizontal="center" vertical="center" wrapText="1" readingOrder="1"/>
    </xf>
    <xf numFmtId="0" fontId="9" fillId="2" borderId="52" xfId="0" applyFont="1" applyFill="1" applyBorder="1" applyAlignment="1">
      <alignment horizontal="center" vertical="center" readingOrder="1"/>
    </xf>
    <xf numFmtId="0" fontId="17" fillId="5" borderId="53" xfId="0" applyFont="1" applyFill="1" applyBorder="1" applyAlignment="1">
      <alignment horizontal="center" vertical="center" shrinkToFit="1" readingOrder="1"/>
    </xf>
    <xf numFmtId="0" fontId="17" fillId="5" borderId="54" xfId="0" applyFont="1" applyFill="1" applyBorder="1" applyAlignment="1">
      <alignment horizontal="center" vertical="center" shrinkToFit="1" readingOrder="1"/>
    </xf>
    <xf numFmtId="0" fontId="17" fillId="5" borderId="55" xfId="0" applyFont="1" applyFill="1" applyBorder="1" applyAlignment="1">
      <alignment horizontal="center" vertical="center" shrinkToFit="1" readingOrder="1"/>
    </xf>
    <xf numFmtId="0" fontId="17" fillId="5" borderId="56" xfId="0" applyFont="1" applyFill="1" applyBorder="1" applyAlignment="1">
      <alignment horizontal="center" vertical="center" shrinkToFit="1" readingOrder="1"/>
    </xf>
    <xf numFmtId="0" fontId="17" fillId="5" borderId="6" xfId="0" applyFont="1" applyFill="1" applyBorder="1" applyAlignment="1">
      <alignment horizontal="center" vertical="center" shrinkToFit="1" readingOrder="1"/>
    </xf>
    <xf numFmtId="0" fontId="17" fillId="5" borderId="57" xfId="0" applyFont="1" applyFill="1" applyBorder="1" applyAlignment="1">
      <alignment horizontal="center" vertical="center" shrinkToFit="1" readingOrder="1"/>
    </xf>
    <xf numFmtId="0" fontId="20" fillId="8" borderId="56" xfId="0" applyFont="1" applyFill="1" applyBorder="1" applyAlignment="1">
      <alignment horizontal="center" vertical="center" shrinkToFit="1" readingOrder="1"/>
    </xf>
    <xf numFmtId="0" fontId="20" fillId="8" borderId="6" xfId="0" applyFont="1" applyFill="1" applyBorder="1" applyAlignment="1">
      <alignment horizontal="center" vertical="center" shrinkToFit="1" readingOrder="1"/>
    </xf>
    <xf numFmtId="0" fontId="20" fillId="8" borderId="57" xfId="0" applyFont="1" applyFill="1" applyBorder="1" applyAlignment="1">
      <alignment horizontal="center" vertical="center" shrinkToFit="1" readingOrder="1"/>
    </xf>
    <xf numFmtId="0" fontId="22" fillId="9" borderId="56" xfId="0" applyFont="1" applyFill="1" applyBorder="1" applyAlignment="1">
      <alignment horizontal="center" vertical="center" shrinkToFit="1" readingOrder="1"/>
    </xf>
    <xf numFmtId="0" fontId="22" fillId="9" borderId="6" xfId="0" applyFont="1" applyFill="1" applyBorder="1" applyAlignment="1">
      <alignment horizontal="center" vertical="center" shrinkToFit="1" readingOrder="1"/>
    </xf>
    <xf numFmtId="0" fontId="22" fillId="9" borderId="57" xfId="0" applyFont="1" applyFill="1" applyBorder="1" applyAlignment="1">
      <alignment horizontal="center" vertical="center" shrinkToFit="1" readingOrder="1"/>
    </xf>
    <xf numFmtId="0" fontId="22" fillId="9" borderId="58" xfId="0" applyFont="1" applyFill="1" applyBorder="1" applyAlignment="1">
      <alignment horizontal="center" vertical="center" shrinkToFit="1" readingOrder="1"/>
    </xf>
    <xf numFmtId="0" fontId="22" fillId="9" borderId="59" xfId="0" applyFont="1" applyFill="1" applyBorder="1" applyAlignment="1">
      <alignment horizontal="center" vertical="center" shrinkToFit="1" readingOrder="1"/>
    </xf>
    <xf numFmtId="0" fontId="22" fillId="9" borderId="60" xfId="0" applyFont="1" applyFill="1" applyBorder="1" applyAlignment="1">
      <alignment horizontal="center" vertical="center" shrinkToFit="1" readingOrder="1"/>
    </xf>
    <xf numFmtId="178" fontId="7" fillId="0" borderId="35" xfId="0" applyNumberFormat="1" applyFont="1" applyBorder="1" applyAlignment="1">
      <alignment horizontal="center" vertical="center" wrapText="1" readingOrder="1"/>
    </xf>
    <xf numFmtId="0" fontId="8" fillId="2" borderId="42" xfId="0" applyFont="1" applyFill="1" applyBorder="1" applyAlignment="1">
      <alignment horizontal="center" vertical="center" shrinkToFit="1" readingOrder="1"/>
    </xf>
    <xf numFmtId="0" fontId="4" fillId="0" borderId="43" xfId="0" applyFont="1" applyBorder="1" applyAlignment="1">
      <alignment horizontal="center" vertical="center"/>
    </xf>
    <xf numFmtId="178" fontId="7" fillId="0" borderId="6" xfId="0" applyNumberFormat="1" applyFont="1" applyBorder="1" applyAlignment="1">
      <alignment horizontal="center" vertical="center" wrapText="1"/>
    </xf>
    <xf numFmtId="178" fontId="7" fillId="6" borderId="6" xfId="0" applyNumberFormat="1" applyFont="1" applyFill="1" applyBorder="1" applyAlignment="1">
      <alignment horizontal="center" vertical="center" readingOrder="1"/>
    </xf>
    <xf numFmtId="178" fontId="36" fillId="6" borderId="6" xfId="0" applyNumberFormat="1" applyFont="1" applyFill="1" applyBorder="1" applyAlignment="1">
      <alignment horizontal="center" vertical="center" readingOrder="1"/>
    </xf>
    <xf numFmtId="178" fontId="9" fillId="7" borderId="6" xfId="0" applyNumberFormat="1" applyFont="1" applyFill="1" applyBorder="1" applyAlignment="1">
      <alignment horizontal="center" vertical="center" readingOrder="1"/>
    </xf>
    <xf numFmtId="178" fontId="10" fillId="7" borderId="6" xfId="0" applyNumberFormat="1" applyFont="1" applyFill="1" applyBorder="1" applyAlignment="1">
      <alignment horizontal="center" vertical="center" readingOrder="1"/>
    </xf>
    <xf numFmtId="0" fontId="37" fillId="8" borderId="65" xfId="0" applyFont="1" applyFill="1" applyBorder="1" applyAlignment="1">
      <alignment horizontal="center" vertical="center" shrinkToFit="1" readingOrder="1"/>
    </xf>
    <xf numFmtId="0" fontId="4" fillId="0" borderId="6" xfId="0" applyFont="1" applyBorder="1" applyAlignment="1">
      <alignment horizontal="center" vertical="center" shrinkToFit="1" readingOrder="1"/>
    </xf>
    <xf numFmtId="0" fontId="38" fillId="9" borderId="65" xfId="0" applyFont="1" applyFill="1" applyBorder="1" applyAlignment="1">
      <alignment horizontal="center" vertical="center" shrinkToFit="1" readingOrder="1"/>
    </xf>
    <xf numFmtId="0" fontId="5" fillId="0" borderId="6" xfId="0" applyFont="1" applyBorder="1" applyAlignment="1">
      <alignment horizontal="center" vertical="center" shrinkToFit="1" readingOrder="1"/>
    </xf>
    <xf numFmtId="178" fontId="9" fillId="10" borderId="69" xfId="0" applyNumberFormat="1" applyFont="1" applyFill="1" applyBorder="1" applyAlignment="1">
      <alignment horizontal="center" vertical="center" readingOrder="1"/>
    </xf>
    <xf numFmtId="178" fontId="12" fillId="10" borderId="69" xfId="0" applyNumberFormat="1" applyFont="1" applyFill="1" applyBorder="1" applyAlignment="1">
      <alignment horizontal="center" vertical="center" readingOrder="1"/>
    </xf>
    <xf numFmtId="0" fontId="20" fillId="20" borderId="33" xfId="0" applyFont="1" applyFill="1" applyBorder="1" applyAlignment="1">
      <alignment horizontal="center" vertical="center" shrinkToFit="1" readingOrder="1"/>
    </xf>
    <xf numFmtId="0" fontId="1" fillId="2" borderId="63" xfId="0" applyFont="1" applyFill="1" applyBorder="1" applyAlignment="1">
      <alignment horizontal="center" vertical="center" shrinkToFit="1" readingOrder="1"/>
    </xf>
    <xf numFmtId="0" fontId="2" fillId="0" borderId="44" xfId="0" applyFont="1" applyBorder="1"/>
    <xf numFmtId="0" fontId="2" fillId="0" borderId="45" xfId="0" applyFont="1" applyBorder="1"/>
    <xf numFmtId="177" fontId="5" fillId="3" borderId="63" xfId="0" applyNumberFormat="1" applyFont="1" applyFill="1" applyBorder="1" applyAlignment="1">
      <alignment horizontal="center" vertical="center" shrinkToFit="1" readingOrder="1"/>
    </xf>
    <xf numFmtId="177" fontId="5" fillId="3" borderId="13" xfId="0" applyNumberFormat="1" applyFont="1" applyFill="1" applyBorder="1" applyAlignment="1">
      <alignment horizontal="center" vertical="center" shrinkToFit="1" readingOrder="1"/>
    </xf>
    <xf numFmtId="0" fontId="2" fillId="0" borderId="15" xfId="0" applyFont="1" applyBorder="1"/>
    <xf numFmtId="0" fontId="1" fillId="2" borderId="17" xfId="0" applyFont="1" applyFill="1" applyBorder="1" applyAlignment="1">
      <alignment horizontal="center" vertical="center" readingOrder="1"/>
    </xf>
    <xf numFmtId="0" fontId="2" fillId="0" borderId="22" xfId="0" applyFont="1" applyBorder="1"/>
    <xf numFmtId="0" fontId="1" fillId="2" borderId="5" xfId="0" applyFont="1" applyFill="1" applyBorder="1" applyAlignment="1">
      <alignment horizontal="center" vertical="center" shrinkToFit="1" readingOrder="1"/>
    </xf>
    <xf numFmtId="0" fontId="5" fillId="3" borderId="63" xfId="0" applyFont="1" applyFill="1" applyBorder="1" applyAlignment="1">
      <alignment horizontal="center" vertical="center" shrinkToFit="1" readingOrder="1"/>
    </xf>
    <xf numFmtId="0" fontId="1" fillId="2" borderId="7" xfId="0" applyFont="1" applyFill="1" applyBorder="1" applyAlignment="1">
      <alignment horizontal="center" vertical="center" shrinkToFit="1" readingOrder="1"/>
    </xf>
    <xf numFmtId="0" fontId="2" fillId="0" borderId="9" xfId="0" applyFont="1" applyBorder="1"/>
    <xf numFmtId="0" fontId="2" fillId="0" borderId="10" xfId="0" applyFont="1" applyBorder="1"/>
    <xf numFmtId="0" fontId="2" fillId="0" borderId="14" xfId="0" applyFont="1" applyBorder="1"/>
    <xf numFmtId="0" fontId="2" fillId="0" borderId="11" xfId="0" applyFont="1" applyBorder="1"/>
    <xf numFmtId="0" fontId="2" fillId="0" borderId="12" xfId="0" applyFont="1" applyBorder="1"/>
    <xf numFmtId="0" fontId="1" fillId="2" borderId="18" xfId="0" applyFont="1" applyFill="1" applyBorder="1" applyAlignment="1">
      <alignment horizontal="center" vertical="center" readingOrder="1"/>
    </xf>
    <xf numFmtId="0" fontId="2" fillId="0" borderId="62" xfId="0" applyFont="1" applyBorder="1"/>
    <xf numFmtId="0" fontId="1" fillId="2" borderId="19" xfId="0" applyFont="1" applyFill="1" applyBorder="1" applyAlignment="1">
      <alignment horizontal="center" vertical="center" readingOrder="1"/>
    </xf>
    <xf numFmtId="0" fontId="2" fillId="0" borderId="20" xfId="0" applyFont="1" applyBorder="1"/>
    <xf numFmtId="0" fontId="2" fillId="0" borderId="21" xfId="0" applyFont="1" applyBorder="1"/>
    <xf numFmtId="0" fontId="1" fillId="2" borderId="13" xfId="0" applyFont="1" applyFill="1" applyBorder="1" applyAlignment="1">
      <alignment horizontal="center" vertical="center" shrinkToFit="1" readingOrder="1"/>
    </xf>
    <xf numFmtId="0" fontId="1" fillId="2" borderId="3" xfId="0" applyFont="1" applyFill="1" applyBorder="1" applyAlignment="1">
      <alignment horizontal="center" vertical="center" readingOrder="1"/>
    </xf>
    <xf numFmtId="0" fontId="2" fillId="0" borderId="4" xfId="0" applyFont="1" applyBorder="1"/>
    <xf numFmtId="0" fontId="2" fillId="0" borderId="2" xfId="0" applyFont="1" applyBorder="1"/>
    <xf numFmtId="178" fontId="4" fillId="6" borderId="63" xfId="0" applyNumberFormat="1" applyFont="1" applyFill="1" applyBorder="1" applyAlignment="1">
      <alignment horizontal="center" vertical="center" readingOrder="1"/>
    </xf>
    <xf numFmtId="0" fontId="2" fillId="0" borderId="25" xfId="0" applyFont="1" applyBorder="1"/>
    <xf numFmtId="178" fontId="11" fillId="2" borderId="63" xfId="0" applyNumberFormat="1" applyFont="1" applyFill="1" applyBorder="1" applyAlignment="1">
      <alignment horizontal="center" vertical="center" readingOrder="1"/>
    </xf>
    <xf numFmtId="0" fontId="1" fillId="2" borderId="1" xfId="0" applyFont="1" applyFill="1" applyBorder="1" applyAlignment="1">
      <alignment horizontal="center" vertical="center" shrinkToFit="1" readingOrder="1"/>
    </xf>
    <xf numFmtId="0" fontId="3" fillId="3" borderId="3" xfId="0" applyFont="1" applyFill="1" applyBorder="1" applyAlignment="1">
      <alignment horizontal="center" vertical="center" shrinkToFit="1" readingOrder="1"/>
    </xf>
    <xf numFmtId="0" fontId="3" fillId="4" borderId="63" xfId="0" applyFont="1" applyFill="1" applyBorder="1" applyAlignment="1">
      <alignment horizontal="center" vertical="center" shrinkToFit="1" readingOrder="1"/>
    </xf>
    <xf numFmtId="176" fontId="5" fillId="3" borderId="63" xfId="0" applyNumberFormat="1" applyFont="1" applyFill="1" applyBorder="1" applyAlignment="1">
      <alignment horizontal="center" vertical="center" shrinkToFit="1" readingOrder="1"/>
    </xf>
    <xf numFmtId="0" fontId="7" fillId="0" borderId="63" xfId="0" applyFont="1" applyBorder="1" applyAlignment="1">
      <alignment horizontal="left" vertical="center" shrinkToFit="1" readingOrder="1"/>
    </xf>
    <xf numFmtId="0" fontId="8" fillId="0" borderId="63" xfId="0" applyFont="1" applyBorder="1" applyAlignment="1">
      <alignment horizontal="left" vertical="center" shrinkToFit="1" readingOrder="1"/>
    </xf>
    <xf numFmtId="178" fontId="33" fillId="18" borderId="35" xfId="0" applyNumberFormat="1" applyFont="1" applyFill="1" applyBorder="1" applyAlignment="1">
      <alignment horizontal="center" vertical="center" readingOrder="1"/>
    </xf>
    <xf numFmtId="178" fontId="33" fillId="18" borderId="32" xfId="0" applyNumberFormat="1" applyFont="1" applyFill="1" applyBorder="1" applyAlignment="1">
      <alignment horizontal="center" vertical="center" readingOrder="1"/>
    </xf>
    <xf numFmtId="178" fontId="35" fillId="18" borderId="35" xfId="0" applyNumberFormat="1" applyFont="1" applyFill="1" applyBorder="1" applyAlignment="1">
      <alignment horizontal="center" vertical="center" readingOrder="1"/>
    </xf>
    <xf numFmtId="178" fontId="35" fillId="18" borderId="32" xfId="0" applyNumberFormat="1" applyFont="1" applyFill="1" applyBorder="1" applyAlignment="1">
      <alignment horizontal="center" vertical="center" readingOrder="1"/>
    </xf>
    <xf numFmtId="0" fontId="34" fillId="19" borderId="35" xfId="0" applyFont="1" applyFill="1" applyBorder="1" applyAlignment="1">
      <alignment horizontal="center" vertical="center" shrinkToFit="1" readingOrder="1"/>
    </xf>
    <xf numFmtId="0" fontId="34" fillId="19" borderId="32" xfId="0" applyFont="1" applyFill="1" applyBorder="1" applyAlignment="1">
      <alignment horizontal="center" vertical="center" shrinkToFit="1" readingOrder="1"/>
    </xf>
    <xf numFmtId="0" fontId="33" fillId="0" borderId="35" xfId="0" applyFont="1" applyBorder="1" applyAlignment="1">
      <alignment horizontal="center" vertical="center" shrinkToFit="1" readingOrder="1"/>
    </xf>
    <xf numFmtId="0" fontId="33" fillId="0" borderId="32" xfId="0" applyFont="1" applyBorder="1" applyAlignment="1">
      <alignment horizontal="center" vertical="center" shrinkToFit="1" readingOrder="1"/>
    </xf>
    <xf numFmtId="0" fontId="33" fillId="0" borderId="28" xfId="0" applyFont="1" applyBorder="1" applyAlignment="1">
      <alignment horizontal="center" vertical="center" shrinkToFit="1" readingOrder="1"/>
    </xf>
    <xf numFmtId="0" fontId="33" fillId="0" borderId="31" xfId="0" applyFont="1" applyBorder="1" applyAlignment="1">
      <alignment horizontal="center" vertical="center" shrinkToFit="1" readingOrder="1"/>
    </xf>
    <xf numFmtId="0" fontId="33" fillId="0" borderId="29" xfId="0" applyFont="1" applyBorder="1" applyAlignment="1">
      <alignment horizontal="center" vertical="center" shrinkToFit="1" readingOrder="1"/>
    </xf>
    <xf numFmtId="0" fontId="6" fillId="5" borderId="23" xfId="0" applyFont="1" applyFill="1" applyBorder="1" applyAlignment="1">
      <alignment horizontal="center" vertical="center" shrinkToFit="1" readingOrder="1"/>
    </xf>
    <xf numFmtId="0" fontId="2" fillId="0" borderId="24" xfId="0" applyFont="1" applyBorder="1"/>
    <xf numFmtId="0" fontId="4" fillId="0" borderId="51" xfId="0" applyFont="1" applyBorder="1" applyAlignment="1">
      <alignment horizontal="center" vertical="center" shrinkToFit="1" readingOrder="1"/>
    </xf>
    <xf numFmtId="0" fontId="2" fillId="0" borderId="64" xfId="0" applyFont="1" applyBorder="1"/>
    <xf numFmtId="0" fontId="9" fillId="2" borderId="63" xfId="0" applyFont="1" applyFill="1" applyBorder="1" applyAlignment="1">
      <alignment horizontal="center" vertical="center" shrinkToFit="1" readingOrder="1"/>
    </xf>
    <xf numFmtId="178" fontId="11" fillId="7" borderId="63" xfId="0" applyNumberFormat="1" applyFont="1" applyFill="1" applyBorder="1" applyAlignment="1">
      <alignment horizontal="center" vertical="center" readingOrder="1"/>
    </xf>
    <xf numFmtId="0" fontId="9" fillId="7" borderId="5" xfId="0" applyFont="1" applyFill="1" applyBorder="1" applyAlignment="1">
      <alignment horizontal="center" vertical="center" shrinkToFit="1" readingOrder="1"/>
    </xf>
    <xf numFmtId="0" fontId="9" fillId="10" borderId="66" xfId="0" applyFont="1" applyFill="1" applyBorder="1" applyAlignment="1">
      <alignment horizontal="center" vertical="center" shrinkToFit="1" readingOrder="1"/>
    </xf>
    <xf numFmtId="0" fontId="2" fillId="0" borderId="67" xfId="0" applyFont="1" applyBorder="1"/>
    <xf numFmtId="0" fontId="2" fillId="0" borderId="68" xfId="0" applyFont="1" applyBorder="1"/>
    <xf numFmtId="178" fontId="9" fillId="10" borderId="70" xfId="0" applyNumberFormat="1" applyFont="1" applyFill="1" applyBorder="1" applyAlignment="1">
      <alignment horizontal="center" vertical="center" readingOrder="1"/>
    </xf>
    <xf numFmtId="0" fontId="2" fillId="0" borderId="71" xfId="0" applyFont="1" applyBorder="1"/>
    <xf numFmtId="0" fontId="7" fillId="0" borderId="63" xfId="0" quotePrefix="1" applyFont="1" applyBorder="1" applyAlignment="1">
      <alignment horizontal="left" vertical="center" shrinkToFit="1" readingOrder="1"/>
    </xf>
    <xf numFmtId="0" fontId="15" fillId="12" borderId="27" xfId="0" applyFont="1" applyFill="1" applyBorder="1" applyAlignment="1">
      <alignment horizontal="center" vertical="center"/>
    </xf>
    <xf numFmtId="0" fontId="2" fillId="0" borderId="27" xfId="0" applyFont="1" applyBorder="1"/>
    <xf numFmtId="0" fontId="9" fillId="2" borderId="30" xfId="0" applyFont="1" applyFill="1" applyBorder="1" applyAlignment="1">
      <alignment horizontal="center" vertical="center" readingOrder="1"/>
    </xf>
    <xf numFmtId="0" fontId="2" fillId="0" borderId="34" xfId="0" applyFont="1" applyBorder="1"/>
    <xf numFmtId="0" fontId="9" fillId="2" borderId="28" xfId="0" applyFont="1" applyFill="1" applyBorder="1" applyAlignment="1">
      <alignment horizontal="center" vertical="center" wrapText="1" readingOrder="1"/>
    </xf>
    <xf numFmtId="0" fontId="2" fillId="0" borderId="29" xfId="0" applyFont="1" applyBorder="1"/>
    <xf numFmtId="0" fontId="9" fillId="7" borderId="28" xfId="0" applyFont="1" applyFill="1" applyBorder="1" applyAlignment="1">
      <alignment horizontal="center" vertical="center" shrinkToFit="1" readingOrder="1"/>
    </xf>
    <xf numFmtId="0" fontId="2" fillId="0" borderId="31" xfId="0" applyFont="1" applyBorder="1"/>
    <xf numFmtId="0" fontId="9" fillId="2" borderId="31" xfId="0" applyFont="1" applyFill="1" applyBorder="1" applyAlignment="1">
      <alignment horizontal="center" vertical="center" readingOrder="1"/>
    </xf>
    <xf numFmtId="0" fontId="12" fillId="4" borderId="35" xfId="0" applyFont="1" applyFill="1" applyBorder="1" applyAlignment="1">
      <alignment horizontal="center" vertical="center" wrapText="1" readingOrder="1"/>
    </xf>
    <xf numFmtId="0" fontId="2" fillId="0" borderId="32" xfId="0" applyFont="1" applyBorder="1"/>
    <xf numFmtId="0" fontId="13" fillId="2" borderId="43" xfId="0" applyFont="1" applyFill="1" applyBorder="1" applyAlignment="1">
      <alignment horizontal="center" vertical="center"/>
    </xf>
    <xf numFmtId="0" fontId="2" fillId="0" borderId="43" xfId="0" applyFont="1" applyBorder="1"/>
    <xf numFmtId="0" fontId="4" fillId="0" borderId="0" xfId="0" applyFont="1" applyAlignment="1">
      <alignment horizontal="center" vertical="center" readingOrder="1"/>
    </xf>
    <xf numFmtId="0" fontId="0" fillId="0" borderId="0" xfId="0"/>
    <xf numFmtId="0" fontId="9" fillId="2" borderId="35" xfId="0" applyFont="1" applyFill="1" applyBorder="1" applyAlignment="1">
      <alignment horizontal="center" vertical="center" readingOrder="1"/>
    </xf>
    <xf numFmtId="179" fontId="9" fillId="2" borderId="28" xfId="0" applyNumberFormat="1" applyFont="1" applyFill="1" applyBorder="1" applyAlignment="1">
      <alignment horizontal="center" vertical="center" readingOrder="1"/>
    </xf>
    <xf numFmtId="0" fontId="17" fillId="4" borderId="35" xfId="0" applyFont="1" applyFill="1" applyBorder="1" applyAlignment="1">
      <alignment horizontal="center" vertical="center" wrapText="1" readingOrder="1"/>
    </xf>
    <xf numFmtId="0" fontId="2" fillId="0" borderId="41" xfId="0" applyFont="1" applyBorder="1"/>
    <xf numFmtId="0" fontId="23" fillId="13" borderId="43" xfId="0" applyFont="1" applyFill="1" applyBorder="1" applyAlignment="1">
      <alignment horizontal="center" vertical="center"/>
    </xf>
    <xf numFmtId="0" fontId="24" fillId="0" borderId="0" xfId="0" applyFont="1" applyAlignment="1">
      <alignment horizontal="left" wrapText="1"/>
    </xf>
    <xf numFmtId="0" fontId="30" fillId="17" borderId="43" xfId="0" applyFont="1" applyFill="1" applyBorder="1" applyAlignment="1">
      <alignment horizontal="center" vertical="center"/>
    </xf>
    <xf numFmtId="0" fontId="9" fillId="2" borderId="47" xfId="0" applyFont="1" applyFill="1" applyBorder="1" applyAlignment="1">
      <alignment horizontal="center" vertical="center" readingOrder="1"/>
    </xf>
    <xf numFmtId="0" fontId="2" fillId="0" borderId="61" xfId="0" applyFont="1" applyBorder="1"/>
    <xf numFmtId="0" fontId="9" fillId="2" borderId="48" xfId="0" applyFont="1" applyFill="1" applyBorder="1" applyAlignment="1">
      <alignment horizontal="center" vertical="center" readingOrder="1"/>
    </xf>
    <xf numFmtId="0" fontId="9" fillId="2" borderId="49" xfId="0" applyFont="1" applyFill="1" applyBorder="1" applyAlignment="1">
      <alignment horizontal="center" vertical="center" wrapText="1" readingOrder="1"/>
    </xf>
    <xf numFmtId="0" fontId="2" fillId="0" borderId="50" xfId="0" applyFont="1" applyBorder="1"/>
  </cellXfs>
  <cellStyles count="2">
    <cellStyle name="표준" xfId="0" builtinId="0"/>
    <cellStyle name="표준 3" xfId="1" xr:uid="{B211E9FD-375E-4BE1-B40F-308E97E01297}"/>
  </cellStyles>
  <dxfs count="14167"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FF0000"/>
      </font>
      <fill>
        <patternFill patternType="solid">
          <fgColor rgb="FFECECEC"/>
          <bgColor rgb="FFECECEC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ont>
        <color rgb="FF833C0B"/>
      </font>
      <fill>
        <patternFill patternType="solid">
          <fgColor rgb="FFFBE4D5"/>
          <bgColor rgb="FFFBE4D5"/>
        </patternFill>
      </fill>
    </dxf>
    <dxf>
      <font>
        <color rgb="FF1F3864"/>
      </font>
      <fill>
        <patternFill patternType="solid">
          <fgColor rgb="FFDEEAF6"/>
          <bgColor rgb="FFDEEAF6"/>
        </patternFill>
      </fill>
    </dxf>
    <dxf>
      <font>
        <color rgb="FF385623"/>
      </font>
      <fill>
        <patternFill patternType="solid">
          <fgColor rgb="FFE2EFD9"/>
          <bgColor rgb="FFE2EFD9"/>
        </patternFill>
      </fill>
    </dxf>
    <dxf>
      <fill>
        <patternFill patternType="solid">
          <fgColor rgb="FFFEFBF0"/>
          <bgColor rgb="FFFEFBF0"/>
        </patternFill>
      </fill>
    </dxf>
    <dxf>
      <fill>
        <patternFill patternType="solid">
          <fgColor rgb="FFFEFBF0"/>
          <bgColor rgb="FFFEFBF0"/>
        </patternFill>
      </fill>
    </dxf>
    <dxf>
      <fill>
        <patternFill patternType="solid">
          <fgColor rgb="FFFEFBF0"/>
          <bgColor rgb="FFFEFBF0"/>
        </patternFill>
      </fill>
    </dxf>
    <dxf>
      <fill>
        <patternFill patternType="solid">
          <fgColor rgb="FFFEFBF0"/>
          <bgColor rgb="FFFEFB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haredStrings" Target="sharedStrings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microsoft.com/office/2017/06/relationships/rdRichValueStructure" Target="richData/rdrichvaluestructure.xml"/><Relationship Id="rId17" Type="http://schemas.openxmlformats.org/officeDocument/2006/relationships/styles" Target="styles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17/06/relationships/rdRichValue" Target="richData/rdrichvalue.xml"/><Relationship Id="rId1" Type="http://schemas.openxmlformats.org/officeDocument/2006/relationships/worksheet" Target="worksheets/sheet1.xml"/><Relationship Id="rId24" Type="http://schemas.openxmlformats.org/officeDocument/2006/relationships/customXml" Target="../customXml/item1.xml"/><Relationship Id="rId15" Type="http://customschemas.google.com/relationships/workbookmetadata" Target="metadata"/><Relationship Id="rId23" Type="http://schemas.openxmlformats.org/officeDocument/2006/relationships/calcChain" Target="calcChain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22" Type="http://schemas.microsoft.com/office/2017/06/relationships/rdRichValueTypes" Target="richData/rdRichValueTyp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-4219575</xdr:colOff>
      <xdr:row>0</xdr:row>
      <xdr:rowOff>428625</xdr:rowOff>
    </xdr:from>
    <xdr:ext cx="57150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346000" y="3780000"/>
          <a:ext cx="0" cy="0"/>
        </a:xfrm>
        <a:prstGeom prst="roundRect">
          <a:avLst>
            <a:gd name="adj" fmla="val 16667"/>
          </a:avLst>
        </a:prstGeom>
        <a:solidFill>
          <a:srgbClr val="FEFBF0"/>
        </a:solidFill>
        <a:ln w="57150" cap="flat" cmpd="sng">
          <a:solidFill>
            <a:srgbClr val="D0CEC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[작성가이드]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1. </a:t>
          </a:r>
          <a:r>
            <a:rPr lang="en-US" sz="1100" b="1" u="sng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노란색 셀</a:t>
          </a:r>
          <a:r>
            <a:rPr lang="en-US" sz="11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만 입력합니다.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2. 훈련시간은 </a:t>
          </a:r>
          <a:r>
            <a:rPr lang="en-US" sz="1100" b="1" u="sng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실제로 운영할 시간</a:t>
          </a:r>
          <a:r>
            <a:rPr lang="en-US" sz="11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을 입력합니다.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(변경신고 예정인 시간)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3. 입력한 시간은 </a:t>
          </a:r>
          <a:r>
            <a:rPr lang="en-US" sz="1100" b="1" u="sng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[시간표] 시트의 </a:t>
          </a:r>
          <a:r>
            <a:rPr lang="en-US" sz="1100" b="1" u="sng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훈련시간 대조표</a:t>
          </a:r>
          <a:r>
            <a:rPr lang="en-US" sz="11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에서 활용됩니다.</a:t>
          </a:r>
          <a:endParaRPr sz="1100" b="0">
            <a:solidFill>
              <a:schemeClr val="dk1"/>
            </a:solidFill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39</xdr:row>
      <xdr:rowOff>0</xdr:rowOff>
    </xdr:from>
    <xdr:to>
      <xdr:col>8</xdr:col>
      <xdr:colOff>9525</xdr:colOff>
      <xdr:row>71</xdr:row>
      <xdr:rowOff>295275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DCBD104-7EE0-428B-8A4F-84C002CF4CF7}"/>
            </a:ext>
            <a:ext uri="{147F2762-F138-4A5C-976F-8EAC2B608ADB}">
              <a16:predDERef xmlns:a16="http://schemas.microsoft.com/office/drawing/2014/main" pred="{93888092-A565-44DA-8884-F3510EE4582E}"/>
            </a:ext>
          </a:extLst>
        </xdr:cNvPr>
        <xdr:cNvSpPr/>
      </xdr:nvSpPr>
      <xdr:spPr>
        <a:xfrm>
          <a:off x="6696075" y="12458700"/>
          <a:ext cx="1295400" cy="103536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ko-KR" altLang="en-US" sz="16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휴강</a:t>
          </a:r>
        </a:p>
      </xdr:txBody>
    </xdr:sp>
    <xdr:clientData/>
  </xdr:twoCellAnchor>
  <xdr:twoCellAnchor>
    <xdr:from>
      <xdr:col>7</xdr:col>
      <xdr:colOff>0</xdr:colOff>
      <xdr:row>144</xdr:row>
      <xdr:rowOff>0</xdr:rowOff>
    </xdr:from>
    <xdr:to>
      <xdr:col>8</xdr:col>
      <xdr:colOff>9525</xdr:colOff>
      <xdr:row>176</xdr:row>
      <xdr:rowOff>295275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4672FBE6-B126-4E3F-B500-E78F295D5D1F}"/>
            </a:ext>
            <a:ext uri="{147F2762-F138-4A5C-976F-8EAC2B608ADB}">
              <a16:predDERef xmlns:a16="http://schemas.microsoft.com/office/drawing/2014/main" pred="{BDCBD104-7EE0-428B-8A4F-84C002CF4CF7}"/>
            </a:ext>
          </a:extLst>
        </xdr:cNvPr>
        <xdr:cNvSpPr/>
      </xdr:nvSpPr>
      <xdr:spPr>
        <a:xfrm>
          <a:off x="6696075" y="45462825"/>
          <a:ext cx="1295400" cy="103536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ko-KR" altLang="en-US" sz="16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휴강</a:t>
          </a:r>
        </a:p>
      </xdr:txBody>
    </xdr:sp>
    <xdr:clientData/>
  </xdr:twoCellAnchor>
  <xdr:twoCellAnchor>
    <xdr:from>
      <xdr:col>8</xdr:col>
      <xdr:colOff>0</xdr:colOff>
      <xdr:row>144</xdr:row>
      <xdr:rowOff>0</xdr:rowOff>
    </xdr:from>
    <xdr:to>
      <xdr:col>9</xdr:col>
      <xdr:colOff>9525</xdr:colOff>
      <xdr:row>176</xdr:row>
      <xdr:rowOff>295275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D196A175-CF3E-4C70-928C-F287AA6F4DF5}"/>
            </a:ext>
            <a:ext uri="{147F2762-F138-4A5C-976F-8EAC2B608ADB}">
              <a16:predDERef xmlns:a16="http://schemas.microsoft.com/office/drawing/2014/main" pred="{4672FBE6-B126-4E3F-B500-E78F295D5D1F}"/>
            </a:ext>
          </a:extLst>
        </xdr:cNvPr>
        <xdr:cNvSpPr/>
      </xdr:nvSpPr>
      <xdr:spPr>
        <a:xfrm>
          <a:off x="7981950" y="45462825"/>
          <a:ext cx="1295400" cy="103536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ko-KR" altLang="en-US" sz="16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휴강</a:t>
          </a:r>
        </a:p>
      </xdr:txBody>
    </xdr:sp>
    <xdr:clientData/>
  </xdr:twoCellAnchor>
  <xdr:twoCellAnchor>
    <xdr:from>
      <xdr:col>9</xdr:col>
      <xdr:colOff>0</xdr:colOff>
      <xdr:row>144</xdr:row>
      <xdr:rowOff>0</xdr:rowOff>
    </xdr:from>
    <xdr:to>
      <xdr:col>10</xdr:col>
      <xdr:colOff>9525</xdr:colOff>
      <xdr:row>176</xdr:row>
      <xdr:rowOff>295275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A9DEF1CF-4C45-4B17-B5FB-5976179F4AD6}"/>
            </a:ext>
            <a:ext uri="{147F2762-F138-4A5C-976F-8EAC2B608ADB}">
              <a16:predDERef xmlns:a16="http://schemas.microsoft.com/office/drawing/2014/main" pred="{D196A175-CF3E-4C70-928C-F287AA6F4DF5}"/>
            </a:ext>
          </a:extLst>
        </xdr:cNvPr>
        <xdr:cNvSpPr/>
      </xdr:nvSpPr>
      <xdr:spPr>
        <a:xfrm>
          <a:off x="9267825" y="45462825"/>
          <a:ext cx="1295400" cy="103536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ko-KR" altLang="en-US" sz="16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휴강</a:t>
          </a:r>
        </a:p>
      </xdr:txBody>
    </xdr:sp>
    <xdr:clientData/>
  </xdr:twoCellAnchor>
  <xdr:twoCellAnchor>
    <xdr:from>
      <xdr:col>3</xdr:col>
      <xdr:colOff>0</xdr:colOff>
      <xdr:row>214</xdr:row>
      <xdr:rowOff>0</xdr:rowOff>
    </xdr:from>
    <xdr:to>
      <xdr:col>4</xdr:col>
      <xdr:colOff>9525</xdr:colOff>
      <xdr:row>246</xdr:row>
      <xdr:rowOff>295275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C8C4521A-F2F8-4E35-99D0-A2F0E498B832}"/>
            </a:ext>
            <a:ext uri="{147F2762-F138-4A5C-976F-8EAC2B608ADB}">
              <a16:predDERef xmlns:a16="http://schemas.microsoft.com/office/drawing/2014/main" pred="{A9DEF1CF-4C45-4B17-B5FB-5976179F4AD6}"/>
            </a:ext>
          </a:extLst>
        </xdr:cNvPr>
        <xdr:cNvSpPr/>
      </xdr:nvSpPr>
      <xdr:spPr>
        <a:xfrm>
          <a:off x="1552575" y="67465575"/>
          <a:ext cx="1295400" cy="103536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ko-KR" altLang="en-US" sz="16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휴강</a:t>
          </a:r>
        </a:p>
      </xdr:txBody>
    </xdr:sp>
    <xdr:clientData/>
  </xdr:twoCellAnchor>
  <xdr:twoCellAnchor>
    <xdr:from>
      <xdr:col>10</xdr:col>
      <xdr:colOff>0</xdr:colOff>
      <xdr:row>214</xdr:row>
      <xdr:rowOff>0</xdr:rowOff>
    </xdr:from>
    <xdr:to>
      <xdr:col>11</xdr:col>
      <xdr:colOff>9525</xdr:colOff>
      <xdr:row>246</xdr:row>
      <xdr:rowOff>295275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85CDD7C4-F26B-4B24-8E83-797360A23DC8}"/>
            </a:ext>
            <a:ext uri="{147F2762-F138-4A5C-976F-8EAC2B608ADB}">
              <a16:predDERef xmlns:a16="http://schemas.microsoft.com/office/drawing/2014/main" pred="{C8C4521A-F2F8-4E35-99D0-A2F0E498B832}"/>
            </a:ext>
          </a:extLst>
        </xdr:cNvPr>
        <xdr:cNvSpPr/>
      </xdr:nvSpPr>
      <xdr:spPr>
        <a:xfrm>
          <a:off x="10553700" y="67465575"/>
          <a:ext cx="1295400" cy="103536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ko-KR" altLang="en-US" sz="16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휴강</a:t>
          </a:r>
        </a:p>
      </xdr:txBody>
    </xdr:sp>
    <xdr:clientData/>
  </xdr:twoCellAnchor>
  <xdr:twoCellAnchor>
    <xdr:from>
      <xdr:col>12</xdr:col>
      <xdr:colOff>0</xdr:colOff>
      <xdr:row>319</xdr:row>
      <xdr:rowOff>0</xdr:rowOff>
    </xdr:from>
    <xdr:to>
      <xdr:col>13</xdr:col>
      <xdr:colOff>9525</xdr:colOff>
      <xdr:row>351</xdr:row>
      <xdr:rowOff>295275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3B2C2B77-37A6-4D1B-9404-2579C913221B}"/>
            </a:ext>
            <a:ext uri="{147F2762-F138-4A5C-976F-8EAC2B608ADB}">
              <a16:predDERef xmlns:a16="http://schemas.microsoft.com/office/drawing/2014/main" pred="{85CDD7C4-F26B-4B24-8E83-797360A23DC8}"/>
            </a:ext>
          </a:extLst>
        </xdr:cNvPr>
        <xdr:cNvSpPr/>
      </xdr:nvSpPr>
      <xdr:spPr>
        <a:xfrm>
          <a:off x="13125450" y="100469700"/>
          <a:ext cx="1295400" cy="103536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ko-KR" altLang="en-US" sz="16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휴강</a:t>
          </a:r>
        </a:p>
      </xdr:txBody>
    </xdr:sp>
    <xdr:clientData/>
  </xdr:twoCellAnchor>
  <xdr:twoCellAnchor>
    <xdr:from>
      <xdr:col>12</xdr:col>
      <xdr:colOff>0</xdr:colOff>
      <xdr:row>249</xdr:row>
      <xdr:rowOff>0</xdr:rowOff>
    </xdr:from>
    <xdr:to>
      <xdr:col>13</xdr:col>
      <xdr:colOff>9525</xdr:colOff>
      <xdr:row>281</xdr:row>
      <xdr:rowOff>295275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10FB3704-06C6-4DF6-A9B6-C4A71AFF153E}"/>
            </a:ext>
            <a:ext uri="{147F2762-F138-4A5C-976F-8EAC2B608ADB}">
              <a16:predDERef xmlns:a16="http://schemas.microsoft.com/office/drawing/2014/main" pred="{C8C4521A-F2F8-4E35-99D0-A2F0E498B832}"/>
            </a:ext>
          </a:extLst>
        </xdr:cNvPr>
        <xdr:cNvSpPr/>
      </xdr:nvSpPr>
      <xdr:spPr>
        <a:xfrm>
          <a:off x="13115925" y="78466950"/>
          <a:ext cx="1295400" cy="103536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ko-KR" altLang="en-US" sz="16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휴강</a:t>
          </a:r>
        </a:p>
      </xdr:txBody>
    </xdr:sp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9</v>
    <v>9</v>
  </rv>
  <rv s="1">
    <v>9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errorType" t="i"/>
    <k n="propagated" t="b"/>
  </s>
</rvStructure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KKK@estsof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XFD983"/>
  <sheetViews>
    <sheetView showGridLines="0" workbookViewId="0">
      <pane ySplit="1" topLeftCell="A2" activePane="bottomLeft" state="frozen"/>
      <selection pane="bottomLeft" activeCell="I3" sqref="I3:K3"/>
    </sheetView>
  </sheetViews>
  <sheetFormatPr defaultColWidth="14.42578125" defaultRowHeight="15" customHeight="1"/>
  <cols>
    <col min="1" max="1" width="10.5703125" customWidth="1"/>
    <col min="2" max="2" width="18.5703125" customWidth="1"/>
    <col min="3" max="4" width="10.5703125" customWidth="1"/>
    <col min="5" max="5" width="20.5703125" customWidth="1"/>
    <col min="6" max="8" width="5.5703125" customWidth="1"/>
    <col min="9" max="10" width="10.5703125" customWidth="1"/>
    <col min="11" max="11" width="20.5703125" customWidth="1"/>
    <col min="12" max="26" width="9" style="1" customWidth="1"/>
  </cols>
  <sheetData>
    <row r="1" spans="1:11" ht="36" customHeight="1">
      <c r="A1" s="119" t="s">
        <v>0</v>
      </c>
      <c r="B1" s="115"/>
      <c r="C1" s="120" t="s">
        <v>1</v>
      </c>
      <c r="D1" s="114"/>
      <c r="E1" s="114"/>
      <c r="F1" s="114"/>
      <c r="G1" s="114"/>
      <c r="H1" s="114"/>
      <c r="I1" s="114"/>
      <c r="J1" s="114"/>
      <c r="K1" s="115"/>
    </row>
    <row r="2" spans="1:11" ht="21.75" customHeight="1">
      <c r="A2" s="99" t="s">
        <v>2</v>
      </c>
      <c r="B2" s="93"/>
      <c r="C2" s="100" t="str">
        <f>IFERROR(VLOOKUP($C$1,#REF!, 2, 0),"자동입력")</f>
        <v>자동입력</v>
      </c>
      <c r="D2" s="92"/>
      <c r="E2" s="93"/>
      <c r="F2" s="91" t="s">
        <v>3</v>
      </c>
      <c r="G2" s="92"/>
      <c r="H2" s="93"/>
      <c r="I2" s="121" t="s">
        <v>146</v>
      </c>
      <c r="J2" s="92"/>
      <c r="K2" s="93"/>
    </row>
    <row r="3" spans="1:11" ht="21.75" customHeight="1">
      <c r="A3" s="99" t="s">
        <v>4</v>
      </c>
      <c r="B3" s="93"/>
      <c r="C3" s="122" t="str">
        <f>IFERROR(VLOOKUP($C$1,#REF!, 6, 0),"자동입력")</f>
        <v>자동입력</v>
      </c>
      <c r="D3" s="92"/>
      <c r="E3" s="93"/>
      <c r="F3" s="91" t="s">
        <v>5</v>
      </c>
      <c r="G3" s="92"/>
      <c r="H3" s="93"/>
      <c r="I3" s="122" t="str">
        <f>IFERROR(VLOOKUP($C$1,#REF!, 5, 0),"자동입력")</f>
        <v>자동입력</v>
      </c>
      <c r="J3" s="92"/>
      <c r="K3" s="93"/>
    </row>
    <row r="4" spans="1:11" ht="21.75" customHeight="1">
      <c r="A4" s="99" t="s">
        <v>6</v>
      </c>
      <c r="B4" s="93"/>
      <c r="C4" s="100" t="str">
        <f>IFERROR(VLOOKUP($C$1,#REF!, 8, 0),"자동입력")</f>
        <v>자동입력</v>
      </c>
      <c r="D4" s="92"/>
      <c r="E4" s="93"/>
      <c r="F4" s="91" t="s">
        <v>7</v>
      </c>
      <c r="G4" s="92"/>
      <c r="H4" s="93"/>
      <c r="I4" s="100" t="str">
        <f>IFERROR(VLOOKUP($C$1,#REF!, 4, 0),"자동입력")</f>
        <v>자동입력</v>
      </c>
      <c r="J4" s="92"/>
      <c r="K4" s="93"/>
    </row>
    <row r="5" spans="1:11" ht="21.75" customHeight="1">
      <c r="A5" s="99" t="s">
        <v>8</v>
      </c>
      <c r="B5" s="93"/>
      <c r="C5" s="2" t="str">
        <f>IFERROR(VLOOKUP($C$1,#REF!, 10, 0),"자동입력")</f>
        <v>자동입력</v>
      </c>
      <c r="D5" s="100" t="str">
        <f>IFERROR(VLOOKUP($C$1,#REF!, 11, 0),"자동입력")</f>
        <v>자동입력</v>
      </c>
      <c r="E5" s="93"/>
      <c r="F5" s="91" t="s">
        <v>9</v>
      </c>
      <c r="G5" s="92"/>
      <c r="H5" s="93"/>
      <c r="I5" s="2" t="str">
        <f>IFERROR(VLOOKUP($C$1,#REF!, 12, 0),"자동입력")</f>
        <v>자동입력</v>
      </c>
      <c r="J5" s="100" t="str">
        <f>IFERROR(VLOOKUP($C$1,#REF!, 13, 0),"자동입력")</f>
        <v>자동입력</v>
      </c>
      <c r="K5" s="93"/>
    </row>
    <row r="6" spans="1:11" ht="21.75" customHeight="1">
      <c r="A6" s="99" t="s">
        <v>10</v>
      </c>
      <c r="B6" s="93"/>
      <c r="C6" s="100" t="str">
        <f>IFERROR(VLOOKUP($C$1,#REF!,9, 0),"자동입력")</f>
        <v>자동입력</v>
      </c>
      <c r="D6" s="92"/>
      <c r="E6" s="93"/>
      <c r="F6" s="91" t="s">
        <v>11</v>
      </c>
      <c r="G6" s="92"/>
      <c r="H6" s="93"/>
      <c r="I6" s="100" t="str">
        <f>IFERROR(VLOOKUP($C$1,#REF!, 7, 0),"자동입력")</f>
        <v>자동입력</v>
      </c>
      <c r="J6" s="92"/>
      <c r="K6" s="93"/>
    </row>
    <row r="7" spans="1:11" ht="21.75" customHeight="1">
      <c r="A7" s="101" t="s">
        <v>12</v>
      </c>
      <c r="B7" s="96"/>
      <c r="C7" s="95">
        <f>H94</f>
        <v>800</v>
      </c>
      <c r="D7" s="104"/>
      <c r="E7" s="96"/>
      <c r="F7" s="91" t="s">
        <v>13</v>
      </c>
      <c r="G7" s="92"/>
      <c r="H7" s="93"/>
      <c r="I7" s="94">
        <f>SUM(H18,H26,H34,H58)</f>
        <v>192</v>
      </c>
      <c r="J7" s="93"/>
      <c r="K7" s="3">
        <f>IFERROR(I7/C7, "자동입력")</f>
        <v>0.24</v>
      </c>
    </row>
    <row r="8" spans="1:11" ht="21.75" customHeight="1">
      <c r="A8" s="102"/>
      <c r="B8" s="103"/>
      <c r="C8" s="105"/>
      <c r="D8" s="106"/>
      <c r="E8" s="103"/>
      <c r="F8" s="112" t="s">
        <v>14</v>
      </c>
      <c r="G8" s="104"/>
      <c r="H8" s="96"/>
      <c r="I8" s="95">
        <f>H87</f>
        <v>280</v>
      </c>
      <c r="J8" s="96"/>
      <c r="K8" s="4">
        <f>IFERROR(I8/C7, "자동입력")</f>
        <v>0.35</v>
      </c>
    </row>
    <row r="9" spans="1:11" ht="16.5" customHeight="1">
      <c r="A9" s="97" t="s">
        <v>15</v>
      </c>
      <c r="B9" s="107" t="s">
        <v>16</v>
      </c>
      <c r="C9" s="109" t="s">
        <v>17</v>
      </c>
      <c r="D9" s="110"/>
      <c r="E9" s="111"/>
      <c r="F9" s="113" t="s">
        <v>18</v>
      </c>
      <c r="G9" s="114"/>
      <c r="H9" s="115"/>
      <c r="I9" s="109" t="s">
        <v>19</v>
      </c>
      <c r="J9" s="110"/>
      <c r="K9" s="111"/>
    </row>
    <row r="10" spans="1:11" ht="13.5" customHeight="1">
      <c r="A10" s="98"/>
      <c r="B10" s="108"/>
      <c r="C10" s="105"/>
      <c r="D10" s="106"/>
      <c r="E10" s="103"/>
      <c r="F10" s="5" t="s">
        <v>20</v>
      </c>
      <c r="G10" s="5" t="s">
        <v>21</v>
      </c>
      <c r="H10" s="6" t="s">
        <v>22</v>
      </c>
      <c r="I10" s="105"/>
      <c r="J10" s="106"/>
      <c r="K10" s="103"/>
    </row>
    <row r="11" spans="1:11" ht="21.75" customHeight="1">
      <c r="A11" s="136" t="s">
        <v>23</v>
      </c>
      <c r="B11" s="138" t="s">
        <v>24</v>
      </c>
      <c r="C11" s="123" t="s">
        <v>25</v>
      </c>
      <c r="D11" s="92"/>
      <c r="E11" s="93"/>
      <c r="F11" s="79">
        <v>12</v>
      </c>
      <c r="G11" s="80">
        <v>8</v>
      </c>
      <c r="H11" s="81">
        <f t="shared" ref="H11:H17" si="0">SUM(F11:G11)</f>
        <v>20</v>
      </c>
      <c r="I11" s="116"/>
      <c r="J11" s="92"/>
      <c r="K11" s="93"/>
    </row>
    <row r="12" spans="1:11" ht="21.75" customHeight="1">
      <c r="A12" s="137"/>
      <c r="B12" s="139"/>
      <c r="C12" s="124" t="s">
        <v>26</v>
      </c>
      <c r="D12" s="92"/>
      <c r="E12" s="93"/>
      <c r="F12" s="79">
        <v>12</v>
      </c>
      <c r="G12" s="80">
        <v>8</v>
      </c>
      <c r="H12" s="81">
        <f t="shared" si="0"/>
        <v>20</v>
      </c>
      <c r="I12" s="116"/>
      <c r="J12" s="92"/>
      <c r="K12" s="117"/>
    </row>
    <row r="13" spans="1:11" ht="21.75" customHeight="1">
      <c r="A13" s="137"/>
      <c r="B13" s="139"/>
      <c r="C13" s="123"/>
      <c r="D13" s="92"/>
      <c r="E13" s="93"/>
      <c r="F13" s="79"/>
      <c r="G13" s="80"/>
      <c r="H13" s="81">
        <f t="shared" si="0"/>
        <v>0</v>
      </c>
      <c r="I13" s="116"/>
      <c r="J13" s="92"/>
      <c r="K13" s="117"/>
    </row>
    <row r="14" spans="1:11" ht="21.75" customHeight="1">
      <c r="A14" s="137"/>
      <c r="B14" s="139"/>
      <c r="C14" s="123"/>
      <c r="D14" s="92"/>
      <c r="E14" s="93"/>
      <c r="F14" s="79"/>
      <c r="G14" s="80"/>
      <c r="H14" s="81">
        <f t="shared" si="0"/>
        <v>0</v>
      </c>
      <c r="I14" s="116"/>
      <c r="J14" s="92"/>
      <c r="K14" s="117"/>
    </row>
    <row r="15" spans="1:11" ht="21.75" customHeight="1">
      <c r="A15" s="137"/>
      <c r="B15" s="139"/>
      <c r="C15" s="123"/>
      <c r="D15" s="92"/>
      <c r="E15" s="93"/>
      <c r="F15" s="79"/>
      <c r="G15" s="80"/>
      <c r="H15" s="81">
        <f t="shared" si="0"/>
        <v>0</v>
      </c>
      <c r="I15" s="116"/>
      <c r="J15" s="92"/>
      <c r="K15" s="117"/>
    </row>
    <row r="16" spans="1:11" ht="21.75" customHeight="1">
      <c r="A16" s="137"/>
      <c r="B16" s="139"/>
      <c r="C16" s="123"/>
      <c r="D16" s="92"/>
      <c r="E16" s="93"/>
      <c r="F16" s="79"/>
      <c r="G16" s="80"/>
      <c r="H16" s="81">
        <f t="shared" si="0"/>
        <v>0</v>
      </c>
      <c r="I16" s="116"/>
      <c r="J16" s="92"/>
      <c r="K16" s="117"/>
    </row>
    <row r="17" spans="1:11" ht="21.75" customHeight="1">
      <c r="A17" s="137"/>
      <c r="B17" s="108"/>
      <c r="C17" s="123"/>
      <c r="D17" s="92"/>
      <c r="E17" s="93"/>
      <c r="F17" s="79"/>
      <c r="G17" s="80"/>
      <c r="H17" s="81">
        <f t="shared" si="0"/>
        <v>0</v>
      </c>
      <c r="I17" s="116"/>
      <c r="J17" s="92"/>
      <c r="K17" s="117"/>
    </row>
    <row r="18" spans="1:11" ht="21.75" customHeight="1">
      <c r="A18" s="98"/>
      <c r="B18" s="140" t="s">
        <v>27</v>
      </c>
      <c r="C18" s="92"/>
      <c r="D18" s="92"/>
      <c r="E18" s="93"/>
      <c r="F18" s="7">
        <f t="shared" ref="F18:H18" si="1">SUM(F11:F17)</f>
        <v>24</v>
      </c>
      <c r="G18" s="7">
        <f t="shared" si="1"/>
        <v>16</v>
      </c>
      <c r="H18" s="8">
        <f t="shared" si="1"/>
        <v>40</v>
      </c>
      <c r="I18" s="118" t="s">
        <v>28</v>
      </c>
      <c r="J18" s="92"/>
      <c r="K18" s="117"/>
    </row>
    <row r="19" spans="1:11" ht="12.75" customHeight="1">
      <c r="A19" s="136" t="s">
        <v>29</v>
      </c>
      <c r="B19" s="138" t="s">
        <v>24</v>
      </c>
      <c r="C19" s="123" t="s">
        <v>30</v>
      </c>
      <c r="D19" s="92"/>
      <c r="E19" s="93"/>
      <c r="F19" s="80">
        <v>12</v>
      </c>
      <c r="G19" s="80">
        <v>8</v>
      </c>
      <c r="H19" s="81">
        <f t="shared" ref="H19:H25" si="2">SUM(F19:G19)</f>
        <v>20</v>
      </c>
      <c r="I19" s="116"/>
      <c r="J19" s="92"/>
      <c r="K19" s="117"/>
    </row>
    <row r="20" spans="1:11" ht="21.75" customHeight="1">
      <c r="A20" s="137"/>
      <c r="B20" s="139"/>
      <c r="C20" s="123" t="s">
        <v>31</v>
      </c>
      <c r="D20" s="92"/>
      <c r="E20" s="93"/>
      <c r="F20" s="80">
        <v>12</v>
      </c>
      <c r="G20" s="80">
        <v>8</v>
      </c>
      <c r="H20" s="81">
        <f t="shared" si="2"/>
        <v>20</v>
      </c>
      <c r="I20" s="116"/>
      <c r="J20" s="92"/>
      <c r="K20" s="117"/>
    </row>
    <row r="21" spans="1:11" ht="21.75" customHeight="1">
      <c r="A21" s="137"/>
      <c r="B21" s="139"/>
      <c r="C21" s="123"/>
      <c r="D21" s="92"/>
      <c r="E21" s="93"/>
      <c r="F21" s="80"/>
      <c r="G21" s="80"/>
      <c r="H21" s="81">
        <f t="shared" si="2"/>
        <v>0</v>
      </c>
      <c r="I21" s="116"/>
      <c r="J21" s="92"/>
      <c r="K21" s="117"/>
    </row>
    <row r="22" spans="1:11" ht="21.75" customHeight="1">
      <c r="A22" s="137"/>
      <c r="B22" s="139"/>
      <c r="C22" s="123"/>
      <c r="D22" s="92"/>
      <c r="E22" s="93"/>
      <c r="F22" s="80"/>
      <c r="G22" s="80"/>
      <c r="H22" s="81">
        <f t="shared" si="2"/>
        <v>0</v>
      </c>
      <c r="I22" s="116"/>
      <c r="J22" s="92"/>
      <c r="K22" s="117"/>
    </row>
    <row r="23" spans="1:11" ht="21.75" customHeight="1">
      <c r="A23" s="137"/>
      <c r="B23" s="139"/>
      <c r="C23" s="123"/>
      <c r="D23" s="92"/>
      <c r="E23" s="93"/>
      <c r="F23" s="80"/>
      <c r="G23" s="80"/>
      <c r="H23" s="81">
        <f t="shared" si="2"/>
        <v>0</v>
      </c>
      <c r="I23" s="116"/>
      <c r="J23" s="92"/>
      <c r="K23" s="117"/>
    </row>
    <row r="24" spans="1:11" ht="21.75" customHeight="1">
      <c r="A24" s="137"/>
      <c r="B24" s="139"/>
      <c r="C24" s="123"/>
      <c r="D24" s="92"/>
      <c r="E24" s="93"/>
      <c r="F24" s="80"/>
      <c r="G24" s="80"/>
      <c r="H24" s="81">
        <f t="shared" si="2"/>
        <v>0</v>
      </c>
      <c r="I24" s="116"/>
      <c r="J24" s="92"/>
      <c r="K24" s="117"/>
    </row>
    <row r="25" spans="1:11" ht="21.75" customHeight="1">
      <c r="A25" s="137"/>
      <c r="B25" s="108"/>
      <c r="C25" s="123"/>
      <c r="D25" s="92"/>
      <c r="E25" s="93"/>
      <c r="F25" s="80"/>
      <c r="G25" s="80"/>
      <c r="H25" s="81">
        <f t="shared" si="2"/>
        <v>0</v>
      </c>
      <c r="I25" s="116"/>
      <c r="J25" s="92"/>
      <c r="K25" s="117"/>
    </row>
    <row r="26" spans="1:11" ht="12.75" customHeight="1">
      <c r="A26" s="98"/>
      <c r="B26" s="140" t="s">
        <v>27</v>
      </c>
      <c r="C26" s="92"/>
      <c r="D26" s="92"/>
      <c r="E26" s="93"/>
      <c r="F26" s="7">
        <f t="shared" ref="F26:H26" si="3">SUM(F19:F25)</f>
        <v>24</v>
      </c>
      <c r="G26" s="7">
        <f t="shared" si="3"/>
        <v>16</v>
      </c>
      <c r="H26" s="8">
        <f t="shared" si="3"/>
        <v>40</v>
      </c>
      <c r="I26" s="118" t="s">
        <v>28</v>
      </c>
      <c r="J26" s="92"/>
      <c r="K26" s="117"/>
    </row>
    <row r="27" spans="1:11" ht="21.75" customHeight="1">
      <c r="A27" s="136" t="s">
        <v>32</v>
      </c>
      <c r="B27" s="138" t="s">
        <v>33</v>
      </c>
      <c r="C27" s="123" t="s">
        <v>34</v>
      </c>
      <c r="D27" s="92"/>
      <c r="E27" s="93"/>
      <c r="F27" s="80">
        <v>7</v>
      </c>
      <c r="G27" s="80">
        <v>5</v>
      </c>
      <c r="H27" s="81">
        <f t="shared" ref="H27:H33" si="4">SUM(F27:G27)</f>
        <v>12</v>
      </c>
      <c r="I27" s="116"/>
      <c r="J27" s="92"/>
      <c r="K27" s="117"/>
    </row>
    <row r="28" spans="1:11" ht="21.75" customHeight="1">
      <c r="A28" s="137"/>
      <c r="B28" s="139"/>
      <c r="C28" s="123" t="s">
        <v>35</v>
      </c>
      <c r="D28" s="92"/>
      <c r="E28" s="93"/>
      <c r="F28" s="80">
        <v>7</v>
      </c>
      <c r="G28" s="80">
        <v>5</v>
      </c>
      <c r="H28" s="81">
        <f t="shared" si="4"/>
        <v>12</v>
      </c>
      <c r="I28" s="116"/>
      <c r="J28" s="92"/>
      <c r="K28" s="117"/>
    </row>
    <row r="29" spans="1:11" ht="21.75" customHeight="1">
      <c r="A29" s="137"/>
      <c r="B29" s="139"/>
      <c r="C29" s="123" t="s">
        <v>36</v>
      </c>
      <c r="D29" s="92"/>
      <c r="E29" s="93"/>
      <c r="F29" s="80">
        <v>7</v>
      </c>
      <c r="G29" s="80">
        <v>5</v>
      </c>
      <c r="H29" s="81">
        <f t="shared" si="4"/>
        <v>12</v>
      </c>
      <c r="I29" s="116"/>
      <c r="J29" s="92"/>
      <c r="K29" s="117"/>
    </row>
    <row r="30" spans="1:11" ht="21.75" customHeight="1">
      <c r="A30" s="137"/>
      <c r="B30" s="139"/>
      <c r="C30" s="123" t="s">
        <v>37</v>
      </c>
      <c r="D30" s="92"/>
      <c r="E30" s="93"/>
      <c r="F30" s="80">
        <v>7</v>
      </c>
      <c r="G30" s="80">
        <v>5</v>
      </c>
      <c r="H30" s="81">
        <f t="shared" si="4"/>
        <v>12</v>
      </c>
      <c r="I30" s="116"/>
      <c r="J30" s="92"/>
      <c r="K30" s="117"/>
    </row>
    <row r="31" spans="1:11" ht="21.75" customHeight="1">
      <c r="A31" s="137"/>
      <c r="B31" s="139"/>
      <c r="C31" s="123"/>
      <c r="D31" s="92"/>
      <c r="E31" s="93"/>
      <c r="F31" s="80"/>
      <c r="G31" s="80"/>
      <c r="H31" s="81">
        <f t="shared" si="4"/>
        <v>0</v>
      </c>
      <c r="I31" s="116"/>
      <c r="J31" s="92"/>
      <c r="K31" s="117"/>
    </row>
    <row r="32" spans="1:11" ht="21.75" customHeight="1">
      <c r="A32" s="137"/>
      <c r="B32" s="139"/>
      <c r="C32" s="123"/>
      <c r="D32" s="92"/>
      <c r="E32" s="93"/>
      <c r="F32" s="80"/>
      <c r="G32" s="80"/>
      <c r="H32" s="81">
        <f t="shared" si="4"/>
        <v>0</v>
      </c>
      <c r="I32" s="116"/>
      <c r="J32" s="92"/>
      <c r="K32" s="117"/>
    </row>
    <row r="33" spans="1:16384" customFormat="1" ht="21.75" customHeight="1">
      <c r="A33" s="137"/>
      <c r="B33" s="108"/>
      <c r="C33" s="123"/>
      <c r="D33" s="92"/>
      <c r="E33" s="93"/>
      <c r="F33" s="80"/>
      <c r="G33" s="80"/>
      <c r="H33" s="81">
        <f t="shared" si="4"/>
        <v>0</v>
      </c>
      <c r="I33" s="116"/>
      <c r="J33" s="92"/>
      <c r="K33" s="117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16384" customFormat="1" ht="12.75" customHeight="1">
      <c r="A34" s="98"/>
      <c r="B34" s="140" t="s">
        <v>27</v>
      </c>
      <c r="C34" s="92"/>
      <c r="D34" s="92"/>
      <c r="E34" s="93"/>
      <c r="F34" s="7">
        <f t="shared" ref="F34:H34" si="5">SUM(F27:F33)</f>
        <v>28</v>
      </c>
      <c r="G34" s="7">
        <f t="shared" si="5"/>
        <v>20</v>
      </c>
      <c r="H34" s="8">
        <f t="shared" si="5"/>
        <v>48</v>
      </c>
      <c r="I34" s="118" t="s">
        <v>28</v>
      </c>
      <c r="J34" s="92"/>
      <c r="K34" s="117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16384" customFormat="1" ht="21.75" customHeight="1">
      <c r="A35" s="136" t="s">
        <v>38</v>
      </c>
      <c r="B35" s="138" t="s">
        <v>39</v>
      </c>
      <c r="C35" s="123" t="s">
        <v>40</v>
      </c>
      <c r="D35" s="92"/>
      <c r="E35" s="93"/>
      <c r="F35" s="80">
        <v>16</v>
      </c>
      <c r="G35" s="80"/>
      <c r="H35" s="81">
        <f t="shared" ref="H35:H41" si="6">SUM(F35:G35)</f>
        <v>16</v>
      </c>
      <c r="I35" s="116"/>
      <c r="J35" s="92"/>
      <c r="K35" s="117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16384" customFormat="1" ht="21.75" customHeight="1">
      <c r="A36" s="137"/>
      <c r="B36" s="139"/>
      <c r="C36" s="123" t="s">
        <v>41</v>
      </c>
      <c r="D36" s="92"/>
      <c r="E36" s="93"/>
      <c r="F36" s="80">
        <v>16</v>
      </c>
      <c r="G36" s="80"/>
      <c r="H36" s="81">
        <f t="shared" si="6"/>
        <v>16</v>
      </c>
      <c r="I36" s="116"/>
      <c r="J36" s="92"/>
      <c r="K36" s="117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16384" customFormat="1" ht="21.75" customHeight="1">
      <c r="A37" s="137"/>
      <c r="B37" s="139"/>
      <c r="C37" s="123" t="s">
        <v>42</v>
      </c>
      <c r="D37" s="92"/>
      <c r="E37" s="93"/>
      <c r="F37" s="80">
        <v>16</v>
      </c>
      <c r="G37" s="80"/>
      <c r="H37" s="81">
        <f t="shared" si="6"/>
        <v>16</v>
      </c>
      <c r="I37" s="116"/>
      <c r="J37" s="92"/>
      <c r="K37" s="117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16384" customFormat="1" ht="46.5" customHeight="1">
      <c r="A38" s="137"/>
      <c r="B38" s="139"/>
      <c r="C38" s="123" t="s">
        <v>43</v>
      </c>
      <c r="D38" s="92"/>
      <c r="E38" s="93"/>
      <c r="F38" s="80">
        <v>8</v>
      </c>
      <c r="G38" s="80">
        <v>8</v>
      </c>
      <c r="H38" s="81">
        <f t="shared" si="6"/>
        <v>16</v>
      </c>
      <c r="I38" s="116"/>
      <c r="J38" s="92"/>
      <c r="K38" s="117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HJ38" s="131" t="s">
        <v>44</v>
      </c>
      <c r="HK38" s="133" t="s">
        <v>45</v>
      </c>
      <c r="HL38" s="134"/>
      <c r="HM38" s="135"/>
      <c r="HN38" s="125">
        <v>0</v>
      </c>
      <c r="HO38" s="125">
        <v>40</v>
      </c>
      <c r="HP38" s="127">
        <f>SUM(HO38)</f>
        <v>40</v>
      </c>
      <c r="HQ38" s="129" t="s">
        <v>46</v>
      </c>
      <c r="HR38" s="131" t="s">
        <v>44</v>
      </c>
      <c r="HS38" s="133" t="s">
        <v>45</v>
      </c>
      <c r="HT38" s="134"/>
      <c r="HU38" s="135"/>
      <c r="HV38" s="125">
        <v>0</v>
      </c>
      <c r="HW38" s="125">
        <v>40</v>
      </c>
      <c r="HX38" s="127">
        <f>SUM(HW38)</f>
        <v>40</v>
      </c>
      <c r="HY38" s="129" t="s">
        <v>46</v>
      </c>
      <c r="HZ38" s="131" t="s">
        <v>44</v>
      </c>
      <c r="IA38" s="133" t="s">
        <v>45</v>
      </c>
      <c r="IB38" s="134"/>
      <c r="IC38" s="135"/>
      <c r="ID38" s="125">
        <v>0</v>
      </c>
      <c r="IE38" s="125">
        <v>40</v>
      </c>
      <c r="IF38" s="127">
        <f>SUM(IE38)</f>
        <v>40</v>
      </c>
      <c r="IG38" s="129" t="s">
        <v>46</v>
      </c>
      <c r="IH38" s="131" t="s">
        <v>44</v>
      </c>
      <c r="II38" s="133" t="s">
        <v>45</v>
      </c>
      <c r="IJ38" s="134"/>
      <c r="IK38" s="135"/>
      <c r="IL38" s="125">
        <v>0</v>
      </c>
      <c r="IM38" s="125">
        <v>40</v>
      </c>
      <c r="IN38" s="127">
        <f>SUM(IM38)</f>
        <v>40</v>
      </c>
      <c r="IO38" s="129" t="s">
        <v>46</v>
      </c>
      <c r="IP38" s="131" t="s">
        <v>44</v>
      </c>
      <c r="IQ38" s="133" t="s">
        <v>45</v>
      </c>
      <c r="IR38" s="134"/>
      <c r="IS38" s="135"/>
      <c r="IT38" s="125">
        <v>0</v>
      </c>
      <c r="IU38" s="125">
        <v>40</v>
      </c>
      <c r="IV38" s="127">
        <f>SUM(IU38)</f>
        <v>40</v>
      </c>
      <c r="IW38" s="129" t="s">
        <v>46</v>
      </c>
      <c r="IX38" s="131" t="s">
        <v>44</v>
      </c>
      <c r="IY38" s="133" t="s">
        <v>45</v>
      </c>
      <c r="IZ38" s="134"/>
      <c r="JA38" s="135"/>
      <c r="JB38" s="125">
        <v>0</v>
      </c>
      <c r="JC38" s="125">
        <v>40</v>
      </c>
      <c r="JD38" s="127">
        <f>SUM(JC38)</f>
        <v>40</v>
      </c>
      <c r="JE38" s="129" t="s">
        <v>46</v>
      </c>
      <c r="JF38" s="131" t="s">
        <v>44</v>
      </c>
      <c r="JG38" s="133" t="s">
        <v>45</v>
      </c>
      <c r="JH38" s="134"/>
      <c r="JI38" s="135"/>
      <c r="JJ38" s="125">
        <v>0</v>
      </c>
      <c r="JK38" s="125">
        <v>40</v>
      </c>
      <c r="JL38" s="127">
        <f>SUM(JK38)</f>
        <v>40</v>
      </c>
      <c r="JM38" s="129" t="s">
        <v>46</v>
      </c>
      <c r="JN38" s="131" t="s">
        <v>44</v>
      </c>
      <c r="JO38" s="133" t="s">
        <v>45</v>
      </c>
      <c r="JP38" s="134"/>
      <c r="JQ38" s="135"/>
      <c r="JR38" s="125">
        <v>0</v>
      </c>
      <c r="JS38" s="125">
        <v>40</v>
      </c>
      <c r="JT38" s="127">
        <f>SUM(JS38)</f>
        <v>40</v>
      </c>
      <c r="JU38" s="129" t="s">
        <v>46</v>
      </c>
      <c r="JV38" s="131" t="s">
        <v>44</v>
      </c>
      <c r="JW38" s="133" t="s">
        <v>45</v>
      </c>
      <c r="JX38" s="134"/>
      <c r="JY38" s="135"/>
      <c r="JZ38" s="125">
        <v>0</v>
      </c>
      <c r="KA38" s="125">
        <v>40</v>
      </c>
      <c r="KB38" s="127">
        <f>SUM(KA38)</f>
        <v>40</v>
      </c>
      <c r="KC38" s="129" t="s">
        <v>46</v>
      </c>
      <c r="KD38" s="131" t="s">
        <v>44</v>
      </c>
      <c r="KE38" s="133" t="s">
        <v>45</v>
      </c>
      <c r="KF38" s="134"/>
      <c r="KG38" s="135"/>
      <c r="KH38" s="125">
        <v>0</v>
      </c>
      <c r="KI38" s="125">
        <v>40</v>
      </c>
      <c r="KJ38" s="127">
        <f>SUM(KI38)</f>
        <v>40</v>
      </c>
      <c r="KK38" s="129" t="s">
        <v>46</v>
      </c>
      <c r="KL38" s="131" t="s">
        <v>44</v>
      </c>
      <c r="KM38" s="133" t="s">
        <v>45</v>
      </c>
      <c r="KN38" s="134"/>
      <c r="KO38" s="135"/>
      <c r="KP38" s="125">
        <v>0</v>
      </c>
      <c r="KQ38" s="125">
        <v>40</v>
      </c>
      <c r="KR38" s="127">
        <f>SUM(KQ38)</f>
        <v>40</v>
      </c>
      <c r="KS38" s="129" t="s">
        <v>46</v>
      </c>
      <c r="KT38" s="131" t="s">
        <v>44</v>
      </c>
      <c r="KU38" s="133" t="s">
        <v>45</v>
      </c>
      <c r="KV38" s="134"/>
      <c r="KW38" s="135"/>
      <c r="KX38" s="125">
        <v>0</v>
      </c>
      <c r="KY38" s="125">
        <v>40</v>
      </c>
      <c r="KZ38" s="127">
        <f>SUM(KY38)</f>
        <v>40</v>
      </c>
      <c r="LA38" s="129" t="s">
        <v>46</v>
      </c>
      <c r="LB38" s="131" t="s">
        <v>44</v>
      </c>
      <c r="LC38" s="133" t="s">
        <v>45</v>
      </c>
      <c r="LD38" s="134"/>
      <c r="LE38" s="135"/>
      <c r="LF38" s="125">
        <v>0</v>
      </c>
      <c r="LG38" s="125">
        <v>40</v>
      </c>
      <c r="LH38" s="127">
        <f>SUM(LG38)</f>
        <v>40</v>
      </c>
      <c r="LI38" s="129" t="s">
        <v>46</v>
      </c>
      <c r="LJ38" s="131" t="s">
        <v>44</v>
      </c>
      <c r="LK38" s="133" t="s">
        <v>45</v>
      </c>
      <c r="LL38" s="134"/>
      <c r="LM38" s="135"/>
      <c r="LN38" s="125">
        <v>0</v>
      </c>
      <c r="LO38" s="125">
        <v>40</v>
      </c>
      <c r="LP38" s="127">
        <f>SUM(LO38)</f>
        <v>40</v>
      </c>
      <c r="LQ38" s="129" t="s">
        <v>46</v>
      </c>
      <c r="LR38" s="131" t="s">
        <v>44</v>
      </c>
      <c r="LS38" s="133" t="s">
        <v>45</v>
      </c>
      <c r="LT38" s="134"/>
      <c r="LU38" s="135"/>
      <c r="LV38" s="125">
        <v>0</v>
      </c>
      <c r="LW38" s="125">
        <v>40</v>
      </c>
      <c r="LX38" s="127">
        <f>SUM(LW38)</f>
        <v>40</v>
      </c>
      <c r="LY38" s="129" t="s">
        <v>46</v>
      </c>
      <c r="LZ38" s="131" t="s">
        <v>44</v>
      </c>
      <c r="MA38" s="133" t="s">
        <v>45</v>
      </c>
      <c r="MB38" s="134"/>
      <c r="MC38" s="135"/>
      <c r="MD38" s="125">
        <v>0</v>
      </c>
      <c r="ME38" s="125">
        <v>40</v>
      </c>
      <c r="MF38" s="127">
        <f>SUM(ME38)</f>
        <v>40</v>
      </c>
      <c r="MG38" s="129" t="s">
        <v>46</v>
      </c>
      <c r="MH38" s="131" t="s">
        <v>44</v>
      </c>
      <c r="MI38" s="133" t="s">
        <v>45</v>
      </c>
      <c r="MJ38" s="134"/>
      <c r="MK38" s="135"/>
      <c r="ML38" s="125">
        <v>0</v>
      </c>
      <c r="MM38" s="125">
        <v>40</v>
      </c>
      <c r="MN38" s="127">
        <f>SUM(MM38)</f>
        <v>40</v>
      </c>
      <c r="MO38" s="129" t="s">
        <v>46</v>
      </c>
      <c r="MP38" s="131" t="s">
        <v>44</v>
      </c>
      <c r="MQ38" s="133" t="s">
        <v>45</v>
      </c>
      <c r="MR38" s="134"/>
      <c r="MS38" s="135"/>
      <c r="MT38" s="125">
        <v>0</v>
      </c>
      <c r="MU38" s="125">
        <v>40</v>
      </c>
      <c r="MV38" s="127">
        <f>SUM(MU38)</f>
        <v>40</v>
      </c>
      <c r="MW38" s="129" t="s">
        <v>46</v>
      </c>
      <c r="MX38" s="131" t="s">
        <v>44</v>
      </c>
      <c r="MY38" s="133" t="s">
        <v>45</v>
      </c>
      <c r="MZ38" s="134"/>
      <c r="NA38" s="135"/>
      <c r="NB38" s="125">
        <v>0</v>
      </c>
      <c r="NC38" s="125">
        <v>40</v>
      </c>
      <c r="ND38" s="127">
        <f>SUM(NC38)</f>
        <v>40</v>
      </c>
      <c r="NE38" s="129" t="s">
        <v>46</v>
      </c>
      <c r="NF38" s="131" t="s">
        <v>44</v>
      </c>
      <c r="NG38" s="133" t="s">
        <v>45</v>
      </c>
      <c r="NH38" s="134"/>
      <c r="NI38" s="135"/>
      <c r="NJ38" s="125">
        <v>0</v>
      </c>
      <c r="NK38" s="125">
        <v>40</v>
      </c>
      <c r="NL38" s="127">
        <f>SUM(NK38)</f>
        <v>40</v>
      </c>
      <c r="NM38" s="129" t="s">
        <v>46</v>
      </c>
      <c r="NN38" s="131" t="s">
        <v>44</v>
      </c>
      <c r="NO38" s="133" t="s">
        <v>45</v>
      </c>
      <c r="NP38" s="134"/>
      <c r="NQ38" s="135"/>
      <c r="NR38" s="125">
        <v>0</v>
      </c>
      <c r="NS38" s="125">
        <v>40</v>
      </c>
      <c r="NT38" s="127">
        <f>SUM(NS38)</f>
        <v>40</v>
      </c>
      <c r="NU38" s="129" t="s">
        <v>46</v>
      </c>
      <c r="NV38" s="131" t="s">
        <v>44</v>
      </c>
      <c r="NW38" s="133" t="s">
        <v>45</v>
      </c>
      <c r="NX38" s="134"/>
      <c r="NY38" s="135"/>
      <c r="NZ38" s="125">
        <v>0</v>
      </c>
      <c r="OA38" s="125">
        <v>40</v>
      </c>
      <c r="OB38" s="127">
        <f>SUM(OA38)</f>
        <v>40</v>
      </c>
      <c r="OC38" s="129" t="s">
        <v>46</v>
      </c>
      <c r="OD38" s="131" t="s">
        <v>44</v>
      </c>
      <c r="OE38" s="133" t="s">
        <v>45</v>
      </c>
      <c r="OF38" s="134"/>
      <c r="OG38" s="135"/>
      <c r="OH38" s="125">
        <v>0</v>
      </c>
      <c r="OI38" s="125">
        <v>40</v>
      </c>
      <c r="OJ38" s="127">
        <f>SUM(OI38)</f>
        <v>40</v>
      </c>
      <c r="OK38" s="129" t="s">
        <v>46</v>
      </c>
      <c r="OL38" s="131" t="s">
        <v>44</v>
      </c>
      <c r="OM38" s="133" t="s">
        <v>45</v>
      </c>
      <c r="ON38" s="134"/>
      <c r="OO38" s="135"/>
      <c r="OP38" s="125">
        <v>0</v>
      </c>
      <c r="OQ38" s="125">
        <v>40</v>
      </c>
      <c r="OR38" s="127">
        <f>SUM(OQ38)</f>
        <v>40</v>
      </c>
      <c r="OS38" s="129" t="s">
        <v>46</v>
      </c>
      <c r="OT38" s="131" t="s">
        <v>44</v>
      </c>
      <c r="OU38" s="133" t="s">
        <v>45</v>
      </c>
      <c r="OV38" s="134"/>
      <c r="OW38" s="135"/>
      <c r="OX38" s="125">
        <v>0</v>
      </c>
      <c r="OY38" s="125">
        <v>40</v>
      </c>
      <c r="OZ38" s="127">
        <f>SUM(OY38)</f>
        <v>40</v>
      </c>
      <c r="PA38" s="129" t="s">
        <v>46</v>
      </c>
      <c r="PB38" s="131" t="s">
        <v>44</v>
      </c>
      <c r="PC38" s="133" t="s">
        <v>45</v>
      </c>
      <c r="PD38" s="134"/>
      <c r="PE38" s="135"/>
      <c r="PF38" s="125">
        <v>0</v>
      </c>
      <c r="PG38" s="125">
        <v>40</v>
      </c>
      <c r="PH38" s="127">
        <f>SUM(PG38)</f>
        <v>40</v>
      </c>
      <c r="PI38" s="129" t="s">
        <v>46</v>
      </c>
      <c r="PJ38" s="131" t="s">
        <v>44</v>
      </c>
      <c r="PK38" s="133" t="s">
        <v>45</v>
      </c>
      <c r="PL38" s="134"/>
      <c r="PM38" s="135"/>
      <c r="PN38" s="125">
        <v>0</v>
      </c>
      <c r="PO38" s="125">
        <v>40</v>
      </c>
      <c r="PP38" s="127">
        <f>SUM(PO38)</f>
        <v>40</v>
      </c>
      <c r="PQ38" s="129" t="s">
        <v>46</v>
      </c>
      <c r="PR38" s="131" t="s">
        <v>44</v>
      </c>
      <c r="PS38" s="133" t="s">
        <v>45</v>
      </c>
      <c r="PT38" s="134"/>
      <c r="PU38" s="135"/>
      <c r="PV38" s="125">
        <v>0</v>
      </c>
      <c r="PW38" s="125">
        <v>40</v>
      </c>
      <c r="PX38" s="127">
        <f>SUM(PW38)</f>
        <v>40</v>
      </c>
      <c r="PY38" s="129" t="s">
        <v>46</v>
      </c>
      <c r="PZ38" s="131" t="s">
        <v>44</v>
      </c>
      <c r="QA38" s="133" t="s">
        <v>45</v>
      </c>
      <c r="QB38" s="134"/>
      <c r="QC38" s="135"/>
      <c r="QD38" s="125">
        <v>0</v>
      </c>
      <c r="QE38" s="125">
        <v>40</v>
      </c>
      <c r="QF38" s="127">
        <f>SUM(QE38)</f>
        <v>40</v>
      </c>
      <c r="QG38" s="129" t="s">
        <v>46</v>
      </c>
      <c r="QH38" s="131" t="s">
        <v>44</v>
      </c>
      <c r="QI38" s="133" t="s">
        <v>45</v>
      </c>
      <c r="QJ38" s="134"/>
      <c r="QK38" s="135"/>
      <c r="QL38" s="125">
        <v>0</v>
      </c>
      <c r="QM38" s="125">
        <v>40</v>
      </c>
      <c r="QN38" s="127">
        <f>SUM(QM38)</f>
        <v>40</v>
      </c>
      <c r="QO38" s="129" t="s">
        <v>46</v>
      </c>
      <c r="QP38" s="131" t="s">
        <v>44</v>
      </c>
      <c r="QQ38" s="133" t="s">
        <v>45</v>
      </c>
      <c r="QR38" s="134"/>
      <c r="QS38" s="135"/>
      <c r="QT38" s="125">
        <v>0</v>
      </c>
      <c r="QU38" s="125">
        <v>40</v>
      </c>
      <c r="QV38" s="127">
        <f>SUM(QU38)</f>
        <v>40</v>
      </c>
      <c r="QW38" s="129" t="s">
        <v>46</v>
      </c>
      <c r="QX38" s="131" t="s">
        <v>44</v>
      </c>
      <c r="QY38" s="133" t="s">
        <v>45</v>
      </c>
      <c r="QZ38" s="134"/>
      <c r="RA38" s="135"/>
      <c r="RB38" s="125">
        <v>0</v>
      </c>
      <c r="RC38" s="125">
        <v>40</v>
      </c>
      <c r="RD38" s="127">
        <f>SUM(RC38)</f>
        <v>40</v>
      </c>
      <c r="RE38" s="129" t="s">
        <v>46</v>
      </c>
      <c r="RF38" s="131" t="s">
        <v>44</v>
      </c>
      <c r="RG38" s="133" t="s">
        <v>45</v>
      </c>
      <c r="RH38" s="134"/>
      <c r="RI38" s="135"/>
      <c r="RJ38" s="125">
        <v>0</v>
      </c>
      <c r="RK38" s="125">
        <v>40</v>
      </c>
      <c r="RL38" s="127">
        <f>SUM(RK38)</f>
        <v>40</v>
      </c>
      <c r="RM38" s="129" t="s">
        <v>46</v>
      </c>
      <c r="RN38" s="131" t="s">
        <v>44</v>
      </c>
      <c r="RO38" s="133" t="s">
        <v>45</v>
      </c>
      <c r="RP38" s="134"/>
      <c r="RQ38" s="135"/>
      <c r="RR38" s="125">
        <v>0</v>
      </c>
      <c r="RS38" s="125">
        <v>40</v>
      </c>
      <c r="RT38" s="127">
        <f>SUM(RS38)</f>
        <v>40</v>
      </c>
      <c r="RU38" s="129" t="s">
        <v>46</v>
      </c>
      <c r="RV38" s="131" t="s">
        <v>44</v>
      </c>
      <c r="RW38" s="133" t="s">
        <v>45</v>
      </c>
      <c r="RX38" s="134"/>
      <c r="RY38" s="135"/>
      <c r="RZ38" s="125">
        <v>0</v>
      </c>
      <c r="SA38" s="125">
        <v>40</v>
      </c>
      <c r="SB38" s="127">
        <f>SUM(SA38)</f>
        <v>40</v>
      </c>
      <c r="SC38" s="129" t="s">
        <v>46</v>
      </c>
      <c r="SD38" s="131" t="s">
        <v>44</v>
      </c>
      <c r="SE38" s="133" t="s">
        <v>45</v>
      </c>
      <c r="SF38" s="134"/>
      <c r="SG38" s="135"/>
      <c r="SH38" s="125">
        <v>0</v>
      </c>
      <c r="SI38" s="125">
        <v>40</v>
      </c>
      <c r="SJ38" s="127">
        <f>SUM(SI38)</f>
        <v>40</v>
      </c>
      <c r="SK38" s="129" t="s">
        <v>46</v>
      </c>
      <c r="SL38" s="131" t="s">
        <v>44</v>
      </c>
      <c r="SM38" s="133" t="s">
        <v>45</v>
      </c>
      <c r="SN38" s="134"/>
      <c r="SO38" s="135"/>
      <c r="SP38" s="125">
        <v>0</v>
      </c>
      <c r="SQ38" s="125">
        <v>40</v>
      </c>
      <c r="SR38" s="127">
        <f>SUM(SQ38)</f>
        <v>40</v>
      </c>
      <c r="SS38" s="129" t="s">
        <v>46</v>
      </c>
      <c r="ST38" s="131" t="s">
        <v>44</v>
      </c>
      <c r="SU38" s="133" t="s">
        <v>45</v>
      </c>
      <c r="SV38" s="134"/>
      <c r="SW38" s="135"/>
      <c r="SX38" s="125">
        <v>0</v>
      </c>
      <c r="SY38" s="125">
        <v>40</v>
      </c>
      <c r="SZ38" s="127">
        <f>SUM(SY38)</f>
        <v>40</v>
      </c>
      <c r="TA38" s="129" t="s">
        <v>46</v>
      </c>
      <c r="TB38" s="131" t="s">
        <v>44</v>
      </c>
      <c r="TC38" s="133" t="s">
        <v>45</v>
      </c>
      <c r="TD38" s="134"/>
      <c r="TE38" s="135"/>
      <c r="TF38" s="125">
        <v>0</v>
      </c>
      <c r="TG38" s="125">
        <v>40</v>
      </c>
      <c r="TH38" s="127">
        <f>SUM(TG38)</f>
        <v>40</v>
      </c>
      <c r="TI38" s="129" t="s">
        <v>46</v>
      </c>
      <c r="TJ38" s="131" t="s">
        <v>44</v>
      </c>
      <c r="TK38" s="133" t="s">
        <v>45</v>
      </c>
      <c r="TL38" s="134"/>
      <c r="TM38" s="135"/>
      <c r="TN38" s="125">
        <v>0</v>
      </c>
      <c r="TO38" s="125">
        <v>40</v>
      </c>
      <c r="TP38" s="127">
        <f>SUM(TO38)</f>
        <v>40</v>
      </c>
      <c r="TQ38" s="129" t="s">
        <v>46</v>
      </c>
      <c r="TR38" s="131" t="s">
        <v>44</v>
      </c>
      <c r="TS38" s="133" t="s">
        <v>45</v>
      </c>
      <c r="TT38" s="134"/>
      <c r="TU38" s="135"/>
      <c r="TV38" s="125">
        <v>0</v>
      </c>
      <c r="TW38" s="125">
        <v>40</v>
      </c>
      <c r="TX38" s="127">
        <f>SUM(TW38)</f>
        <v>40</v>
      </c>
      <c r="TY38" s="129" t="s">
        <v>46</v>
      </c>
      <c r="TZ38" s="131" t="s">
        <v>44</v>
      </c>
      <c r="UA38" s="133" t="s">
        <v>45</v>
      </c>
      <c r="UB38" s="134"/>
      <c r="UC38" s="135"/>
      <c r="UD38" s="125">
        <v>0</v>
      </c>
      <c r="UE38" s="125">
        <v>40</v>
      </c>
      <c r="UF38" s="127">
        <f>SUM(UE38)</f>
        <v>40</v>
      </c>
      <c r="UG38" s="129" t="s">
        <v>46</v>
      </c>
      <c r="UH38" s="131" t="s">
        <v>44</v>
      </c>
      <c r="UI38" s="133" t="s">
        <v>45</v>
      </c>
      <c r="UJ38" s="134"/>
      <c r="UK38" s="135"/>
      <c r="UL38" s="125">
        <v>0</v>
      </c>
      <c r="UM38" s="125">
        <v>40</v>
      </c>
      <c r="UN38" s="127">
        <f>SUM(UM38)</f>
        <v>40</v>
      </c>
      <c r="UO38" s="129" t="s">
        <v>46</v>
      </c>
      <c r="UP38" s="131" t="s">
        <v>44</v>
      </c>
      <c r="UQ38" s="133" t="s">
        <v>45</v>
      </c>
      <c r="UR38" s="134"/>
      <c r="US38" s="135"/>
      <c r="UT38" s="125">
        <v>0</v>
      </c>
      <c r="UU38" s="125">
        <v>40</v>
      </c>
      <c r="UV38" s="127">
        <f>SUM(UU38)</f>
        <v>40</v>
      </c>
      <c r="UW38" s="129" t="s">
        <v>46</v>
      </c>
      <c r="UX38" s="131" t="s">
        <v>44</v>
      </c>
      <c r="UY38" s="133" t="s">
        <v>45</v>
      </c>
      <c r="UZ38" s="134"/>
      <c r="VA38" s="135"/>
      <c r="VB38" s="125">
        <v>0</v>
      </c>
      <c r="VC38" s="125">
        <v>40</v>
      </c>
      <c r="VD38" s="127">
        <f>SUM(VC38)</f>
        <v>40</v>
      </c>
      <c r="VE38" s="129" t="s">
        <v>46</v>
      </c>
      <c r="VF38" s="131" t="s">
        <v>44</v>
      </c>
      <c r="VG38" s="133" t="s">
        <v>45</v>
      </c>
      <c r="VH38" s="134"/>
      <c r="VI38" s="135"/>
      <c r="VJ38" s="125">
        <v>0</v>
      </c>
      <c r="VK38" s="125">
        <v>40</v>
      </c>
      <c r="VL38" s="127">
        <f>SUM(VK38)</f>
        <v>40</v>
      </c>
      <c r="VM38" s="129" t="s">
        <v>46</v>
      </c>
      <c r="VN38" s="131" t="s">
        <v>44</v>
      </c>
      <c r="VO38" s="133" t="s">
        <v>45</v>
      </c>
      <c r="VP38" s="134"/>
      <c r="VQ38" s="135"/>
      <c r="VR38" s="125">
        <v>0</v>
      </c>
      <c r="VS38" s="125">
        <v>40</v>
      </c>
      <c r="VT38" s="127">
        <f>SUM(VS38)</f>
        <v>40</v>
      </c>
      <c r="VU38" s="129" t="s">
        <v>46</v>
      </c>
      <c r="VV38" s="131" t="s">
        <v>44</v>
      </c>
      <c r="VW38" s="133" t="s">
        <v>45</v>
      </c>
      <c r="VX38" s="134"/>
      <c r="VY38" s="135"/>
      <c r="VZ38" s="125">
        <v>0</v>
      </c>
      <c r="WA38" s="125">
        <v>40</v>
      </c>
      <c r="WB38" s="127">
        <f>SUM(WA38)</f>
        <v>40</v>
      </c>
      <c r="WC38" s="129" t="s">
        <v>46</v>
      </c>
      <c r="WD38" s="131" t="s">
        <v>44</v>
      </c>
      <c r="WE38" s="133" t="s">
        <v>45</v>
      </c>
      <c r="WF38" s="134"/>
      <c r="WG38" s="135"/>
      <c r="WH38" s="125">
        <v>0</v>
      </c>
      <c r="WI38" s="125">
        <v>40</v>
      </c>
      <c r="WJ38" s="127">
        <f>SUM(WI38)</f>
        <v>40</v>
      </c>
      <c r="WK38" s="129" t="s">
        <v>46</v>
      </c>
      <c r="WL38" s="131" t="s">
        <v>44</v>
      </c>
      <c r="WM38" s="133" t="s">
        <v>45</v>
      </c>
      <c r="WN38" s="134"/>
      <c r="WO38" s="135"/>
      <c r="WP38" s="125">
        <v>0</v>
      </c>
      <c r="WQ38" s="125">
        <v>40</v>
      </c>
      <c r="WR38" s="127">
        <f>SUM(WQ38)</f>
        <v>40</v>
      </c>
      <c r="WS38" s="129" t="s">
        <v>46</v>
      </c>
      <c r="WT38" s="131" t="s">
        <v>44</v>
      </c>
      <c r="WU38" s="133" t="s">
        <v>45</v>
      </c>
      <c r="WV38" s="134"/>
      <c r="WW38" s="135"/>
      <c r="WX38" s="125">
        <v>0</v>
      </c>
      <c r="WY38" s="125">
        <v>40</v>
      </c>
      <c r="WZ38" s="127">
        <f>SUM(WY38)</f>
        <v>40</v>
      </c>
      <c r="XA38" s="129" t="s">
        <v>46</v>
      </c>
      <c r="XB38" s="131" t="s">
        <v>44</v>
      </c>
      <c r="XC38" s="133" t="s">
        <v>45</v>
      </c>
      <c r="XD38" s="134"/>
      <c r="XE38" s="135"/>
      <c r="XF38" s="125">
        <v>0</v>
      </c>
      <c r="XG38" s="125">
        <v>40</v>
      </c>
      <c r="XH38" s="127">
        <f>SUM(XG38)</f>
        <v>40</v>
      </c>
      <c r="XI38" s="129" t="s">
        <v>46</v>
      </c>
      <c r="XJ38" s="131" t="s">
        <v>44</v>
      </c>
      <c r="XK38" s="133" t="s">
        <v>45</v>
      </c>
      <c r="XL38" s="134"/>
      <c r="XM38" s="135"/>
      <c r="XN38" s="125">
        <v>0</v>
      </c>
      <c r="XO38" s="125">
        <v>40</v>
      </c>
      <c r="XP38" s="127">
        <f>SUM(XO38)</f>
        <v>40</v>
      </c>
      <c r="XQ38" s="129" t="s">
        <v>46</v>
      </c>
      <c r="XR38" s="131" t="s">
        <v>44</v>
      </c>
      <c r="XS38" s="133" t="s">
        <v>45</v>
      </c>
      <c r="XT38" s="134"/>
      <c r="XU38" s="135"/>
      <c r="XV38" s="125">
        <v>0</v>
      </c>
      <c r="XW38" s="125">
        <v>40</v>
      </c>
      <c r="XX38" s="127">
        <f>SUM(XW38)</f>
        <v>40</v>
      </c>
      <c r="XY38" s="129" t="s">
        <v>46</v>
      </c>
      <c r="XZ38" s="131" t="s">
        <v>44</v>
      </c>
      <c r="YA38" s="133" t="s">
        <v>45</v>
      </c>
      <c r="YB38" s="134"/>
      <c r="YC38" s="135"/>
      <c r="YD38" s="125">
        <v>0</v>
      </c>
      <c r="YE38" s="125">
        <v>40</v>
      </c>
      <c r="YF38" s="127">
        <f>SUM(YE38)</f>
        <v>40</v>
      </c>
      <c r="YG38" s="129" t="s">
        <v>46</v>
      </c>
      <c r="YH38" s="131" t="s">
        <v>44</v>
      </c>
      <c r="YI38" s="133" t="s">
        <v>45</v>
      </c>
      <c r="YJ38" s="134"/>
      <c r="YK38" s="135"/>
      <c r="YL38" s="125">
        <v>0</v>
      </c>
      <c r="YM38" s="125">
        <v>40</v>
      </c>
      <c r="YN38" s="127">
        <f>SUM(YM38)</f>
        <v>40</v>
      </c>
      <c r="YO38" s="129" t="s">
        <v>46</v>
      </c>
      <c r="YP38" s="131" t="s">
        <v>44</v>
      </c>
      <c r="YQ38" s="133" t="s">
        <v>45</v>
      </c>
      <c r="YR38" s="134"/>
      <c r="YS38" s="135"/>
      <c r="YT38" s="125">
        <v>0</v>
      </c>
      <c r="YU38" s="125">
        <v>40</v>
      </c>
      <c r="YV38" s="127">
        <f>SUM(YU38)</f>
        <v>40</v>
      </c>
      <c r="YW38" s="129" t="s">
        <v>46</v>
      </c>
      <c r="YX38" s="131" t="s">
        <v>44</v>
      </c>
      <c r="YY38" s="133" t="s">
        <v>45</v>
      </c>
      <c r="YZ38" s="134"/>
      <c r="ZA38" s="135"/>
      <c r="ZB38" s="125">
        <v>0</v>
      </c>
      <c r="ZC38" s="125">
        <v>40</v>
      </c>
      <c r="ZD38" s="127">
        <f>SUM(ZC38)</f>
        <v>40</v>
      </c>
      <c r="ZE38" s="129" t="s">
        <v>46</v>
      </c>
      <c r="ZF38" s="131" t="s">
        <v>44</v>
      </c>
      <c r="ZG38" s="133" t="s">
        <v>45</v>
      </c>
      <c r="ZH38" s="134"/>
      <c r="ZI38" s="135"/>
      <c r="ZJ38" s="125">
        <v>0</v>
      </c>
      <c r="ZK38" s="125">
        <v>40</v>
      </c>
      <c r="ZL38" s="127">
        <f>SUM(ZK38)</f>
        <v>40</v>
      </c>
      <c r="ZM38" s="129" t="s">
        <v>46</v>
      </c>
      <c r="ZN38" s="131" t="s">
        <v>44</v>
      </c>
      <c r="ZO38" s="133" t="s">
        <v>45</v>
      </c>
      <c r="ZP38" s="134"/>
      <c r="ZQ38" s="135"/>
      <c r="ZR38" s="125">
        <v>0</v>
      </c>
      <c r="ZS38" s="125">
        <v>40</v>
      </c>
      <c r="ZT38" s="127">
        <f>SUM(ZS38)</f>
        <v>40</v>
      </c>
      <c r="ZU38" s="129" t="s">
        <v>46</v>
      </c>
      <c r="ZV38" s="131" t="s">
        <v>44</v>
      </c>
      <c r="ZW38" s="133" t="s">
        <v>45</v>
      </c>
      <c r="ZX38" s="134"/>
      <c r="ZY38" s="135"/>
      <c r="ZZ38" s="125">
        <v>0</v>
      </c>
      <c r="AAA38" s="125">
        <v>40</v>
      </c>
      <c r="AAB38" s="127">
        <f>SUM(AAA38)</f>
        <v>40</v>
      </c>
      <c r="AAC38" s="129" t="s">
        <v>46</v>
      </c>
      <c r="AAD38" s="131" t="s">
        <v>44</v>
      </c>
      <c r="AAE38" s="133" t="s">
        <v>45</v>
      </c>
      <c r="AAF38" s="134"/>
      <c r="AAG38" s="135"/>
      <c r="AAH38" s="125">
        <v>0</v>
      </c>
      <c r="AAI38" s="125">
        <v>40</v>
      </c>
      <c r="AAJ38" s="127">
        <f>SUM(AAI38)</f>
        <v>40</v>
      </c>
      <c r="AAK38" s="129" t="s">
        <v>46</v>
      </c>
      <c r="AAL38" s="131" t="s">
        <v>44</v>
      </c>
      <c r="AAM38" s="133" t="s">
        <v>45</v>
      </c>
      <c r="AAN38" s="134"/>
      <c r="AAO38" s="135"/>
      <c r="AAP38" s="125">
        <v>0</v>
      </c>
      <c r="AAQ38" s="125">
        <v>40</v>
      </c>
      <c r="AAR38" s="127">
        <f>SUM(AAQ38)</f>
        <v>40</v>
      </c>
      <c r="AAS38" s="129" t="s">
        <v>46</v>
      </c>
      <c r="AAT38" s="131" t="s">
        <v>44</v>
      </c>
      <c r="AAU38" s="133" t="s">
        <v>45</v>
      </c>
      <c r="AAV38" s="134"/>
      <c r="AAW38" s="135"/>
      <c r="AAX38" s="125">
        <v>0</v>
      </c>
      <c r="AAY38" s="125">
        <v>40</v>
      </c>
      <c r="AAZ38" s="127">
        <f>SUM(AAY38)</f>
        <v>40</v>
      </c>
      <c r="ABA38" s="129" t="s">
        <v>46</v>
      </c>
      <c r="ABB38" s="131" t="s">
        <v>44</v>
      </c>
      <c r="ABC38" s="133" t="s">
        <v>45</v>
      </c>
      <c r="ABD38" s="134"/>
      <c r="ABE38" s="135"/>
      <c r="ABF38" s="125">
        <v>0</v>
      </c>
      <c r="ABG38" s="125">
        <v>40</v>
      </c>
      <c r="ABH38" s="127">
        <f>SUM(ABG38)</f>
        <v>40</v>
      </c>
      <c r="ABI38" s="129" t="s">
        <v>46</v>
      </c>
      <c r="ABJ38" s="131" t="s">
        <v>44</v>
      </c>
      <c r="ABK38" s="133" t="s">
        <v>45</v>
      </c>
      <c r="ABL38" s="134"/>
      <c r="ABM38" s="135"/>
      <c r="ABN38" s="125">
        <v>0</v>
      </c>
      <c r="ABO38" s="125">
        <v>40</v>
      </c>
      <c r="ABP38" s="127">
        <f>SUM(ABO38)</f>
        <v>40</v>
      </c>
      <c r="ABQ38" s="129" t="s">
        <v>46</v>
      </c>
      <c r="ABR38" s="131" t="s">
        <v>44</v>
      </c>
      <c r="ABS38" s="133" t="s">
        <v>45</v>
      </c>
      <c r="ABT38" s="134"/>
      <c r="ABU38" s="135"/>
      <c r="ABV38" s="125">
        <v>0</v>
      </c>
      <c r="ABW38" s="125">
        <v>40</v>
      </c>
      <c r="ABX38" s="127">
        <f>SUM(ABW38)</f>
        <v>40</v>
      </c>
      <c r="ABY38" s="129" t="s">
        <v>46</v>
      </c>
      <c r="ABZ38" s="131" t="s">
        <v>44</v>
      </c>
      <c r="ACA38" s="133" t="s">
        <v>45</v>
      </c>
      <c r="ACB38" s="134"/>
      <c r="ACC38" s="135"/>
      <c r="ACD38" s="125">
        <v>0</v>
      </c>
      <c r="ACE38" s="125">
        <v>40</v>
      </c>
      <c r="ACF38" s="127">
        <f>SUM(ACE38)</f>
        <v>40</v>
      </c>
      <c r="ACG38" s="129" t="s">
        <v>46</v>
      </c>
      <c r="ACH38" s="131" t="s">
        <v>44</v>
      </c>
      <c r="ACI38" s="133" t="s">
        <v>45</v>
      </c>
      <c r="ACJ38" s="134"/>
      <c r="ACK38" s="135"/>
      <c r="ACL38" s="125">
        <v>0</v>
      </c>
      <c r="ACM38" s="125">
        <v>40</v>
      </c>
      <c r="ACN38" s="127">
        <f>SUM(ACM38)</f>
        <v>40</v>
      </c>
      <c r="ACO38" s="129" t="s">
        <v>46</v>
      </c>
      <c r="ACP38" s="131" t="s">
        <v>44</v>
      </c>
      <c r="ACQ38" s="133" t="s">
        <v>45</v>
      </c>
      <c r="ACR38" s="134"/>
      <c r="ACS38" s="135"/>
      <c r="ACT38" s="125">
        <v>0</v>
      </c>
      <c r="ACU38" s="125">
        <v>40</v>
      </c>
      <c r="ACV38" s="127">
        <f>SUM(ACU38)</f>
        <v>40</v>
      </c>
      <c r="ACW38" s="129" t="s">
        <v>46</v>
      </c>
      <c r="ACX38" s="131" t="s">
        <v>44</v>
      </c>
      <c r="ACY38" s="133" t="s">
        <v>45</v>
      </c>
      <c r="ACZ38" s="134"/>
      <c r="ADA38" s="135"/>
      <c r="ADB38" s="125">
        <v>0</v>
      </c>
      <c r="ADC38" s="125">
        <v>40</v>
      </c>
      <c r="ADD38" s="127">
        <f>SUM(ADC38)</f>
        <v>40</v>
      </c>
      <c r="ADE38" s="129" t="s">
        <v>46</v>
      </c>
      <c r="ADF38" s="131" t="s">
        <v>44</v>
      </c>
      <c r="ADG38" s="133" t="s">
        <v>45</v>
      </c>
      <c r="ADH38" s="134"/>
      <c r="ADI38" s="135"/>
      <c r="ADJ38" s="125">
        <v>0</v>
      </c>
      <c r="ADK38" s="125">
        <v>40</v>
      </c>
      <c r="ADL38" s="127">
        <f>SUM(ADK38)</f>
        <v>40</v>
      </c>
      <c r="ADM38" s="129" t="s">
        <v>46</v>
      </c>
      <c r="ADN38" s="131" t="s">
        <v>44</v>
      </c>
      <c r="ADO38" s="133" t="s">
        <v>45</v>
      </c>
      <c r="ADP38" s="134"/>
      <c r="ADQ38" s="135"/>
      <c r="ADR38" s="125">
        <v>0</v>
      </c>
      <c r="ADS38" s="125">
        <v>40</v>
      </c>
      <c r="ADT38" s="127">
        <f>SUM(ADS38)</f>
        <v>40</v>
      </c>
      <c r="ADU38" s="129" t="s">
        <v>46</v>
      </c>
      <c r="ADV38" s="131" t="s">
        <v>44</v>
      </c>
      <c r="ADW38" s="133" t="s">
        <v>45</v>
      </c>
      <c r="ADX38" s="134"/>
      <c r="ADY38" s="135"/>
      <c r="ADZ38" s="125">
        <v>0</v>
      </c>
      <c r="AEA38" s="125">
        <v>40</v>
      </c>
      <c r="AEB38" s="127">
        <f>SUM(AEA38)</f>
        <v>40</v>
      </c>
      <c r="AEC38" s="129" t="s">
        <v>46</v>
      </c>
      <c r="AED38" s="131" t="s">
        <v>44</v>
      </c>
      <c r="AEE38" s="133" t="s">
        <v>45</v>
      </c>
      <c r="AEF38" s="134"/>
      <c r="AEG38" s="135"/>
      <c r="AEH38" s="125">
        <v>0</v>
      </c>
      <c r="AEI38" s="125">
        <v>40</v>
      </c>
      <c r="AEJ38" s="127">
        <f>SUM(AEI38)</f>
        <v>40</v>
      </c>
      <c r="AEK38" s="129" t="s">
        <v>46</v>
      </c>
      <c r="AEL38" s="131" t="s">
        <v>44</v>
      </c>
      <c r="AEM38" s="133" t="s">
        <v>45</v>
      </c>
      <c r="AEN38" s="134"/>
      <c r="AEO38" s="135"/>
      <c r="AEP38" s="125">
        <v>0</v>
      </c>
      <c r="AEQ38" s="125">
        <v>40</v>
      </c>
      <c r="AER38" s="127">
        <f>SUM(AEQ38)</f>
        <v>40</v>
      </c>
      <c r="AES38" s="129" t="s">
        <v>46</v>
      </c>
      <c r="AET38" s="131" t="s">
        <v>44</v>
      </c>
      <c r="AEU38" s="133" t="s">
        <v>45</v>
      </c>
      <c r="AEV38" s="134"/>
      <c r="AEW38" s="135"/>
      <c r="AEX38" s="125">
        <v>0</v>
      </c>
      <c r="AEY38" s="125">
        <v>40</v>
      </c>
      <c r="AEZ38" s="127">
        <f>SUM(AEY38)</f>
        <v>40</v>
      </c>
      <c r="AFA38" s="129" t="s">
        <v>46</v>
      </c>
      <c r="AFB38" s="131" t="s">
        <v>44</v>
      </c>
      <c r="AFC38" s="133" t="s">
        <v>45</v>
      </c>
      <c r="AFD38" s="134"/>
      <c r="AFE38" s="135"/>
      <c r="AFF38" s="125">
        <v>0</v>
      </c>
      <c r="AFG38" s="125">
        <v>40</v>
      </c>
      <c r="AFH38" s="127">
        <f>SUM(AFG38)</f>
        <v>40</v>
      </c>
      <c r="AFI38" s="129" t="s">
        <v>46</v>
      </c>
      <c r="AFJ38" s="131" t="s">
        <v>44</v>
      </c>
      <c r="AFK38" s="133" t="s">
        <v>45</v>
      </c>
      <c r="AFL38" s="134"/>
      <c r="AFM38" s="135"/>
      <c r="AFN38" s="125">
        <v>0</v>
      </c>
      <c r="AFO38" s="125">
        <v>40</v>
      </c>
      <c r="AFP38" s="127">
        <f>SUM(AFO38)</f>
        <v>40</v>
      </c>
      <c r="AFQ38" s="129" t="s">
        <v>46</v>
      </c>
      <c r="AFR38" s="131" t="s">
        <v>44</v>
      </c>
      <c r="AFS38" s="133" t="s">
        <v>45</v>
      </c>
      <c r="AFT38" s="134"/>
      <c r="AFU38" s="135"/>
      <c r="AFV38" s="125">
        <v>0</v>
      </c>
      <c r="AFW38" s="125">
        <v>40</v>
      </c>
      <c r="AFX38" s="127">
        <f>SUM(AFW38)</f>
        <v>40</v>
      </c>
      <c r="AFY38" s="129" t="s">
        <v>46</v>
      </c>
      <c r="AFZ38" s="131" t="s">
        <v>44</v>
      </c>
      <c r="AGA38" s="133" t="s">
        <v>45</v>
      </c>
      <c r="AGB38" s="134"/>
      <c r="AGC38" s="135"/>
      <c r="AGD38" s="125">
        <v>0</v>
      </c>
      <c r="AGE38" s="125">
        <v>40</v>
      </c>
      <c r="AGF38" s="127">
        <f>SUM(AGE38)</f>
        <v>40</v>
      </c>
      <c r="AGG38" s="129" t="s">
        <v>46</v>
      </c>
      <c r="AGH38" s="131" t="s">
        <v>44</v>
      </c>
      <c r="AGI38" s="133" t="s">
        <v>45</v>
      </c>
      <c r="AGJ38" s="134"/>
      <c r="AGK38" s="135"/>
      <c r="AGL38" s="125">
        <v>0</v>
      </c>
      <c r="AGM38" s="125">
        <v>40</v>
      </c>
      <c r="AGN38" s="127">
        <f>SUM(AGM38)</f>
        <v>40</v>
      </c>
      <c r="AGO38" s="129" t="s">
        <v>46</v>
      </c>
      <c r="AGP38" s="131" t="s">
        <v>44</v>
      </c>
      <c r="AGQ38" s="133" t="s">
        <v>45</v>
      </c>
      <c r="AGR38" s="134"/>
      <c r="AGS38" s="135"/>
      <c r="AGT38" s="125">
        <v>0</v>
      </c>
      <c r="AGU38" s="125">
        <v>40</v>
      </c>
      <c r="AGV38" s="127">
        <f>SUM(AGU38)</f>
        <v>40</v>
      </c>
      <c r="AGW38" s="129" t="s">
        <v>46</v>
      </c>
      <c r="AGX38" s="131" t="s">
        <v>44</v>
      </c>
      <c r="AGY38" s="133" t="s">
        <v>45</v>
      </c>
      <c r="AGZ38" s="134"/>
      <c r="AHA38" s="135"/>
      <c r="AHB38" s="125">
        <v>0</v>
      </c>
      <c r="AHC38" s="125">
        <v>40</v>
      </c>
      <c r="AHD38" s="127">
        <f>SUM(AHC38)</f>
        <v>40</v>
      </c>
      <c r="AHE38" s="129" t="s">
        <v>46</v>
      </c>
      <c r="AHF38" s="131" t="s">
        <v>44</v>
      </c>
      <c r="AHG38" s="133" t="s">
        <v>45</v>
      </c>
      <c r="AHH38" s="134"/>
      <c r="AHI38" s="135"/>
      <c r="AHJ38" s="125">
        <v>0</v>
      </c>
      <c r="AHK38" s="125">
        <v>40</v>
      </c>
      <c r="AHL38" s="127">
        <f>SUM(AHK38)</f>
        <v>40</v>
      </c>
      <c r="AHM38" s="129" t="s">
        <v>46</v>
      </c>
      <c r="AHN38" s="131" t="s">
        <v>44</v>
      </c>
      <c r="AHO38" s="133" t="s">
        <v>45</v>
      </c>
      <c r="AHP38" s="134"/>
      <c r="AHQ38" s="135"/>
      <c r="AHR38" s="125">
        <v>0</v>
      </c>
      <c r="AHS38" s="125">
        <v>40</v>
      </c>
      <c r="AHT38" s="127">
        <f>SUM(AHS38)</f>
        <v>40</v>
      </c>
      <c r="AHU38" s="129" t="s">
        <v>46</v>
      </c>
      <c r="AHV38" s="131" t="s">
        <v>44</v>
      </c>
      <c r="AHW38" s="133" t="s">
        <v>45</v>
      </c>
      <c r="AHX38" s="134"/>
      <c r="AHY38" s="135"/>
      <c r="AHZ38" s="125">
        <v>0</v>
      </c>
      <c r="AIA38" s="125">
        <v>40</v>
      </c>
      <c r="AIB38" s="127">
        <f>SUM(AIA38)</f>
        <v>40</v>
      </c>
      <c r="AIC38" s="129" t="s">
        <v>46</v>
      </c>
      <c r="AID38" s="131" t="s">
        <v>44</v>
      </c>
      <c r="AIE38" s="133" t="s">
        <v>45</v>
      </c>
      <c r="AIF38" s="134"/>
      <c r="AIG38" s="135"/>
      <c r="AIH38" s="125">
        <v>0</v>
      </c>
      <c r="AII38" s="125">
        <v>40</v>
      </c>
      <c r="AIJ38" s="127">
        <f>SUM(AII38)</f>
        <v>40</v>
      </c>
      <c r="AIK38" s="129" t="s">
        <v>46</v>
      </c>
      <c r="AIL38" s="131" t="s">
        <v>44</v>
      </c>
      <c r="AIM38" s="133" t="s">
        <v>45</v>
      </c>
      <c r="AIN38" s="134"/>
      <c r="AIO38" s="135"/>
      <c r="AIP38" s="125">
        <v>0</v>
      </c>
      <c r="AIQ38" s="125">
        <v>40</v>
      </c>
      <c r="AIR38" s="127">
        <f>SUM(AIQ38)</f>
        <v>40</v>
      </c>
      <c r="AIS38" s="129" t="s">
        <v>46</v>
      </c>
      <c r="AIT38" s="131" t="s">
        <v>44</v>
      </c>
      <c r="AIU38" s="133" t="s">
        <v>45</v>
      </c>
      <c r="AIV38" s="134"/>
      <c r="AIW38" s="135"/>
      <c r="AIX38" s="125">
        <v>0</v>
      </c>
      <c r="AIY38" s="125">
        <v>40</v>
      </c>
      <c r="AIZ38" s="127">
        <f>SUM(AIY38)</f>
        <v>40</v>
      </c>
      <c r="AJA38" s="129" t="s">
        <v>46</v>
      </c>
      <c r="AJB38" s="131" t="s">
        <v>44</v>
      </c>
      <c r="AJC38" s="133" t="s">
        <v>45</v>
      </c>
      <c r="AJD38" s="134"/>
      <c r="AJE38" s="135"/>
      <c r="AJF38" s="125">
        <v>0</v>
      </c>
      <c r="AJG38" s="125">
        <v>40</v>
      </c>
      <c r="AJH38" s="127">
        <f>SUM(AJG38)</f>
        <v>40</v>
      </c>
      <c r="AJI38" s="129" t="s">
        <v>46</v>
      </c>
      <c r="AJJ38" s="131" t="s">
        <v>44</v>
      </c>
      <c r="AJK38" s="133" t="s">
        <v>45</v>
      </c>
      <c r="AJL38" s="134"/>
      <c r="AJM38" s="135"/>
      <c r="AJN38" s="125">
        <v>0</v>
      </c>
      <c r="AJO38" s="125">
        <v>40</v>
      </c>
      <c r="AJP38" s="127">
        <f>SUM(AJO38)</f>
        <v>40</v>
      </c>
      <c r="AJQ38" s="129" t="s">
        <v>46</v>
      </c>
      <c r="AJR38" s="131" t="s">
        <v>44</v>
      </c>
      <c r="AJS38" s="133" t="s">
        <v>45</v>
      </c>
      <c r="AJT38" s="134"/>
      <c r="AJU38" s="135"/>
      <c r="AJV38" s="125">
        <v>0</v>
      </c>
      <c r="AJW38" s="125">
        <v>40</v>
      </c>
      <c r="AJX38" s="127">
        <f>SUM(AJW38)</f>
        <v>40</v>
      </c>
      <c r="AJY38" s="129" t="s">
        <v>46</v>
      </c>
      <c r="AJZ38" s="131" t="s">
        <v>44</v>
      </c>
      <c r="AKA38" s="133" t="s">
        <v>45</v>
      </c>
      <c r="AKB38" s="134"/>
      <c r="AKC38" s="135"/>
      <c r="AKD38" s="125">
        <v>0</v>
      </c>
      <c r="AKE38" s="125">
        <v>40</v>
      </c>
      <c r="AKF38" s="127">
        <f>SUM(AKE38)</f>
        <v>40</v>
      </c>
      <c r="AKG38" s="129" t="s">
        <v>46</v>
      </c>
      <c r="AKH38" s="131" t="s">
        <v>44</v>
      </c>
      <c r="AKI38" s="133" t="s">
        <v>45</v>
      </c>
      <c r="AKJ38" s="134"/>
      <c r="AKK38" s="135"/>
      <c r="AKL38" s="125">
        <v>0</v>
      </c>
      <c r="AKM38" s="125">
        <v>40</v>
      </c>
      <c r="AKN38" s="127">
        <f>SUM(AKM38)</f>
        <v>40</v>
      </c>
      <c r="AKO38" s="129" t="s">
        <v>46</v>
      </c>
      <c r="AKP38" s="131" t="s">
        <v>44</v>
      </c>
      <c r="AKQ38" s="133" t="s">
        <v>45</v>
      </c>
      <c r="AKR38" s="134"/>
      <c r="AKS38" s="135"/>
      <c r="AKT38" s="125">
        <v>0</v>
      </c>
      <c r="AKU38" s="125">
        <v>40</v>
      </c>
      <c r="AKV38" s="127">
        <f>SUM(AKU38)</f>
        <v>40</v>
      </c>
      <c r="AKW38" s="129" t="s">
        <v>46</v>
      </c>
      <c r="AKX38" s="131" t="s">
        <v>44</v>
      </c>
      <c r="AKY38" s="133" t="s">
        <v>45</v>
      </c>
      <c r="AKZ38" s="134"/>
      <c r="ALA38" s="135"/>
      <c r="ALB38" s="125">
        <v>0</v>
      </c>
      <c r="ALC38" s="125">
        <v>40</v>
      </c>
      <c r="ALD38" s="127">
        <f>SUM(ALC38)</f>
        <v>40</v>
      </c>
      <c r="ALE38" s="129" t="s">
        <v>46</v>
      </c>
      <c r="ALF38" s="131" t="s">
        <v>44</v>
      </c>
      <c r="ALG38" s="133" t="s">
        <v>45</v>
      </c>
      <c r="ALH38" s="134"/>
      <c r="ALI38" s="135"/>
      <c r="ALJ38" s="125">
        <v>0</v>
      </c>
      <c r="ALK38" s="125">
        <v>40</v>
      </c>
      <c r="ALL38" s="127">
        <f>SUM(ALK38)</f>
        <v>40</v>
      </c>
      <c r="ALM38" s="129" t="s">
        <v>46</v>
      </c>
      <c r="ALN38" s="131" t="s">
        <v>44</v>
      </c>
      <c r="ALO38" s="133" t="s">
        <v>45</v>
      </c>
      <c r="ALP38" s="134"/>
      <c r="ALQ38" s="135"/>
      <c r="ALR38" s="125">
        <v>0</v>
      </c>
      <c r="ALS38" s="125">
        <v>40</v>
      </c>
      <c r="ALT38" s="127">
        <f>SUM(ALS38)</f>
        <v>40</v>
      </c>
      <c r="ALU38" s="129" t="s">
        <v>46</v>
      </c>
      <c r="ALV38" s="131" t="s">
        <v>44</v>
      </c>
      <c r="ALW38" s="133" t="s">
        <v>45</v>
      </c>
      <c r="ALX38" s="134"/>
      <c r="ALY38" s="135"/>
      <c r="ALZ38" s="125">
        <v>0</v>
      </c>
      <c r="AMA38" s="125">
        <v>40</v>
      </c>
      <c r="AMB38" s="127">
        <f>SUM(AMA38)</f>
        <v>40</v>
      </c>
      <c r="AMC38" s="129" t="s">
        <v>46</v>
      </c>
      <c r="AMD38" s="131" t="s">
        <v>44</v>
      </c>
      <c r="AME38" s="133" t="s">
        <v>45</v>
      </c>
      <c r="AMF38" s="134"/>
      <c r="AMG38" s="135"/>
      <c r="AMH38" s="125">
        <v>0</v>
      </c>
      <c r="AMI38" s="125">
        <v>40</v>
      </c>
      <c r="AMJ38" s="127">
        <f>SUM(AMI38)</f>
        <v>40</v>
      </c>
      <c r="AMK38" s="129" t="s">
        <v>46</v>
      </c>
      <c r="AML38" s="131" t="s">
        <v>44</v>
      </c>
      <c r="AMM38" s="133" t="s">
        <v>45</v>
      </c>
      <c r="AMN38" s="134"/>
      <c r="AMO38" s="135"/>
      <c r="AMP38" s="125">
        <v>0</v>
      </c>
      <c r="AMQ38" s="125">
        <v>40</v>
      </c>
      <c r="AMR38" s="127">
        <f>SUM(AMQ38)</f>
        <v>40</v>
      </c>
      <c r="AMS38" s="129" t="s">
        <v>46</v>
      </c>
      <c r="AMT38" s="131" t="s">
        <v>44</v>
      </c>
      <c r="AMU38" s="133" t="s">
        <v>45</v>
      </c>
      <c r="AMV38" s="134"/>
      <c r="AMW38" s="135"/>
      <c r="AMX38" s="125">
        <v>0</v>
      </c>
      <c r="AMY38" s="125">
        <v>40</v>
      </c>
      <c r="AMZ38" s="127">
        <f>SUM(AMY38)</f>
        <v>40</v>
      </c>
      <c r="ANA38" s="129" t="s">
        <v>46</v>
      </c>
      <c r="ANB38" s="131" t="s">
        <v>44</v>
      </c>
      <c r="ANC38" s="133" t="s">
        <v>45</v>
      </c>
      <c r="AND38" s="134"/>
      <c r="ANE38" s="135"/>
      <c r="ANF38" s="125">
        <v>0</v>
      </c>
      <c r="ANG38" s="125">
        <v>40</v>
      </c>
      <c r="ANH38" s="127">
        <f>SUM(ANG38)</f>
        <v>40</v>
      </c>
      <c r="ANI38" s="129" t="s">
        <v>46</v>
      </c>
      <c r="ANJ38" s="131" t="s">
        <v>44</v>
      </c>
      <c r="ANK38" s="133" t="s">
        <v>45</v>
      </c>
      <c r="ANL38" s="134"/>
      <c r="ANM38" s="135"/>
      <c r="ANN38" s="125">
        <v>0</v>
      </c>
      <c r="ANO38" s="125">
        <v>40</v>
      </c>
      <c r="ANP38" s="127">
        <f>SUM(ANO38)</f>
        <v>40</v>
      </c>
      <c r="ANQ38" s="129" t="s">
        <v>46</v>
      </c>
      <c r="ANR38" s="131" t="s">
        <v>44</v>
      </c>
      <c r="ANS38" s="133" t="s">
        <v>45</v>
      </c>
      <c r="ANT38" s="134"/>
      <c r="ANU38" s="135"/>
      <c r="ANV38" s="125">
        <v>0</v>
      </c>
      <c r="ANW38" s="125">
        <v>40</v>
      </c>
      <c r="ANX38" s="127">
        <f>SUM(ANW38)</f>
        <v>40</v>
      </c>
      <c r="ANY38" s="129" t="s">
        <v>46</v>
      </c>
      <c r="ANZ38" s="131" t="s">
        <v>44</v>
      </c>
      <c r="AOA38" s="133" t="s">
        <v>45</v>
      </c>
      <c r="AOB38" s="134"/>
      <c r="AOC38" s="135"/>
      <c r="AOD38" s="125">
        <v>0</v>
      </c>
      <c r="AOE38" s="125">
        <v>40</v>
      </c>
      <c r="AOF38" s="127">
        <f>SUM(AOE38)</f>
        <v>40</v>
      </c>
      <c r="AOG38" s="129" t="s">
        <v>46</v>
      </c>
      <c r="AOH38" s="131" t="s">
        <v>44</v>
      </c>
      <c r="AOI38" s="133" t="s">
        <v>45</v>
      </c>
      <c r="AOJ38" s="134"/>
      <c r="AOK38" s="135"/>
      <c r="AOL38" s="125">
        <v>0</v>
      </c>
      <c r="AOM38" s="125">
        <v>40</v>
      </c>
      <c r="AON38" s="127">
        <f>SUM(AOM38)</f>
        <v>40</v>
      </c>
      <c r="AOO38" s="129" t="s">
        <v>46</v>
      </c>
      <c r="AOP38" s="131" t="s">
        <v>44</v>
      </c>
      <c r="AOQ38" s="133" t="s">
        <v>45</v>
      </c>
      <c r="AOR38" s="134"/>
      <c r="AOS38" s="135"/>
      <c r="AOT38" s="125">
        <v>0</v>
      </c>
      <c r="AOU38" s="125">
        <v>40</v>
      </c>
      <c r="AOV38" s="127">
        <f>SUM(AOU38)</f>
        <v>40</v>
      </c>
      <c r="AOW38" s="129" t="s">
        <v>46</v>
      </c>
      <c r="AOX38" s="131" t="s">
        <v>44</v>
      </c>
      <c r="AOY38" s="133" t="s">
        <v>45</v>
      </c>
      <c r="AOZ38" s="134"/>
      <c r="APA38" s="135"/>
      <c r="APB38" s="125">
        <v>0</v>
      </c>
      <c r="APC38" s="125">
        <v>40</v>
      </c>
      <c r="APD38" s="127">
        <f>SUM(APC38)</f>
        <v>40</v>
      </c>
      <c r="APE38" s="129" t="s">
        <v>46</v>
      </c>
      <c r="APF38" s="131" t="s">
        <v>44</v>
      </c>
      <c r="APG38" s="133" t="s">
        <v>45</v>
      </c>
      <c r="APH38" s="134"/>
      <c r="API38" s="135"/>
      <c r="APJ38" s="125">
        <v>0</v>
      </c>
      <c r="APK38" s="125">
        <v>40</v>
      </c>
      <c r="APL38" s="127">
        <f>SUM(APK38)</f>
        <v>40</v>
      </c>
      <c r="APM38" s="129" t="s">
        <v>46</v>
      </c>
      <c r="APN38" s="131" t="s">
        <v>44</v>
      </c>
      <c r="APO38" s="133" t="s">
        <v>45</v>
      </c>
      <c r="APP38" s="134"/>
      <c r="APQ38" s="135"/>
      <c r="APR38" s="125">
        <v>0</v>
      </c>
      <c r="APS38" s="125">
        <v>40</v>
      </c>
      <c r="APT38" s="127">
        <f>SUM(APS38)</f>
        <v>40</v>
      </c>
      <c r="APU38" s="129" t="s">
        <v>46</v>
      </c>
      <c r="APV38" s="131" t="s">
        <v>44</v>
      </c>
      <c r="APW38" s="133" t="s">
        <v>45</v>
      </c>
      <c r="APX38" s="134"/>
      <c r="APY38" s="135"/>
      <c r="APZ38" s="125">
        <v>0</v>
      </c>
      <c r="AQA38" s="125">
        <v>40</v>
      </c>
      <c r="AQB38" s="127">
        <f>SUM(AQA38)</f>
        <v>40</v>
      </c>
      <c r="AQC38" s="129" t="s">
        <v>46</v>
      </c>
      <c r="AQD38" s="131" t="s">
        <v>44</v>
      </c>
      <c r="AQE38" s="133" t="s">
        <v>45</v>
      </c>
      <c r="AQF38" s="134"/>
      <c r="AQG38" s="135"/>
      <c r="AQH38" s="125">
        <v>0</v>
      </c>
      <c r="AQI38" s="125">
        <v>40</v>
      </c>
      <c r="AQJ38" s="127">
        <f>SUM(AQI38)</f>
        <v>40</v>
      </c>
      <c r="AQK38" s="129" t="s">
        <v>46</v>
      </c>
      <c r="AQL38" s="131" t="s">
        <v>44</v>
      </c>
      <c r="AQM38" s="133" t="s">
        <v>45</v>
      </c>
      <c r="AQN38" s="134"/>
      <c r="AQO38" s="135"/>
      <c r="AQP38" s="125">
        <v>0</v>
      </c>
      <c r="AQQ38" s="125">
        <v>40</v>
      </c>
      <c r="AQR38" s="127">
        <f>SUM(AQQ38)</f>
        <v>40</v>
      </c>
      <c r="AQS38" s="129" t="s">
        <v>46</v>
      </c>
      <c r="AQT38" s="131" t="s">
        <v>44</v>
      </c>
      <c r="AQU38" s="133" t="s">
        <v>45</v>
      </c>
      <c r="AQV38" s="134"/>
      <c r="AQW38" s="135"/>
      <c r="AQX38" s="125">
        <v>0</v>
      </c>
      <c r="AQY38" s="125">
        <v>40</v>
      </c>
      <c r="AQZ38" s="127">
        <f>SUM(AQY38)</f>
        <v>40</v>
      </c>
      <c r="ARA38" s="129" t="s">
        <v>46</v>
      </c>
      <c r="ARB38" s="131" t="s">
        <v>44</v>
      </c>
      <c r="ARC38" s="133" t="s">
        <v>45</v>
      </c>
      <c r="ARD38" s="134"/>
      <c r="ARE38" s="135"/>
      <c r="ARF38" s="125">
        <v>0</v>
      </c>
      <c r="ARG38" s="125">
        <v>40</v>
      </c>
      <c r="ARH38" s="127">
        <f>SUM(ARG38)</f>
        <v>40</v>
      </c>
      <c r="ARI38" s="129" t="s">
        <v>46</v>
      </c>
      <c r="ARJ38" s="131" t="s">
        <v>44</v>
      </c>
      <c r="ARK38" s="133" t="s">
        <v>45</v>
      </c>
      <c r="ARL38" s="134"/>
      <c r="ARM38" s="135"/>
      <c r="ARN38" s="125">
        <v>0</v>
      </c>
      <c r="ARO38" s="125">
        <v>40</v>
      </c>
      <c r="ARP38" s="127">
        <f>SUM(ARO38)</f>
        <v>40</v>
      </c>
      <c r="ARQ38" s="129" t="s">
        <v>46</v>
      </c>
      <c r="ARR38" s="131" t="s">
        <v>44</v>
      </c>
      <c r="ARS38" s="133" t="s">
        <v>45</v>
      </c>
      <c r="ART38" s="134"/>
      <c r="ARU38" s="135"/>
      <c r="ARV38" s="125">
        <v>0</v>
      </c>
      <c r="ARW38" s="125">
        <v>40</v>
      </c>
      <c r="ARX38" s="127">
        <f>SUM(ARW38)</f>
        <v>40</v>
      </c>
      <c r="ARY38" s="129" t="s">
        <v>46</v>
      </c>
      <c r="ARZ38" s="131" t="s">
        <v>44</v>
      </c>
      <c r="ASA38" s="133" t="s">
        <v>45</v>
      </c>
      <c r="ASB38" s="134"/>
      <c r="ASC38" s="135"/>
      <c r="ASD38" s="125">
        <v>0</v>
      </c>
      <c r="ASE38" s="125">
        <v>40</v>
      </c>
      <c r="ASF38" s="127">
        <f>SUM(ASE38)</f>
        <v>40</v>
      </c>
      <c r="ASG38" s="129" t="s">
        <v>46</v>
      </c>
      <c r="ASH38" s="131" t="s">
        <v>44</v>
      </c>
      <c r="ASI38" s="133" t="s">
        <v>45</v>
      </c>
      <c r="ASJ38" s="134"/>
      <c r="ASK38" s="135"/>
      <c r="ASL38" s="125">
        <v>0</v>
      </c>
      <c r="ASM38" s="125">
        <v>40</v>
      </c>
      <c r="ASN38" s="127">
        <f>SUM(ASM38)</f>
        <v>40</v>
      </c>
      <c r="ASO38" s="129" t="s">
        <v>46</v>
      </c>
      <c r="ASP38" s="131" t="s">
        <v>44</v>
      </c>
      <c r="ASQ38" s="133" t="s">
        <v>45</v>
      </c>
      <c r="ASR38" s="134"/>
      <c r="ASS38" s="135"/>
      <c r="AST38" s="125">
        <v>0</v>
      </c>
      <c r="ASU38" s="125">
        <v>40</v>
      </c>
      <c r="ASV38" s="127">
        <f>SUM(ASU38)</f>
        <v>40</v>
      </c>
      <c r="ASW38" s="129" t="s">
        <v>46</v>
      </c>
      <c r="ASX38" s="131" t="s">
        <v>44</v>
      </c>
      <c r="ASY38" s="133" t="s">
        <v>45</v>
      </c>
      <c r="ASZ38" s="134"/>
      <c r="ATA38" s="135"/>
      <c r="ATB38" s="125">
        <v>0</v>
      </c>
      <c r="ATC38" s="125">
        <v>40</v>
      </c>
      <c r="ATD38" s="127">
        <f>SUM(ATC38)</f>
        <v>40</v>
      </c>
      <c r="ATE38" s="129" t="s">
        <v>46</v>
      </c>
      <c r="ATF38" s="131" t="s">
        <v>44</v>
      </c>
      <c r="ATG38" s="133" t="s">
        <v>45</v>
      </c>
      <c r="ATH38" s="134"/>
      <c r="ATI38" s="135"/>
      <c r="ATJ38" s="125">
        <v>0</v>
      </c>
      <c r="ATK38" s="125">
        <v>40</v>
      </c>
      <c r="ATL38" s="127">
        <f>SUM(ATK38)</f>
        <v>40</v>
      </c>
      <c r="ATM38" s="129" t="s">
        <v>46</v>
      </c>
      <c r="ATN38" s="131" t="s">
        <v>44</v>
      </c>
      <c r="ATO38" s="133" t="s">
        <v>45</v>
      </c>
      <c r="ATP38" s="134"/>
      <c r="ATQ38" s="135"/>
      <c r="ATR38" s="125">
        <v>0</v>
      </c>
      <c r="ATS38" s="125">
        <v>40</v>
      </c>
      <c r="ATT38" s="127">
        <f>SUM(ATS38)</f>
        <v>40</v>
      </c>
      <c r="ATU38" s="129" t="s">
        <v>46</v>
      </c>
      <c r="ATV38" s="131" t="s">
        <v>44</v>
      </c>
      <c r="ATW38" s="133" t="s">
        <v>45</v>
      </c>
      <c r="ATX38" s="134"/>
      <c r="ATY38" s="135"/>
      <c r="ATZ38" s="125">
        <v>0</v>
      </c>
      <c r="AUA38" s="125">
        <v>40</v>
      </c>
      <c r="AUB38" s="127">
        <f>SUM(AUA38)</f>
        <v>40</v>
      </c>
      <c r="AUC38" s="129" t="s">
        <v>46</v>
      </c>
      <c r="AUD38" s="131" t="s">
        <v>44</v>
      </c>
      <c r="AUE38" s="133" t="s">
        <v>45</v>
      </c>
      <c r="AUF38" s="134"/>
      <c r="AUG38" s="135"/>
      <c r="AUH38" s="125">
        <v>0</v>
      </c>
      <c r="AUI38" s="125">
        <v>40</v>
      </c>
      <c r="AUJ38" s="127">
        <f>SUM(AUI38)</f>
        <v>40</v>
      </c>
      <c r="AUK38" s="129" t="s">
        <v>46</v>
      </c>
      <c r="AUL38" s="131" t="s">
        <v>44</v>
      </c>
      <c r="AUM38" s="133" t="s">
        <v>45</v>
      </c>
      <c r="AUN38" s="134"/>
      <c r="AUO38" s="135"/>
      <c r="AUP38" s="125">
        <v>0</v>
      </c>
      <c r="AUQ38" s="125">
        <v>40</v>
      </c>
      <c r="AUR38" s="127">
        <f>SUM(AUQ38)</f>
        <v>40</v>
      </c>
      <c r="AUS38" s="129" t="s">
        <v>46</v>
      </c>
      <c r="AUT38" s="131" t="s">
        <v>44</v>
      </c>
      <c r="AUU38" s="133" t="s">
        <v>45</v>
      </c>
      <c r="AUV38" s="134"/>
      <c r="AUW38" s="135"/>
      <c r="AUX38" s="125">
        <v>0</v>
      </c>
      <c r="AUY38" s="125">
        <v>40</v>
      </c>
      <c r="AUZ38" s="127">
        <f>SUM(AUY38)</f>
        <v>40</v>
      </c>
      <c r="AVA38" s="129" t="s">
        <v>46</v>
      </c>
      <c r="AVB38" s="131" t="s">
        <v>44</v>
      </c>
      <c r="AVC38" s="133" t="s">
        <v>45</v>
      </c>
      <c r="AVD38" s="134"/>
      <c r="AVE38" s="135"/>
      <c r="AVF38" s="125">
        <v>0</v>
      </c>
      <c r="AVG38" s="125">
        <v>40</v>
      </c>
      <c r="AVH38" s="127">
        <f>SUM(AVG38)</f>
        <v>40</v>
      </c>
      <c r="AVI38" s="129" t="s">
        <v>46</v>
      </c>
      <c r="AVJ38" s="131" t="s">
        <v>44</v>
      </c>
      <c r="AVK38" s="133" t="s">
        <v>45</v>
      </c>
      <c r="AVL38" s="134"/>
      <c r="AVM38" s="135"/>
      <c r="AVN38" s="125">
        <v>0</v>
      </c>
      <c r="AVO38" s="125">
        <v>40</v>
      </c>
      <c r="AVP38" s="127">
        <f>SUM(AVO38)</f>
        <v>40</v>
      </c>
      <c r="AVQ38" s="129" t="s">
        <v>46</v>
      </c>
      <c r="AVR38" s="131" t="s">
        <v>44</v>
      </c>
      <c r="AVS38" s="133" t="s">
        <v>45</v>
      </c>
      <c r="AVT38" s="134"/>
      <c r="AVU38" s="135"/>
      <c r="AVV38" s="125">
        <v>0</v>
      </c>
      <c r="AVW38" s="125">
        <v>40</v>
      </c>
      <c r="AVX38" s="127">
        <f>SUM(AVW38)</f>
        <v>40</v>
      </c>
      <c r="AVY38" s="129" t="s">
        <v>46</v>
      </c>
      <c r="AVZ38" s="131" t="s">
        <v>44</v>
      </c>
      <c r="AWA38" s="133" t="s">
        <v>45</v>
      </c>
      <c r="AWB38" s="134"/>
      <c r="AWC38" s="135"/>
      <c r="AWD38" s="125">
        <v>0</v>
      </c>
      <c r="AWE38" s="125">
        <v>40</v>
      </c>
      <c r="AWF38" s="127">
        <f>SUM(AWE38)</f>
        <v>40</v>
      </c>
      <c r="AWG38" s="129" t="s">
        <v>46</v>
      </c>
      <c r="AWH38" s="131" t="s">
        <v>44</v>
      </c>
      <c r="AWI38" s="133" t="s">
        <v>45</v>
      </c>
      <c r="AWJ38" s="134"/>
      <c r="AWK38" s="135"/>
      <c r="AWL38" s="125">
        <v>0</v>
      </c>
      <c r="AWM38" s="125">
        <v>40</v>
      </c>
      <c r="AWN38" s="127">
        <f>SUM(AWM38)</f>
        <v>40</v>
      </c>
      <c r="AWO38" s="129" t="s">
        <v>46</v>
      </c>
      <c r="AWP38" s="131" t="s">
        <v>44</v>
      </c>
      <c r="AWQ38" s="133" t="s">
        <v>45</v>
      </c>
      <c r="AWR38" s="134"/>
      <c r="AWS38" s="135"/>
      <c r="AWT38" s="125">
        <v>0</v>
      </c>
      <c r="AWU38" s="125">
        <v>40</v>
      </c>
      <c r="AWV38" s="127">
        <f>SUM(AWU38)</f>
        <v>40</v>
      </c>
      <c r="AWW38" s="129" t="s">
        <v>46</v>
      </c>
      <c r="AWX38" s="131" t="s">
        <v>44</v>
      </c>
      <c r="AWY38" s="133" t="s">
        <v>45</v>
      </c>
      <c r="AWZ38" s="134"/>
      <c r="AXA38" s="135"/>
      <c r="AXB38" s="125">
        <v>0</v>
      </c>
      <c r="AXC38" s="125">
        <v>40</v>
      </c>
      <c r="AXD38" s="127">
        <f>SUM(AXC38)</f>
        <v>40</v>
      </c>
      <c r="AXE38" s="129" t="s">
        <v>46</v>
      </c>
      <c r="AXF38" s="131" t="s">
        <v>44</v>
      </c>
      <c r="AXG38" s="133" t="s">
        <v>45</v>
      </c>
      <c r="AXH38" s="134"/>
      <c r="AXI38" s="135"/>
      <c r="AXJ38" s="125">
        <v>0</v>
      </c>
      <c r="AXK38" s="125">
        <v>40</v>
      </c>
      <c r="AXL38" s="127">
        <f>SUM(AXK38)</f>
        <v>40</v>
      </c>
      <c r="AXM38" s="129" t="s">
        <v>46</v>
      </c>
      <c r="AXN38" s="131" t="s">
        <v>44</v>
      </c>
      <c r="AXO38" s="133" t="s">
        <v>45</v>
      </c>
      <c r="AXP38" s="134"/>
      <c r="AXQ38" s="135"/>
      <c r="AXR38" s="125">
        <v>0</v>
      </c>
      <c r="AXS38" s="125">
        <v>40</v>
      </c>
      <c r="AXT38" s="127">
        <f>SUM(AXS38)</f>
        <v>40</v>
      </c>
      <c r="AXU38" s="129" t="s">
        <v>46</v>
      </c>
      <c r="AXV38" s="131" t="s">
        <v>44</v>
      </c>
      <c r="AXW38" s="133" t="s">
        <v>45</v>
      </c>
      <c r="AXX38" s="134"/>
      <c r="AXY38" s="135"/>
      <c r="AXZ38" s="125">
        <v>0</v>
      </c>
      <c r="AYA38" s="125">
        <v>40</v>
      </c>
      <c r="AYB38" s="127">
        <f>SUM(AYA38)</f>
        <v>40</v>
      </c>
      <c r="AYC38" s="129" t="s">
        <v>46</v>
      </c>
      <c r="AYD38" s="131" t="s">
        <v>44</v>
      </c>
      <c r="AYE38" s="133" t="s">
        <v>45</v>
      </c>
      <c r="AYF38" s="134"/>
      <c r="AYG38" s="135"/>
      <c r="AYH38" s="125">
        <v>0</v>
      </c>
      <c r="AYI38" s="125">
        <v>40</v>
      </c>
      <c r="AYJ38" s="127">
        <f>SUM(AYI38)</f>
        <v>40</v>
      </c>
      <c r="AYK38" s="129" t="s">
        <v>46</v>
      </c>
      <c r="AYL38" s="131" t="s">
        <v>44</v>
      </c>
      <c r="AYM38" s="133" t="s">
        <v>45</v>
      </c>
      <c r="AYN38" s="134"/>
      <c r="AYO38" s="135"/>
      <c r="AYP38" s="125">
        <v>0</v>
      </c>
      <c r="AYQ38" s="125">
        <v>40</v>
      </c>
      <c r="AYR38" s="127">
        <f>SUM(AYQ38)</f>
        <v>40</v>
      </c>
      <c r="AYS38" s="129" t="s">
        <v>46</v>
      </c>
      <c r="AYT38" s="131" t="s">
        <v>44</v>
      </c>
      <c r="AYU38" s="133" t="s">
        <v>45</v>
      </c>
      <c r="AYV38" s="134"/>
      <c r="AYW38" s="135"/>
      <c r="AYX38" s="125">
        <v>0</v>
      </c>
      <c r="AYY38" s="125">
        <v>40</v>
      </c>
      <c r="AYZ38" s="127">
        <f>SUM(AYY38)</f>
        <v>40</v>
      </c>
      <c r="AZA38" s="129" t="s">
        <v>46</v>
      </c>
      <c r="AZB38" s="131" t="s">
        <v>44</v>
      </c>
      <c r="AZC38" s="133" t="s">
        <v>45</v>
      </c>
      <c r="AZD38" s="134"/>
      <c r="AZE38" s="135"/>
      <c r="AZF38" s="125">
        <v>0</v>
      </c>
      <c r="AZG38" s="125">
        <v>40</v>
      </c>
      <c r="AZH38" s="127">
        <f>SUM(AZG38)</f>
        <v>40</v>
      </c>
      <c r="AZI38" s="129" t="s">
        <v>46</v>
      </c>
      <c r="AZJ38" s="131" t="s">
        <v>44</v>
      </c>
      <c r="AZK38" s="133" t="s">
        <v>45</v>
      </c>
      <c r="AZL38" s="134"/>
      <c r="AZM38" s="135"/>
      <c r="AZN38" s="125">
        <v>0</v>
      </c>
      <c r="AZO38" s="125">
        <v>40</v>
      </c>
      <c r="AZP38" s="127">
        <f>SUM(AZO38)</f>
        <v>40</v>
      </c>
      <c r="AZQ38" s="129" t="s">
        <v>46</v>
      </c>
      <c r="AZR38" s="131" t="s">
        <v>44</v>
      </c>
      <c r="AZS38" s="133" t="s">
        <v>45</v>
      </c>
      <c r="AZT38" s="134"/>
      <c r="AZU38" s="135"/>
      <c r="AZV38" s="125">
        <v>0</v>
      </c>
      <c r="AZW38" s="125">
        <v>40</v>
      </c>
      <c r="AZX38" s="127">
        <f>SUM(AZW38)</f>
        <v>40</v>
      </c>
      <c r="AZY38" s="129" t="s">
        <v>46</v>
      </c>
      <c r="AZZ38" s="131" t="s">
        <v>44</v>
      </c>
      <c r="BAA38" s="133" t="s">
        <v>45</v>
      </c>
      <c r="BAB38" s="134"/>
      <c r="BAC38" s="135"/>
      <c r="BAD38" s="125">
        <v>0</v>
      </c>
      <c r="BAE38" s="125">
        <v>40</v>
      </c>
      <c r="BAF38" s="127">
        <f>SUM(BAE38)</f>
        <v>40</v>
      </c>
      <c r="BAG38" s="129" t="s">
        <v>46</v>
      </c>
      <c r="BAH38" s="131" t="s">
        <v>44</v>
      </c>
      <c r="BAI38" s="133" t="s">
        <v>45</v>
      </c>
      <c r="BAJ38" s="134"/>
      <c r="BAK38" s="135"/>
      <c r="BAL38" s="125">
        <v>0</v>
      </c>
      <c r="BAM38" s="125">
        <v>40</v>
      </c>
      <c r="BAN38" s="127">
        <f>SUM(BAM38)</f>
        <v>40</v>
      </c>
      <c r="BAO38" s="129" t="s">
        <v>46</v>
      </c>
      <c r="BAP38" s="131" t="s">
        <v>44</v>
      </c>
      <c r="BAQ38" s="133" t="s">
        <v>45</v>
      </c>
      <c r="BAR38" s="134"/>
      <c r="BAS38" s="135"/>
      <c r="BAT38" s="125">
        <v>0</v>
      </c>
      <c r="BAU38" s="125">
        <v>40</v>
      </c>
      <c r="BAV38" s="127">
        <f>SUM(BAU38)</f>
        <v>40</v>
      </c>
      <c r="BAW38" s="129" t="s">
        <v>46</v>
      </c>
      <c r="BAX38" s="131" t="s">
        <v>44</v>
      </c>
      <c r="BAY38" s="133" t="s">
        <v>45</v>
      </c>
      <c r="BAZ38" s="134"/>
      <c r="BBA38" s="135"/>
      <c r="BBB38" s="125">
        <v>0</v>
      </c>
      <c r="BBC38" s="125">
        <v>40</v>
      </c>
      <c r="BBD38" s="127">
        <f>SUM(BBC38)</f>
        <v>40</v>
      </c>
      <c r="BBE38" s="129" t="s">
        <v>46</v>
      </c>
      <c r="BBF38" s="131" t="s">
        <v>44</v>
      </c>
      <c r="BBG38" s="133" t="s">
        <v>45</v>
      </c>
      <c r="BBH38" s="134"/>
      <c r="BBI38" s="135"/>
      <c r="BBJ38" s="125">
        <v>0</v>
      </c>
      <c r="BBK38" s="125">
        <v>40</v>
      </c>
      <c r="BBL38" s="127">
        <f>SUM(BBK38)</f>
        <v>40</v>
      </c>
      <c r="BBM38" s="129" t="s">
        <v>46</v>
      </c>
      <c r="BBN38" s="131" t="s">
        <v>44</v>
      </c>
      <c r="BBO38" s="133" t="s">
        <v>45</v>
      </c>
      <c r="BBP38" s="134"/>
      <c r="BBQ38" s="135"/>
      <c r="BBR38" s="125">
        <v>0</v>
      </c>
      <c r="BBS38" s="125">
        <v>40</v>
      </c>
      <c r="BBT38" s="127">
        <f>SUM(BBS38)</f>
        <v>40</v>
      </c>
      <c r="BBU38" s="129" t="s">
        <v>46</v>
      </c>
      <c r="BBV38" s="131" t="s">
        <v>44</v>
      </c>
      <c r="BBW38" s="133" t="s">
        <v>45</v>
      </c>
      <c r="BBX38" s="134"/>
      <c r="BBY38" s="135"/>
      <c r="BBZ38" s="125">
        <v>0</v>
      </c>
      <c r="BCA38" s="125">
        <v>40</v>
      </c>
      <c r="BCB38" s="127">
        <f>SUM(BCA38)</f>
        <v>40</v>
      </c>
      <c r="BCC38" s="129" t="s">
        <v>46</v>
      </c>
      <c r="BCD38" s="131" t="s">
        <v>44</v>
      </c>
      <c r="BCE38" s="133" t="s">
        <v>45</v>
      </c>
      <c r="BCF38" s="134"/>
      <c r="BCG38" s="135"/>
      <c r="BCH38" s="125">
        <v>0</v>
      </c>
      <c r="BCI38" s="125">
        <v>40</v>
      </c>
      <c r="BCJ38" s="127">
        <f>SUM(BCI38)</f>
        <v>40</v>
      </c>
      <c r="BCK38" s="129" t="s">
        <v>46</v>
      </c>
      <c r="BCL38" s="131" t="s">
        <v>44</v>
      </c>
      <c r="BCM38" s="133" t="s">
        <v>45</v>
      </c>
      <c r="BCN38" s="134"/>
      <c r="BCO38" s="135"/>
      <c r="BCP38" s="125">
        <v>0</v>
      </c>
      <c r="BCQ38" s="125">
        <v>40</v>
      </c>
      <c r="BCR38" s="127">
        <f>SUM(BCQ38)</f>
        <v>40</v>
      </c>
      <c r="BCS38" s="129" t="s">
        <v>46</v>
      </c>
      <c r="BCT38" s="131" t="s">
        <v>44</v>
      </c>
      <c r="BCU38" s="133" t="s">
        <v>45</v>
      </c>
      <c r="BCV38" s="134"/>
      <c r="BCW38" s="135"/>
      <c r="BCX38" s="125">
        <v>0</v>
      </c>
      <c r="BCY38" s="125">
        <v>40</v>
      </c>
      <c r="BCZ38" s="127">
        <f>SUM(BCY38)</f>
        <v>40</v>
      </c>
      <c r="BDA38" s="129" t="s">
        <v>46</v>
      </c>
      <c r="BDB38" s="131" t="s">
        <v>44</v>
      </c>
      <c r="BDC38" s="133" t="s">
        <v>45</v>
      </c>
      <c r="BDD38" s="134"/>
      <c r="BDE38" s="135"/>
      <c r="BDF38" s="125">
        <v>0</v>
      </c>
      <c r="BDG38" s="125">
        <v>40</v>
      </c>
      <c r="BDH38" s="127">
        <f>SUM(BDG38)</f>
        <v>40</v>
      </c>
      <c r="BDI38" s="129" t="s">
        <v>46</v>
      </c>
      <c r="BDJ38" s="131" t="s">
        <v>44</v>
      </c>
      <c r="BDK38" s="133" t="s">
        <v>45</v>
      </c>
      <c r="BDL38" s="134"/>
      <c r="BDM38" s="135"/>
      <c r="BDN38" s="125">
        <v>0</v>
      </c>
      <c r="BDO38" s="125">
        <v>40</v>
      </c>
      <c r="BDP38" s="127">
        <f>SUM(BDO38)</f>
        <v>40</v>
      </c>
      <c r="BDQ38" s="129" t="s">
        <v>46</v>
      </c>
      <c r="BDR38" s="131" t="s">
        <v>44</v>
      </c>
      <c r="BDS38" s="133" t="s">
        <v>45</v>
      </c>
      <c r="BDT38" s="134"/>
      <c r="BDU38" s="135"/>
      <c r="BDV38" s="125">
        <v>0</v>
      </c>
      <c r="BDW38" s="125">
        <v>40</v>
      </c>
      <c r="BDX38" s="127">
        <f>SUM(BDW38)</f>
        <v>40</v>
      </c>
      <c r="BDY38" s="129" t="s">
        <v>46</v>
      </c>
      <c r="BDZ38" s="131" t="s">
        <v>44</v>
      </c>
      <c r="BEA38" s="133" t="s">
        <v>45</v>
      </c>
      <c r="BEB38" s="134"/>
      <c r="BEC38" s="135"/>
      <c r="BED38" s="125">
        <v>0</v>
      </c>
      <c r="BEE38" s="125">
        <v>40</v>
      </c>
      <c r="BEF38" s="127">
        <f>SUM(BEE38)</f>
        <v>40</v>
      </c>
      <c r="BEG38" s="129" t="s">
        <v>46</v>
      </c>
      <c r="BEH38" s="131" t="s">
        <v>44</v>
      </c>
      <c r="BEI38" s="133" t="s">
        <v>45</v>
      </c>
      <c r="BEJ38" s="134"/>
      <c r="BEK38" s="135"/>
      <c r="BEL38" s="125">
        <v>0</v>
      </c>
      <c r="BEM38" s="125">
        <v>40</v>
      </c>
      <c r="BEN38" s="127">
        <f>SUM(BEM38)</f>
        <v>40</v>
      </c>
      <c r="BEO38" s="129" t="s">
        <v>46</v>
      </c>
      <c r="BEP38" s="131" t="s">
        <v>44</v>
      </c>
      <c r="BEQ38" s="133" t="s">
        <v>45</v>
      </c>
      <c r="BER38" s="134"/>
      <c r="BES38" s="135"/>
      <c r="BET38" s="125">
        <v>0</v>
      </c>
      <c r="BEU38" s="125">
        <v>40</v>
      </c>
      <c r="BEV38" s="127">
        <f>SUM(BEU38)</f>
        <v>40</v>
      </c>
      <c r="BEW38" s="129" t="s">
        <v>46</v>
      </c>
      <c r="BEX38" s="131" t="s">
        <v>44</v>
      </c>
      <c r="BEY38" s="133" t="s">
        <v>45</v>
      </c>
      <c r="BEZ38" s="134"/>
      <c r="BFA38" s="135"/>
      <c r="BFB38" s="125">
        <v>0</v>
      </c>
      <c r="BFC38" s="125">
        <v>40</v>
      </c>
      <c r="BFD38" s="127">
        <f>SUM(BFC38)</f>
        <v>40</v>
      </c>
      <c r="BFE38" s="129" t="s">
        <v>46</v>
      </c>
      <c r="BFF38" s="131" t="s">
        <v>44</v>
      </c>
      <c r="BFG38" s="133" t="s">
        <v>45</v>
      </c>
      <c r="BFH38" s="134"/>
      <c r="BFI38" s="135"/>
      <c r="BFJ38" s="125">
        <v>0</v>
      </c>
      <c r="BFK38" s="125">
        <v>40</v>
      </c>
      <c r="BFL38" s="127">
        <f>SUM(BFK38)</f>
        <v>40</v>
      </c>
      <c r="BFM38" s="129" t="s">
        <v>46</v>
      </c>
      <c r="BFN38" s="131" t="s">
        <v>44</v>
      </c>
      <c r="BFO38" s="133" t="s">
        <v>45</v>
      </c>
      <c r="BFP38" s="134"/>
      <c r="BFQ38" s="135"/>
      <c r="BFR38" s="125">
        <v>0</v>
      </c>
      <c r="BFS38" s="125">
        <v>40</v>
      </c>
      <c r="BFT38" s="127">
        <f>SUM(BFS38)</f>
        <v>40</v>
      </c>
      <c r="BFU38" s="129" t="s">
        <v>46</v>
      </c>
      <c r="BFV38" s="131" t="s">
        <v>44</v>
      </c>
      <c r="BFW38" s="133" t="s">
        <v>45</v>
      </c>
      <c r="BFX38" s="134"/>
      <c r="BFY38" s="135"/>
      <c r="BFZ38" s="125">
        <v>0</v>
      </c>
      <c r="BGA38" s="125">
        <v>40</v>
      </c>
      <c r="BGB38" s="127">
        <f>SUM(BGA38)</f>
        <v>40</v>
      </c>
      <c r="BGC38" s="129" t="s">
        <v>46</v>
      </c>
      <c r="BGD38" s="131" t="s">
        <v>44</v>
      </c>
      <c r="BGE38" s="133" t="s">
        <v>45</v>
      </c>
      <c r="BGF38" s="134"/>
      <c r="BGG38" s="135"/>
      <c r="BGH38" s="125">
        <v>0</v>
      </c>
      <c r="BGI38" s="125">
        <v>40</v>
      </c>
      <c r="BGJ38" s="127">
        <f>SUM(BGI38)</f>
        <v>40</v>
      </c>
      <c r="BGK38" s="129" t="s">
        <v>46</v>
      </c>
      <c r="BGL38" s="131" t="s">
        <v>44</v>
      </c>
      <c r="BGM38" s="133" t="s">
        <v>45</v>
      </c>
      <c r="BGN38" s="134"/>
      <c r="BGO38" s="135"/>
      <c r="BGP38" s="125">
        <v>0</v>
      </c>
      <c r="BGQ38" s="125">
        <v>40</v>
      </c>
      <c r="BGR38" s="127">
        <f>SUM(BGQ38)</f>
        <v>40</v>
      </c>
      <c r="BGS38" s="129" t="s">
        <v>46</v>
      </c>
      <c r="BGT38" s="131" t="s">
        <v>44</v>
      </c>
      <c r="BGU38" s="133" t="s">
        <v>45</v>
      </c>
      <c r="BGV38" s="134"/>
      <c r="BGW38" s="135"/>
      <c r="BGX38" s="125">
        <v>0</v>
      </c>
      <c r="BGY38" s="125">
        <v>40</v>
      </c>
      <c r="BGZ38" s="127">
        <f>SUM(BGY38)</f>
        <v>40</v>
      </c>
      <c r="BHA38" s="129" t="s">
        <v>46</v>
      </c>
      <c r="BHB38" s="131" t="s">
        <v>44</v>
      </c>
      <c r="BHC38" s="133" t="s">
        <v>45</v>
      </c>
      <c r="BHD38" s="134"/>
      <c r="BHE38" s="135"/>
      <c r="BHF38" s="125">
        <v>0</v>
      </c>
      <c r="BHG38" s="125">
        <v>40</v>
      </c>
      <c r="BHH38" s="127">
        <f>SUM(BHG38)</f>
        <v>40</v>
      </c>
      <c r="BHI38" s="129" t="s">
        <v>46</v>
      </c>
      <c r="BHJ38" s="131" t="s">
        <v>44</v>
      </c>
      <c r="BHK38" s="133" t="s">
        <v>45</v>
      </c>
      <c r="BHL38" s="134"/>
      <c r="BHM38" s="135"/>
      <c r="BHN38" s="125">
        <v>0</v>
      </c>
      <c r="BHO38" s="125">
        <v>40</v>
      </c>
      <c r="BHP38" s="127">
        <f>SUM(BHO38)</f>
        <v>40</v>
      </c>
      <c r="BHQ38" s="129" t="s">
        <v>46</v>
      </c>
      <c r="BHR38" s="131" t="s">
        <v>44</v>
      </c>
      <c r="BHS38" s="133" t="s">
        <v>45</v>
      </c>
      <c r="BHT38" s="134"/>
      <c r="BHU38" s="135"/>
      <c r="BHV38" s="125">
        <v>0</v>
      </c>
      <c r="BHW38" s="125">
        <v>40</v>
      </c>
      <c r="BHX38" s="127">
        <f>SUM(BHW38)</f>
        <v>40</v>
      </c>
      <c r="BHY38" s="129" t="s">
        <v>46</v>
      </c>
      <c r="BHZ38" s="131" t="s">
        <v>44</v>
      </c>
      <c r="BIA38" s="133" t="s">
        <v>45</v>
      </c>
      <c r="BIB38" s="134"/>
      <c r="BIC38" s="135"/>
      <c r="BID38" s="125">
        <v>0</v>
      </c>
      <c r="BIE38" s="125">
        <v>40</v>
      </c>
      <c r="BIF38" s="127">
        <f>SUM(BIE38)</f>
        <v>40</v>
      </c>
      <c r="BIG38" s="129" t="s">
        <v>46</v>
      </c>
      <c r="BIH38" s="131" t="s">
        <v>44</v>
      </c>
      <c r="BII38" s="133" t="s">
        <v>45</v>
      </c>
      <c r="BIJ38" s="134"/>
      <c r="BIK38" s="135"/>
      <c r="BIL38" s="125">
        <v>0</v>
      </c>
      <c r="BIM38" s="125">
        <v>40</v>
      </c>
      <c r="BIN38" s="127">
        <f>SUM(BIM38)</f>
        <v>40</v>
      </c>
      <c r="BIO38" s="129" t="s">
        <v>46</v>
      </c>
      <c r="BIP38" s="131" t="s">
        <v>44</v>
      </c>
      <c r="BIQ38" s="133" t="s">
        <v>45</v>
      </c>
      <c r="BIR38" s="134"/>
      <c r="BIS38" s="135"/>
      <c r="BIT38" s="125">
        <v>0</v>
      </c>
      <c r="BIU38" s="125">
        <v>40</v>
      </c>
      <c r="BIV38" s="127">
        <f>SUM(BIU38)</f>
        <v>40</v>
      </c>
      <c r="BIW38" s="129" t="s">
        <v>46</v>
      </c>
      <c r="BIX38" s="131" t="s">
        <v>44</v>
      </c>
      <c r="BIY38" s="133" t="s">
        <v>45</v>
      </c>
      <c r="BIZ38" s="134"/>
      <c r="BJA38" s="135"/>
      <c r="BJB38" s="125">
        <v>0</v>
      </c>
      <c r="BJC38" s="125">
        <v>40</v>
      </c>
      <c r="BJD38" s="127">
        <f>SUM(BJC38)</f>
        <v>40</v>
      </c>
      <c r="BJE38" s="129" t="s">
        <v>46</v>
      </c>
      <c r="BJF38" s="131" t="s">
        <v>44</v>
      </c>
      <c r="BJG38" s="133" t="s">
        <v>45</v>
      </c>
      <c r="BJH38" s="134"/>
      <c r="BJI38" s="135"/>
      <c r="BJJ38" s="125">
        <v>0</v>
      </c>
      <c r="BJK38" s="125">
        <v>40</v>
      </c>
      <c r="BJL38" s="127">
        <f>SUM(BJK38)</f>
        <v>40</v>
      </c>
      <c r="BJM38" s="129" t="s">
        <v>46</v>
      </c>
      <c r="BJN38" s="131" t="s">
        <v>44</v>
      </c>
      <c r="BJO38" s="133" t="s">
        <v>45</v>
      </c>
      <c r="BJP38" s="134"/>
      <c r="BJQ38" s="135"/>
      <c r="BJR38" s="125">
        <v>0</v>
      </c>
      <c r="BJS38" s="125">
        <v>40</v>
      </c>
      <c r="BJT38" s="127">
        <f>SUM(BJS38)</f>
        <v>40</v>
      </c>
      <c r="BJU38" s="129" t="s">
        <v>46</v>
      </c>
      <c r="BJV38" s="131" t="s">
        <v>44</v>
      </c>
      <c r="BJW38" s="133" t="s">
        <v>45</v>
      </c>
      <c r="BJX38" s="134"/>
      <c r="BJY38" s="135"/>
      <c r="BJZ38" s="125">
        <v>0</v>
      </c>
      <c r="BKA38" s="125">
        <v>40</v>
      </c>
      <c r="BKB38" s="127">
        <f>SUM(BKA38)</f>
        <v>40</v>
      </c>
      <c r="BKC38" s="129" t="s">
        <v>46</v>
      </c>
      <c r="BKD38" s="131" t="s">
        <v>44</v>
      </c>
      <c r="BKE38" s="133" t="s">
        <v>45</v>
      </c>
      <c r="BKF38" s="134"/>
      <c r="BKG38" s="135"/>
      <c r="BKH38" s="125">
        <v>0</v>
      </c>
      <c r="BKI38" s="125">
        <v>40</v>
      </c>
      <c r="BKJ38" s="127">
        <f>SUM(BKI38)</f>
        <v>40</v>
      </c>
      <c r="BKK38" s="129" t="s">
        <v>46</v>
      </c>
      <c r="BKL38" s="131" t="s">
        <v>44</v>
      </c>
      <c r="BKM38" s="133" t="s">
        <v>45</v>
      </c>
      <c r="BKN38" s="134"/>
      <c r="BKO38" s="135"/>
      <c r="BKP38" s="125">
        <v>0</v>
      </c>
      <c r="BKQ38" s="125">
        <v>40</v>
      </c>
      <c r="BKR38" s="127">
        <f>SUM(BKQ38)</f>
        <v>40</v>
      </c>
      <c r="BKS38" s="129" t="s">
        <v>46</v>
      </c>
      <c r="BKT38" s="131" t="s">
        <v>44</v>
      </c>
      <c r="BKU38" s="133" t="s">
        <v>45</v>
      </c>
      <c r="BKV38" s="134"/>
      <c r="BKW38" s="135"/>
      <c r="BKX38" s="125">
        <v>0</v>
      </c>
      <c r="BKY38" s="125">
        <v>40</v>
      </c>
      <c r="BKZ38" s="127">
        <f>SUM(BKY38)</f>
        <v>40</v>
      </c>
      <c r="BLA38" s="129" t="s">
        <v>46</v>
      </c>
      <c r="BLB38" s="131" t="s">
        <v>44</v>
      </c>
      <c r="BLC38" s="133" t="s">
        <v>45</v>
      </c>
      <c r="BLD38" s="134"/>
      <c r="BLE38" s="135"/>
      <c r="BLF38" s="125">
        <v>0</v>
      </c>
      <c r="BLG38" s="125">
        <v>40</v>
      </c>
      <c r="BLH38" s="127">
        <f>SUM(BLG38)</f>
        <v>40</v>
      </c>
      <c r="BLI38" s="129" t="s">
        <v>46</v>
      </c>
      <c r="BLJ38" s="131" t="s">
        <v>44</v>
      </c>
      <c r="BLK38" s="133" t="s">
        <v>45</v>
      </c>
      <c r="BLL38" s="134"/>
      <c r="BLM38" s="135"/>
      <c r="BLN38" s="125">
        <v>0</v>
      </c>
      <c r="BLO38" s="125">
        <v>40</v>
      </c>
      <c r="BLP38" s="127">
        <f>SUM(BLO38)</f>
        <v>40</v>
      </c>
      <c r="BLQ38" s="129" t="s">
        <v>46</v>
      </c>
      <c r="BLR38" s="131" t="s">
        <v>44</v>
      </c>
      <c r="BLS38" s="133" t="s">
        <v>45</v>
      </c>
      <c r="BLT38" s="134"/>
      <c r="BLU38" s="135"/>
      <c r="BLV38" s="125">
        <v>0</v>
      </c>
      <c r="BLW38" s="125">
        <v>40</v>
      </c>
      <c r="BLX38" s="127">
        <f>SUM(BLW38)</f>
        <v>40</v>
      </c>
      <c r="BLY38" s="129" t="s">
        <v>46</v>
      </c>
      <c r="BLZ38" s="131" t="s">
        <v>44</v>
      </c>
      <c r="BMA38" s="133" t="s">
        <v>45</v>
      </c>
      <c r="BMB38" s="134"/>
      <c r="BMC38" s="135"/>
      <c r="BMD38" s="125">
        <v>0</v>
      </c>
      <c r="BME38" s="125">
        <v>40</v>
      </c>
      <c r="BMF38" s="127">
        <f>SUM(BME38)</f>
        <v>40</v>
      </c>
      <c r="BMG38" s="129" t="s">
        <v>46</v>
      </c>
      <c r="BMH38" s="131" t="s">
        <v>44</v>
      </c>
      <c r="BMI38" s="133" t="s">
        <v>45</v>
      </c>
      <c r="BMJ38" s="134"/>
      <c r="BMK38" s="135"/>
      <c r="BML38" s="125">
        <v>0</v>
      </c>
      <c r="BMM38" s="125">
        <v>40</v>
      </c>
      <c r="BMN38" s="127">
        <f>SUM(BMM38)</f>
        <v>40</v>
      </c>
      <c r="BMO38" s="129" t="s">
        <v>46</v>
      </c>
      <c r="BMP38" s="131" t="s">
        <v>44</v>
      </c>
      <c r="BMQ38" s="133" t="s">
        <v>45</v>
      </c>
      <c r="BMR38" s="134"/>
      <c r="BMS38" s="135"/>
      <c r="BMT38" s="125">
        <v>0</v>
      </c>
      <c r="BMU38" s="125">
        <v>40</v>
      </c>
      <c r="BMV38" s="127">
        <f>SUM(BMU38)</f>
        <v>40</v>
      </c>
      <c r="BMW38" s="129" t="s">
        <v>46</v>
      </c>
      <c r="BMX38" s="131" t="s">
        <v>44</v>
      </c>
      <c r="BMY38" s="133" t="s">
        <v>45</v>
      </c>
      <c r="BMZ38" s="134"/>
      <c r="BNA38" s="135"/>
      <c r="BNB38" s="125">
        <v>0</v>
      </c>
      <c r="BNC38" s="125">
        <v>40</v>
      </c>
      <c r="BND38" s="127">
        <f>SUM(BNC38)</f>
        <v>40</v>
      </c>
      <c r="BNE38" s="129" t="s">
        <v>46</v>
      </c>
      <c r="BNF38" s="131" t="s">
        <v>44</v>
      </c>
      <c r="BNG38" s="133" t="s">
        <v>45</v>
      </c>
      <c r="BNH38" s="134"/>
      <c r="BNI38" s="135"/>
      <c r="BNJ38" s="125">
        <v>0</v>
      </c>
      <c r="BNK38" s="125">
        <v>40</v>
      </c>
      <c r="BNL38" s="127">
        <f>SUM(BNK38)</f>
        <v>40</v>
      </c>
      <c r="BNM38" s="129" t="s">
        <v>46</v>
      </c>
      <c r="BNN38" s="131" t="s">
        <v>44</v>
      </c>
      <c r="BNO38" s="133" t="s">
        <v>45</v>
      </c>
      <c r="BNP38" s="134"/>
      <c r="BNQ38" s="135"/>
      <c r="BNR38" s="125">
        <v>0</v>
      </c>
      <c r="BNS38" s="125">
        <v>40</v>
      </c>
      <c r="BNT38" s="127">
        <f>SUM(BNS38)</f>
        <v>40</v>
      </c>
      <c r="BNU38" s="129" t="s">
        <v>46</v>
      </c>
      <c r="BNV38" s="131" t="s">
        <v>44</v>
      </c>
      <c r="BNW38" s="133" t="s">
        <v>45</v>
      </c>
      <c r="BNX38" s="134"/>
      <c r="BNY38" s="135"/>
      <c r="BNZ38" s="125">
        <v>0</v>
      </c>
      <c r="BOA38" s="125">
        <v>40</v>
      </c>
      <c r="BOB38" s="127">
        <f>SUM(BOA38)</f>
        <v>40</v>
      </c>
      <c r="BOC38" s="129" t="s">
        <v>46</v>
      </c>
      <c r="BOD38" s="131" t="s">
        <v>44</v>
      </c>
      <c r="BOE38" s="133" t="s">
        <v>45</v>
      </c>
      <c r="BOF38" s="134"/>
      <c r="BOG38" s="135"/>
      <c r="BOH38" s="125">
        <v>0</v>
      </c>
      <c r="BOI38" s="125">
        <v>40</v>
      </c>
      <c r="BOJ38" s="127">
        <f>SUM(BOI38)</f>
        <v>40</v>
      </c>
      <c r="BOK38" s="129" t="s">
        <v>46</v>
      </c>
      <c r="BOL38" s="131" t="s">
        <v>44</v>
      </c>
      <c r="BOM38" s="133" t="s">
        <v>45</v>
      </c>
      <c r="BON38" s="134"/>
      <c r="BOO38" s="135"/>
      <c r="BOP38" s="125">
        <v>0</v>
      </c>
      <c r="BOQ38" s="125">
        <v>40</v>
      </c>
      <c r="BOR38" s="127">
        <f>SUM(BOQ38)</f>
        <v>40</v>
      </c>
      <c r="BOS38" s="129" t="s">
        <v>46</v>
      </c>
      <c r="BOT38" s="131" t="s">
        <v>44</v>
      </c>
      <c r="BOU38" s="133" t="s">
        <v>45</v>
      </c>
      <c r="BOV38" s="134"/>
      <c r="BOW38" s="135"/>
      <c r="BOX38" s="125">
        <v>0</v>
      </c>
      <c r="BOY38" s="125">
        <v>40</v>
      </c>
      <c r="BOZ38" s="127">
        <f>SUM(BOY38)</f>
        <v>40</v>
      </c>
      <c r="BPA38" s="129" t="s">
        <v>46</v>
      </c>
      <c r="BPB38" s="131" t="s">
        <v>44</v>
      </c>
      <c r="BPC38" s="133" t="s">
        <v>45</v>
      </c>
      <c r="BPD38" s="134"/>
      <c r="BPE38" s="135"/>
      <c r="BPF38" s="125">
        <v>0</v>
      </c>
      <c r="BPG38" s="125">
        <v>40</v>
      </c>
      <c r="BPH38" s="127">
        <f>SUM(BPG38)</f>
        <v>40</v>
      </c>
      <c r="BPI38" s="129" t="s">
        <v>46</v>
      </c>
      <c r="BPJ38" s="131" t="s">
        <v>44</v>
      </c>
      <c r="BPK38" s="133" t="s">
        <v>45</v>
      </c>
      <c r="BPL38" s="134"/>
      <c r="BPM38" s="135"/>
      <c r="BPN38" s="125">
        <v>0</v>
      </c>
      <c r="BPO38" s="125">
        <v>40</v>
      </c>
      <c r="BPP38" s="127">
        <f>SUM(BPO38)</f>
        <v>40</v>
      </c>
      <c r="BPQ38" s="129" t="s">
        <v>46</v>
      </c>
      <c r="BPR38" s="131" t="s">
        <v>44</v>
      </c>
      <c r="BPS38" s="133" t="s">
        <v>45</v>
      </c>
      <c r="BPT38" s="134"/>
      <c r="BPU38" s="135"/>
      <c r="BPV38" s="125">
        <v>0</v>
      </c>
      <c r="BPW38" s="125">
        <v>40</v>
      </c>
      <c r="BPX38" s="127">
        <f>SUM(BPW38)</f>
        <v>40</v>
      </c>
      <c r="BPY38" s="129" t="s">
        <v>46</v>
      </c>
      <c r="BPZ38" s="131" t="s">
        <v>44</v>
      </c>
      <c r="BQA38" s="133" t="s">
        <v>45</v>
      </c>
      <c r="BQB38" s="134"/>
      <c r="BQC38" s="135"/>
      <c r="BQD38" s="125">
        <v>0</v>
      </c>
      <c r="BQE38" s="125">
        <v>40</v>
      </c>
      <c r="BQF38" s="127">
        <f>SUM(BQE38)</f>
        <v>40</v>
      </c>
      <c r="BQG38" s="129" t="s">
        <v>46</v>
      </c>
      <c r="BQH38" s="131" t="s">
        <v>44</v>
      </c>
      <c r="BQI38" s="133" t="s">
        <v>45</v>
      </c>
      <c r="BQJ38" s="134"/>
      <c r="BQK38" s="135"/>
      <c r="BQL38" s="125">
        <v>0</v>
      </c>
      <c r="BQM38" s="125">
        <v>40</v>
      </c>
      <c r="BQN38" s="127">
        <f>SUM(BQM38)</f>
        <v>40</v>
      </c>
      <c r="BQO38" s="129" t="s">
        <v>46</v>
      </c>
      <c r="BQP38" s="131" t="s">
        <v>44</v>
      </c>
      <c r="BQQ38" s="133" t="s">
        <v>45</v>
      </c>
      <c r="BQR38" s="134"/>
      <c r="BQS38" s="135"/>
      <c r="BQT38" s="125">
        <v>0</v>
      </c>
      <c r="BQU38" s="125">
        <v>40</v>
      </c>
      <c r="BQV38" s="127">
        <f>SUM(BQU38)</f>
        <v>40</v>
      </c>
      <c r="BQW38" s="129" t="s">
        <v>46</v>
      </c>
      <c r="BQX38" s="131" t="s">
        <v>44</v>
      </c>
      <c r="BQY38" s="133" t="s">
        <v>45</v>
      </c>
      <c r="BQZ38" s="134"/>
      <c r="BRA38" s="135"/>
      <c r="BRB38" s="125">
        <v>0</v>
      </c>
      <c r="BRC38" s="125">
        <v>40</v>
      </c>
      <c r="BRD38" s="127">
        <f>SUM(BRC38)</f>
        <v>40</v>
      </c>
      <c r="BRE38" s="129" t="s">
        <v>46</v>
      </c>
      <c r="BRF38" s="131" t="s">
        <v>44</v>
      </c>
      <c r="BRG38" s="133" t="s">
        <v>45</v>
      </c>
      <c r="BRH38" s="134"/>
      <c r="BRI38" s="135"/>
      <c r="BRJ38" s="125">
        <v>0</v>
      </c>
      <c r="BRK38" s="125">
        <v>40</v>
      </c>
      <c r="BRL38" s="127">
        <f>SUM(BRK38)</f>
        <v>40</v>
      </c>
      <c r="BRM38" s="129" t="s">
        <v>46</v>
      </c>
      <c r="BRN38" s="131" t="s">
        <v>44</v>
      </c>
      <c r="BRO38" s="133" t="s">
        <v>45</v>
      </c>
      <c r="BRP38" s="134"/>
      <c r="BRQ38" s="135"/>
      <c r="BRR38" s="125">
        <v>0</v>
      </c>
      <c r="BRS38" s="125">
        <v>40</v>
      </c>
      <c r="BRT38" s="127">
        <f>SUM(BRS38)</f>
        <v>40</v>
      </c>
      <c r="BRU38" s="129" t="s">
        <v>46</v>
      </c>
      <c r="BRV38" s="131" t="s">
        <v>44</v>
      </c>
      <c r="BRW38" s="133" t="s">
        <v>45</v>
      </c>
      <c r="BRX38" s="134"/>
      <c r="BRY38" s="135"/>
      <c r="BRZ38" s="125">
        <v>0</v>
      </c>
      <c r="BSA38" s="125">
        <v>40</v>
      </c>
      <c r="BSB38" s="127">
        <f>SUM(BSA38)</f>
        <v>40</v>
      </c>
      <c r="BSC38" s="129" t="s">
        <v>46</v>
      </c>
      <c r="BSD38" s="131" t="s">
        <v>44</v>
      </c>
      <c r="BSE38" s="133" t="s">
        <v>45</v>
      </c>
      <c r="BSF38" s="134"/>
      <c r="BSG38" s="135"/>
      <c r="BSH38" s="125">
        <v>0</v>
      </c>
      <c r="BSI38" s="125">
        <v>40</v>
      </c>
      <c r="BSJ38" s="127">
        <f>SUM(BSI38)</f>
        <v>40</v>
      </c>
      <c r="BSK38" s="129" t="s">
        <v>46</v>
      </c>
      <c r="BSL38" s="131" t="s">
        <v>44</v>
      </c>
      <c r="BSM38" s="133" t="s">
        <v>45</v>
      </c>
      <c r="BSN38" s="134"/>
      <c r="BSO38" s="135"/>
      <c r="BSP38" s="125">
        <v>0</v>
      </c>
      <c r="BSQ38" s="125">
        <v>40</v>
      </c>
      <c r="BSR38" s="127">
        <f>SUM(BSQ38)</f>
        <v>40</v>
      </c>
      <c r="BSS38" s="129" t="s">
        <v>46</v>
      </c>
      <c r="BST38" s="131" t="s">
        <v>44</v>
      </c>
      <c r="BSU38" s="133" t="s">
        <v>45</v>
      </c>
      <c r="BSV38" s="134"/>
      <c r="BSW38" s="135"/>
      <c r="BSX38" s="125">
        <v>0</v>
      </c>
      <c r="BSY38" s="125">
        <v>40</v>
      </c>
      <c r="BSZ38" s="127">
        <f>SUM(BSY38)</f>
        <v>40</v>
      </c>
      <c r="BTA38" s="129" t="s">
        <v>46</v>
      </c>
      <c r="BTB38" s="131" t="s">
        <v>44</v>
      </c>
      <c r="BTC38" s="133" t="s">
        <v>45</v>
      </c>
      <c r="BTD38" s="134"/>
      <c r="BTE38" s="135"/>
      <c r="BTF38" s="125">
        <v>0</v>
      </c>
      <c r="BTG38" s="125">
        <v>40</v>
      </c>
      <c r="BTH38" s="127">
        <f>SUM(BTG38)</f>
        <v>40</v>
      </c>
      <c r="BTI38" s="129" t="s">
        <v>46</v>
      </c>
      <c r="BTJ38" s="131" t="s">
        <v>44</v>
      </c>
      <c r="BTK38" s="133" t="s">
        <v>45</v>
      </c>
      <c r="BTL38" s="134"/>
      <c r="BTM38" s="135"/>
      <c r="BTN38" s="125">
        <v>0</v>
      </c>
      <c r="BTO38" s="125">
        <v>40</v>
      </c>
      <c r="BTP38" s="127">
        <f>SUM(BTO38)</f>
        <v>40</v>
      </c>
      <c r="BTQ38" s="129" t="s">
        <v>46</v>
      </c>
      <c r="BTR38" s="131" t="s">
        <v>44</v>
      </c>
      <c r="BTS38" s="133" t="s">
        <v>45</v>
      </c>
      <c r="BTT38" s="134"/>
      <c r="BTU38" s="135"/>
      <c r="BTV38" s="125">
        <v>0</v>
      </c>
      <c r="BTW38" s="125">
        <v>40</v>
      </c>
      <c r="BTX38" s="127">
        <f>SUM(BTW38)</f>
        <v>40</v>
      </c>
      <c r="BTY38" s="129" t="s">
        <v>46</v>
      </c>
      <c r="BTZ38" s="131" t="s">
        <v>44</v>
      </c>
      <c r="BUA38" s="133" t="s">
        <v>45</v>
      </c>
      <c r="BUB38" s="134"/>
      <c r="BUC38" s="135"/>
      <c r="BUD38" s="125">
        <v>0</v>
      </c>
      <c r="BUE38" s="125">
        <v>40</v>
      </c>
      <c r="BUF38" s="127">
        <f>SUM(BUE38)</f>
        <v>40</v>
      </c>
      <c r="BUG38" s="129" t="s">
        <v>46</v>
      </c>
      <c r="BUH38" s="131" t="s">
        <v>44</v>
      </c>
      <c r="BUI38" s="133" t="s">
        <v>45</v>
      </c>
      <c r="BUJ38" s="134"/>
      <c r="BUK38" s="135"/>
      <c r="BUL38" s="125">
        <v>0</v>
      </c>
      <c r="BUM38" s="125">
        <v>40</v>
      </c>
      <c r="BUN38" s="127">
        <f>SUM(BUM38)</f>
        <v>40</v>
      </c>
      <c r="BUO38" s="129" t="s">
        <v>46</v>
      </c>
      <c r="BUP38" s="131" t="s">
        <v>44</v>
      </c>
      <c r="BUQ38" s="133" t="s">
        <v>45</v>
      </c>
      <c r="BUR38" s="134"/>
      <c r="BUS38" s="135"/>
      <c r="BUT38" s="125">
        <v>0</v>
      </c>
      <c r="BUU38" s="125">
        <v>40</v>
      </c>
      <c r="BUV38" s="127">
        <f>SUM(BUU38)</f>
        <v>40</v>
      </c>
      <c r="BUW38" s="129" t="s">
        <v>46</v>
      </c>
      <c r="BUX38" s="131" t="s">
        <v>44</v>
      </c>
      <c r="BUY38" s="133" t="s">
        <v>45</v>
      </c>
      <c r="BUZ38" s="134"/>
      <c r="BVA38" s="135"/>
      <c r="BVB38" s="125">
        <v>0</v>
      </c>
      <c r="BVC38" s="125">
        <v>40</v>
      </c>
      <c r="BVD38" s="127">
        <f>SUM(BVC38)</f>
        <v>40</v>
      </c>
      <c r="BVE38" s="129" t="s">
        <v>46</v>
      </c>
      <c r="BVF38" s="131" t="s">
        <v>44</v>
      </c>
      <c r="BVG38" s="133" t="s">
        <v>45</v>
      </c>
      <c r="BVH38" s="134"/>
      <c r="BVI38" s="135"/>
      <c r="BVJ38" s="125">
        <v>0</v>
      </c>
      <c r="BVK38" s="125">
        <v>40</v>
      </c>
      <c r="BVL38" s="127">
        <f>SUM(BVK38)</f>
        <v>40</v>
      </c>
      <c r="BVM38" s="129" t="s">
        <v>46</v>
      </c>
      <c r="BVN38" s="131" t="s">
        <v>44</v>
      </c>
      <c r="BVO38" s="133" t="s">
        <v>45</v>
      </c>
      <c r="BVP38" s="134"/>
      <c r="BVQ38" s="135"/>
      <c r="BVR38" s="125">
        <v>0</v>
      </c>
      <c r="BVS38" s="125">
        <v>40</v>
      </c>
      <c r="BVT38" s="127">
        <f>SUM(BVS38)</f>
        <v>40</v>
      </c>
      <c r="BVU38" s="129" t="s">
        <v>46</v>
      </c>
      <c r="BVV38" s="131" t="s">
        <v>44</v>
      </c>
      <c r="BVW38" s="133" t="s">
        <v>45</v>
      </c>
      <c r="BVX38" s="134"/>
      <c r="BVY38" s="135"/>
      <c r="BVZ38" s="125">
        <v>0</v>
      </c>
      <c r="BWA38" s="125">
        <v>40</v>
      </c>
      <c r="BWB38" s="127">
        <f>SUM(BWA38)</f>
        <v>40</v>
      </c>
      <c r="BWC38" s="129" t="s">
        <v>46</v>
      </c>
      <c r="BWD38" s="131" t="s">
        <v>44</v>
      </c>
      <c r="BWE38" s="133" t="s">
        <v>45</v>
      </c>
      <c r="BWF38" s="134"/>
      <c r="BWG38" s="135"/>
      <c r="BWH38" s="125">
        <v>0</v>
      </c>
      <c r="BWI38" s="125">
        <v>40</v>
      </c>
      <c r="BWJ38" s="127">
        <f>SUM(BWI38)</f>
        <v>40</v>
      </c>
      <c r="BWK38" s="129" t="s">
        <v>46</v>
      </c>
      <c r="BWL38" s="131" t="s">
        <v>44</v>
      </c>
      <c r="BWM38" s="133" t="s">
        <v>45</v>
      </c>
      <c r="BWN38" s="134"/>
      <c r="BWO38" s="135"/>
      <c r="BWP38" s="125">
        <v>0</v>
      </c>
      <c r="BWQ38" s="125">
        <v>40</v>
      </c>
      <c r="BWR38" s="127">
        <f>SUM(BWQ38)</f>
        <v>40</v>
      </c>
      <c r="BWS38" s="129" t="s">
        <v>46</v>
      </c>
      <c r="BWT38" s="131" t="s">
        <v>44</v>
      </c>
      <c r="BWU38" s="133" t="s">
        <v>45</v>
      </c>
      <c r="BWV38" s="134"/>
      <c r="BWW38" s="135"/>
      <c r="BWX38" s="125">
        <v>0</v>
      </c>
      <c r="BWY38" s="125">
        <v>40</v>
      </c>
      <c r="BWZ38" s="127">
        <f>SUM(BWY38)</f>
        <v>40</v>
      </c>
      <c r="BXA38" s="129" t="s">
        <v>46</v>
      </c>
      <c r="BXB38" s="131" t="s">
        <v>44</v>
      </c>
      <c r="BXC38" s="133" t="s">
        <v>45</v>
      </c>
      <c r="BXD38" s="134"/>
      <c r="BXE38" s="135"/>
      <c r="BXF38" s="125">
        <v>0</v>
      </c>
      <c r="BXG38" s="125">
        <v>40</v>
      </c>
      <c r="BXH38" s="127">
        <f>SUM(BXG38)</f>
        <v>40</v>
      </c>
      <c r="BXI38" s="129" t="s">
        <v>46</v>
      </c>
      <c r="BXJ38" s="131" t="s">
        <v>44</v>
      </c>
      <c r="BXK38" s="133" t="s">
        <v>45</v>
      </c>
      <c r="BXL38" s="134"/>
      <c r="BXM38" s="135"/>
      <c r="BXN38" s="125">
        <v>0</v>
      </c>
      <c r="BXO38" s="125">
        <v>40</v>
      </c>
      <c r="BXP38" s="127">
        <f>SUM(BXO38)</f>
        <v>40</v>
      </c>
      <c r="BXQ38" s="129" t="s">
        <v>46</v>
      </c>
      <c r="BXR38" s="131" t="s">
        <v>44</v>
      </c>
      <c r="BXS38" s="133" t="s">
        <v>45</v>
      </c>
      <c r="BXT38" s="134"/>
      <c r="BXU38" s="135"/>
      <c r="BXV38" s="125">
        <v>0</v>
      </c>
      <c r="BXW38" s="125">
        <v>40</v>
      </c>
      <c r="BXX38" s="127">
        <f>SUM(BXW38)</f>
        <v>40</v>
      </c>
      <c r="BXY38" s="129" t="s">
        <v>46</v>
      </c>
      <c r="BXZ38" s="131" t="s">
        <v>44</v>
      </c>
      <c r="BYA38" s="133" t="s">
        <v>45</v>
      </c>
      <c r="BYB38" s="134"/>
      <c r="BYC38" s="135"/>
      <c r="BYD38" s="125">
        <v>0</v>
      </c>
      <c r="BYE38" s="125">
        <v>40</v>
      </c>
      <c r="BYF38" s="127">
        <f>SUM(BYE38)</f>
        <v>40</v>
      </c>
      <c r="BYG38" s="129" t="s">
        <v>46</v>
      </c>
      <c r="BYH38" s="131" t="s">
        <v>44</v>
      </c>
      <c r="BYI38" s="133" t="s">
        <v>45</v>
      </c>
      <c r="BYJ38" s="134"/>
      <c r="BYK38" s="135"/>
      <c r="BYL38" s="125">
        <v>0</v>
      </c>
      <c r="BYM38" s="125">
        <v>40</v>
      </c>
      <c r="BYN38" s="127">
        <f>SUM(BYM38)</f>
        <v>40</v>
      </c>
      <c r="BYO38" s="129" t="s">
        <v>46</v>
      </c>
      <c r="BYP38" s="131" t="s">
        <v>44</v>
      </c>
      <c r="BYQ38" s="133" t="s">
        <v>45</v>
      </c>
      <c r="BYR38" s="134"/>
      <c r="BYS38" s="135"/>
      <c r="BYT38" s="125">
        <v>0</v>
      </c>
      <c r="BYU38" s="125">
        <v>40</v>
      </c>
      <c r="BYV38" s="127">
        <f>SUM(BYU38)</f>
        <v>40</v>
      </c>
      <c r="BYW38" s="129" t="s">
        <v>46</v>
      </c>
      <c r="BYX38" s="131" t="s">
        <v>44</v>
      </c>
      <c r="BYY38" s="133" t="s">
        <v>45</v>
      </c>
      <c r="BYZ38" s="134"/>
      <c r="BZA38" s="135"/>
      <c r="BZB38" s="125">
        <v>0</v>
      </c>
      <c r="BZC38" s="125">
        <v>40</v>
      </c>
      <c r="BZD38" s="127">
        <f>SUM(BZC38)</f>
        <v>40</v>
      </c>
      <c r="BZE38" s="129" t="s">
        <v>46</v>
      </c>
      <c r="BZF38" s="131" t="s">
        <v>44</v>
      </c>
      <c r="BZG38" s="133" t="s">
        <v>45</v>
      </c>
      <c r="BZH38" s="134"/>
      <c r="BZI38" s="135"/>
      <c r="BZJ38" s="125">
        <v>0</v>
      </c>
      <c r="BZK38" s="125">
        <v>40</v>
      </c>
      <c r="BZL38" s="127">
        <f>SUM(BZK38)</f>
        <v>40</v>
      </c>
      <c r="BZM38" s="129" t="s">
        <v>46</v>
      </c>
      <c r="BZN38" s="131" t="s">
        <v>44</v>
      </c>
      <c r="BZO38" s="133" t="s">
        <v>45</v>
      </c>
      <c r="BZP38" s="134"/>
      <c r="BZQ38" s="135"/>
      <c r="BZR38" s="125">
        <v>0</v>
      </c>
      <c r="BZS38" s="125">
        <v>40</v>
      </c>
      <c r="BZT38" s="127">
        <f>SUM(BZS38)</f>
        <v>40</v>
      </c>
      <c r="BZU38" s="129" t="s">
        <v>46</v>
      </c>
      <c r="BZV38" s="131" t="s">
        <v>44</v>
      </c>
      <c r="BZW38" s="133" t="s">
        <v>45</v>
      </c>
      <c r="BZX38" s="134"/>
      <c r="BZY38" s="135"/>
      <c r="BZZ38" s="125">
        <v>0</v>
      </c>
      <c r="CAA38" s="125">
        <v>40</v>
      </c>
      <c r="CAB38" s="127">
        <f>SUM(CAA38)</f>
        <v>40</v>
      </c>
      <c r="CAC38" s="129" t="s">
        <v>46</v>
      </c>
      <c r="CAD38" s="131" t="s">
        <v>44</v>
      </c>
      <c r="CAE38" s="133" t="s">
        <v>45</v>
      </c>
      <c r="CAF38" s="134"/>
      <c r="CAG38" s="135"/>
      <c r="CAH38" s="125">
        <v>0</v>
      </c>
      <c r="CAI38" s="125">
        <v>40</v>
      </c>
      <c r="CAJ38" s="127">
        <f>SUM(CAI38)</f>
        <v>40</v>
      </c>
      <c r="CAK38" s="129" t="s">
        <v>46</v>
      </c>
      <c r="CAL38" s="131" t="s">
        <v>44</v>
      </c>
      <c r="CAM38" s="133" t="s">
        <v>45</v>
      </c>
      <c r="CAN38" s="134"/>
      <c r="CAO38" s="135"/>
      <c r="CAP38" s="125">
        <v>0</v>
      </c>
      <c r="CAQ38" s="125">
        <v>40</v>
      </c>
      <c r="CAR38" s="127">
        <f>SUM(CAQ38)</f>
        <v>40</v>
      </c>
      <c r="CAS38" s="129" t="s">
        <v>46</v>
      </c>
      <c r="CAT38" s="131" t="s">
        <v>44</v>
      </c>
      <c r="CAU38" s="133" t="s">
        <v>45</v>
      </c>
      <c r="CAV38" s="134"/>
      <c r="CAW38" s="135"/>
      <c r="CAX38" s="125">
        <v>0</v>
      </c>
      <c r="CAY38" s="125">
        <v>40</v>
      </c>
      <c r="CAZ38" s="127">
        <f>SUM(CAY38)</f>
        <v>40</v>
      </c>
      <c r="CBA38" s="129" t="s">
        <v>46</v>
      </c>
      <c r="CBB38" s="131" t="s">
        <v>44</v>
      </c>
      <c r="CBC38" s="133" t="s">
        <v>45</v>
      </c>
      <c r="CBD38" s="134"/>
      <c r="CBE38" s="135"/>
      <c r="CBF38" s="125">
        <v>0</v>
      </c>
      <c r="CBG38" s="125">
        <v>40</v>
      </c>
      <c r="CBH38" s="127">
        <f>SUM(CBG38)</f>
        <v>40</v>
      </c>
      <c r="CBI38" s="129" t="s">
        <v>46</v>
      </c>
      <c r="CBJ38" s="131" t="s">
        <v>44</v>
      </c>
      <c r="CBK38" s="133" t="s">
        <v>45</v>
      </c>
      <c r="CBL38" s="134"/>
      <c r="CBM38" s="135"/>
      <c r="CBN38" s="125">
        <v>0</v>
      </c>
      <c r="CBO38" s="125">
        <v>40</v>
      </c>
      <c r="CBP38" s="127">
        <f>SUM(CBO38)</f>
        <v>40</v>
      </c>
      <c r="CBQ38" s="129" t="s">
        <v>46</v>
      </c>
      <c r="CBR38" s="131" t="s">
        <v>44</v>
      </c>
      <c r="CBS38" s="133" t="s">
        <v>45</v>
      </c>
      <c r="CBT38" s="134"/>
      <c r="CBU38" s="135"/>
      <c r="CBV38" s="125">
        <v>0</v>
      </c>
      <c r="CBW38" s="125">
        <v>40</v>
      </c>
      <c r="CBX38" s="127">
        <f>SUM(CBW38)</f>
        <v>40</v>
      </c>
      <c r="CBY38" s="129" t="s">
        <v>46</v>
      </c>
      <c r="CBZ38" s="131" t="s">
        <v>44</v>
      </c>
      <c r="CCA38" s="133" t="s">
        <v>45</v>
      </c>
      <c r="CCB38" s="134"/>
      <c r="CCC38" s="135"/>
      <c r="CCD38" s="125">
        <v>0</v>
      </c>
      <c r="CCE38" s="125">
        <v>40</v>
      </c>
      <c r="CCF38" s="127">
        <f>SUM(CCE38)</f>
        <v>40</v>
      </c>
      <c r="CCG38" s="129" t="s">
        <v>46</v>
      </c>
      <c r="CCH38" s="131" t="s">
        <v>44</v>
      </c>
      <c r="CCI38" s="133" t="s">
        <v>45</v>
      </c>
      <c r="CCJ38" s="134"/>
      <c r="CCK38" s="135"/>
      <c r="CCL38" s="125">
        <v>0</v>
      </c>
      <c r="CCM38" s="125">
        <v>40</v>
      </c>
      <c r="CCN38" s="127">
        <f>SUM(CCM38)</f>
        <v>40</v>
      </c>
      <c r="CCO38" s="129" t="s">
        <v>46</v>
      </c>
      <c r="CCP38" s="131" t="s">
        <v>44</v>
      </c>
      <c r="CCQ38" s="133" t="s">
        <v>45</v>
      </c>
      <c r="CCR38" s="134"/>
      <c r="CCS38" s="135"/>
      <c r="CCT38" s="125">
        <v>0</v>
      </c>
      <c r="CCU38" s="125">
        <v>40</v>
      </c>
      <c r="CCV38" s="127">
        <f>SUM(CCU38)</f>
        <v>40</v>
      </c>
      <c r="CCW38" s="129" t="s">
        <v>46</v>
      </c>
      <c r="CCX38" s="131" t="s">
        <v>44</v>
      </c>
      <c r="CCY38" s="133" t="s">
        <v>45</v>
      </c>
      <c r="CCZ38" s="134"/>
      <c r="CDA38" s="135"/>
      <c r="CDB38" s="125">
        <v>0</v>
      </c>
      <c r="CDC38" s="125">
        <v>40</v>
      </c>
      <c r="CDD38" s="127">
        <f>SUM(CDC38)</f>
        <v>40</v>
      </c>
      <c r="CDE38" s="129" t="s">
        <v>46</v>
      </c>
      <c r="CDF38" s="131" t="s">
        <v>44</v>
      </c>
      <c r="CDG38" s="133" t="s">
        <v>45</v>
      </c>
      <c r="CDH38" s="134"/>
      <c r="CDI38" s="135"/>
      <c r="CDJ38" s="125">
        <v>0</v>
      </c>
      <c r="CDK38" s="125">
        <v>40</v>
      </c>
      <c r="CDL38" s="127">
        <f>SUM(CDK38)</f>
        <v>40</v>
      </c>
      <c r="CDM38" s="129" t="s">
        <v>46</v>
      </c>
      <c r="CDN38" s="131" t="s">
        <v>44</v>
      </c>
      <c r="CDO38" s="133" t="s">
        <v>45</v>
      </c>
      <c r="CDP38" s="134"/>
      <c r="CDQ38" s="135"/>
      <c r="CDR38" s="125">
        <v>0</v>
      </c>
      <c r="CDS38" s="125">
        <v>40</v>
      </c>
      <c r="CDT38" s="127">
        <f>SUM(CDS38)</f>
        <v>40</v>
      </c>
      <c r="CDU38" s="129" t="s">
        <v>46</v>
      </c>
      <c r="CDV38" s="131" t="s">
        <v>44</v>
      </c>
      <c r="CDW38" s="133" t="s">
        <v>45</v>
      </c>
      <c r="CDX38" s="134"/>
      <c r="CDY38" s="135"/>
      <c r="CDZ38" s="125">
        <v>0</v>
      </c>
      <c r="CEA38" s="125">
        <v>40</v>
      </c>
      <c r="CEB38" s="127">
        <f>SUM(CEA38)</f>
        <v>40</v>
      </c>
      <c r="CEC38" s="129" t="s">
        <v>46</v>
      </c>
      <c r="CED38" s="131" t="s">
        <v>44</v>
      </c>
      <c r="CEE38" s="133" t="s">
        <v>45</v>
      </c>
      <c r="CEF38" s="134"/>
      <c r="CEG38" s="135"/>
      <c r="CEH38" s="125">
        <v>0</v>
      </c>
      <c r="CEI38" s="125">
        <v>40</v>
      </c>
      <c r="CEJ38" s="127">
        <f>SUM(CEI38)</f>
        <v>40</v>
      </c>
      <c r="CEK38" s="129" t="s">
        <v>46</v>
      </c>
      <c r="CEL38" s="131" t="s">
        <v>44</v>
      </c>
      <c r="CEM38" s="133" t="s">
        <v>45</v>
      </c>
      <c r="CEN38" s="134"/>
      <c r="CEO38" s="135"/>
      <c r="CEP38" s="125">
        <v>0</v>
      </c>
      <c r="CEQ38" s="125">
        <v>40</v>
      </c>
      <c r="CER38" s="127">
        <f>SUM(CEQ38)</f>
        <v>40</v>
      </c>
      <c r="CES38" s="129" t="s">
        <v>46</v>
      </c>
      <c r="CET38" s="131" t="s">
        <v>44</v>
      </c>
      <c r="CEU38" s="133" t="s">
        <v>45</v>
      </c>
      <c r="CEV38" s="134"/>
      <c r="CEW38" s="135"/>
      <c r="CEX38" s="125">
        <v>0</v>
      </c>
      <c r="CEY38" s="125">
        <v>40</v>
      </c>
      <c r="CEZ38" s="127">
        <f>SUM(CEY38)</f>
        <v>40</v>
      </c>
      <c r="CFA38" s="129" t="s">
        <v>46</v>
      </c>
      <c r="CFB38" s="131" t="s">
        <v>44</v>
      </c>
      <c r="CFC38" s="133" t="s">
        <v>45</v>
      </c>
      <c r="CFD38" s="134"/>
      <c r="CFE38" s="135"/>
      <c r="CFF38" s="125">
        <v>0</v>
      </c>
      <c r="CFG38" s="125">
        <v>40</v>
      </c>
      <c r="CFH38" s="127">
        <f>SUM(CFG38)</f>
        <v>40</v>
      </c>
      <c r="CFI38" s="129" t="s">
        <v>46</v>
      </c>
      <c r="CFJ38" s="131" t="s">
        <v>44</v>
      </c>
      <c r="CFK38" s="133" t="s">
        <v>45</v>
      </c>
      <c r="CFL38" s="134"/>
      <c r="CFM38" s="135"/>
      <c r="CFN38" s="125">
        <v>0</v>
      </c>
      <c r="CFO38" s="125">
        <v>40</v>
      </c>
      <c r="CFP38" s="127">
        <f>SUM(CFO38)</f>
        <v>40</v>
      </c>
      <c r="CFQ38" s="129" t="s">
        <v>46</v>
      </c>
      <c r="CFR38" s="131" t="s">
        <v>44</v>
      </c>
      <c r="CFS38" s="133" t="s">
        <v>45</v>
      </c>
      <c r="CFT38" s="134"/>
      <c r="CFU38" s="135"/>
      <c r="CFV38" s="125">
        <v>0</v>
      </c>
      <c r="CFW38" s="125">
        <v>40</v>
      </c>
      <c r="CFX38" s="127">
        <f>SUM(CFW38)</f>
        <v>40</v>
      </c>
      <c r="CFY38" s="129" t="s">
        <v>46</v>
      </c>
      <c r="CFZ38" s="131" t="s">
        <v>44</v>
      </c>
      <c r="CGA38" s="133" t="s">
        <v>45</v>
      </c>
      <c r="CGB38" s="134"/>
      <c r="CGC38" s="135"/>
      <c r="CGD38" s="125">
        <v>0</v>
      </c>
      <c r="CGE38" s="125">
        <v>40</v>
      </c>
      <c r="CGF38" s="127">
        <f>SUM(CGE38)</f>
        <v>40</v>
      </c>
      <c r="CGG38" s="129" t="s">
        <v>46</v>
      </c>
      <c r="CGH38" s="131" t="s">
        <v>44</v>
      </c>
      <c r="CGI38" s="133" t="s">
        <v>45</v>
      </c>
      <c r="CGJ38" s="134"/>
      <c r="CGK38" s="135"/>
      <c r="CGL38" s="125">
        <v>0</v>
      </c>
      <c r="CGM38" s="125">
        <v>40</v>
      </c>
      <c r="CGN38" s="127">
        <f>SUM(CGM38)</f>
        <v>40</v>
      </c>
      <c r="CGO38" s="129" t="s">
        <v>46</v>
      </c>
      <c r="CGP38" s="131" t="s">
        <v>44</v>
      </c>
      <c r="CGQ38" s="133" t="s">
        <v>45</v>
      </c>
      <c r="CGR38" s="134"/>
      <c r="CGS38" s="135"/>
      <c r="CGT38" s="125">
        <v>0</v>
      </c>
      <c r="CGU38" s="125">
        <v>40</v>
      </c>
      <c r="CGV38" s="127">
        <f>SUM(CGU38)</f>
        <v>40</v>
      </c>
      <c r="CGW38" s="129" t="s">
        <v>46</v>
      </c>
      <c r="CGX38" s="131" t="s">
        <v>44</v>
      </c>
      <c r="CGY38" s="133" t="s">
        <v>45</v>
      </c>
      <c r="CGZ38" s="134"/>
      <c r="CHA38" s="135"/>
      <c r="CHB38" s="125">
        <v>0</v>
      </c>
      <c r="CHC38" s="125">
        <v>40</v>
      </c>
      <c r="CHD38" s="127">
        <f>SUM(CHC38)</f>
        <v>40</v>
      </c>
      <c r="CHE38" s="129" t="s">
        <v>46</v>
      </c>
      <c r="CHF38" s="131" t="s">
        <v>44</v>
      </c>
      <c r="CHG38" s="133" t="s">
        <v>45</v>
      </c>
      <c r="CHH38" s="134"/>
      <c r="CHI38" s="135"/>
      <c r="CHJ38" s="125">
        <v>0</v>
      </c>
      <c r="CHK38" s="125">
        <v>40</v>
      </c>
      <c r="CHL38" s="127">
        <f>SUM(CHK38)</f>
        <v>40</v>
      </c>
      <c r="CHM38" s="129" t="s">
        <v>46</v>
      </c>
      <c r="CHN38" s="131" t="s">
        <v>44</v>
      </c>
      <c r="CHO38" s="133" t="s">
        <v>45</v>
      </c>
      <c r="CHP38" s="134"/>
      <c r="CHQ38" s="135"/>
      <c r="CHR38" s="125">
        <v>0</v>
      </c>
      <c r="CHS38" s="125">
        <v>40</v>
      </c>
      <c r="CHT38" s="127">
        <f>SUM(CHS38)</f>
        <v>40</v>
      </c>
      <c r="CHU38" s="129" t="s">
        <v>46</v>
      </c>
      <c r="CHV38" s="131" t="s">
        <v>44</v>
      </c>
      <c r="CHW38" s="133" t="s">
        <v>45</v>
      </c>
      <c r="CHX38" s="134"/>
      <c r="CHY38" s="135"/>
      <c r="CHZ38" s="125">
        <v>0</v>
      </c>
      <c r="CIA38" s="125">
        <v>40</v>
      </c>
      <c r="CIB38" s="127">
        <f>SUM(CIA38)</f>
        <v>40</v>
      </c>
      <c r="CIC38" s="129" t="s">
        <v>46</v>
      </c>
      <c r="CID38" s="131" t="s">
        <v>44</v>
      </c>
      <c r="CIE38" s="133" t="s">
        <v>45</v>
      </c>
      <c r="CIF38" s="134"/>
      <c r="CIG38" s="135"/>
      <c r="CIH38" s="125">
        <v>0</v>
      </c>
      <c r="CII38" s="125">
        <v>40</v>
      </c>
      <c r="CIJ38" s="127">
        <f>SUM(CII38)</f>
        <v>40</v>
      </c>
      <c r="CIK38" s="129" t="s">
        <v>46</v>
      </c>
      <c r="CIL38" s="131" t="s">
        <v>44</v>
      </c>
      <c r="CIM38" s="133" t="s">
        <v>45</v>
      </c>
      <c r="CIN38" s="134"/>
      <c r="CIO38" s="135"/>
      <c r="CIP38" s="125">
        <v>0</v>
      </c>
      <c r="CIQ38" s="125">
        <v>40</v>
      </c>
      <c r="CIR38" s="127">
        <f>SUM(CIQ38)</f>
        <v>40</v>
      </c>
      <c r="CIS38" s="129" t="s">
        <v>46</v>
      </c>
      <c r="CIT38" s="131" t="s">
        <v>44</v>
      </c>
      <c r="CIU38" s="133" t="s">
        <v>45</v>
      </c>
      <c r="CIV38" s="134"/>
      <c r="CIW38" s="135"/>
      <c r="CIX38" s="125">
        <v>0</v>
      </c>
      <c r="CIY38" s="125">
        <v>40</v>
      </c>
      <c r="CIZ38" s="127">
        <f>SUM(CIY38)</f>
        <v>40</v>
      </c>
      <c r="CJA38" s="129" t="s">
        <v>46</v>
      </c>
      <c r="CJB38" s="131" t="s">
        <v>44</v>
      </c>
      <c r="CJC38" s="133" t="s">
        <v>45</v>
      </c>
      <c r="CJD38" s="134"/>
      <c r="CJE38" s="135"/>
      <c r="CJF38" s="125">
        <v>0</v>
      </c>
      <c r="CJG38" s="125">
        <v>40</v>
      </c>
      <c r="CJH38" s="127">
        <f>SUM(CJG38)</f>
        <v>40</v>
      </c>
      <c r="CJI38" s="129" t="s">
        <v>46</v>
      </c>
      <c r="CJJ38" s="131" t="s">
        <v>44</v>
      </c>
      <c r="CJK38" s="133" t="s">
        <v>45</v>
      </c>
      <c r="CJL38" s="134"/>
      <c r="CJM38" s="135"/>
      <c r="CJN38" s="125">
        <v>0</v>
      </c>
      <c r="CJO38" s="125">
        <v>40</v>
      </c>
      <c r="CJP38" s="127">
        <f>SUM(CJO38)</f>
        <v>40</v>
      </c>
      <c r="CJQ38" s="129" t="s">
        <v>46</v>
      </c>
      <c r="CJR38" s="131" t="s">
        <v>44</v>
      </c>
      <c r="CJS38" s="133" t="s">
        <v>45</v>
      </c>
      <c r="CJT38" s="134"/>
      <c r="CJU38" s="135"/>
      <c r="CJV38" s="125">
        <v>0</v>
      </c>
      <c r="CJW38" s="125">
        <v>40</v>
      </c>
      <c r="CJX38" s="127">
        <f>SUM(CJW38)</f>
        <v>40</v>
      </c>
      <c r="CJY38" s="129" t="s">
        <v>46</v>
      </c>
      <c r="CJZ38" s="131" t="s">
        <v>44</v>
      </c>
      <c r="CKA38" s="133" t="s">
        <v>45</v>
      </c>
      <c r="CKB38" s="134"/>
      <c r="CKC38" s="135"/>
      <c r="CKD38" s="125">
        <v>0</v>
      </c>
      <c r="CKE38" s="125">
        <v>40</v>
      </c>
      <c r="CKF38" s="127">
        <f>SUM(CKE38)</f>
        <v>40</v>
      </c>
      <c r="CKG38" s="129" t="s">
        <v>46</v>
      </c>
      <c r="CKH38" s="131" t="s">
        <v>44</v>
      </c>
      <c r="CKI38" s="133" t="s">
        <v>45</v>
      </c>
      <c r="CKJ38" s="134"/>
      <c r="CKK38" s="135"/>
      <c r="CKL38" s="125">
        <v>0</v>
      </c>
      <c r="CKM38" s="125">
        <v>40</v>
      </c>
      <c r="CKN38" s="127">
        <f>SUM(CKM38)</f>
        <v>40</v>
      </c>
      <c r="CKO38" s="129" t="s">
        <v>46</v>
      </c>
      <c r="CKP38" s="131" t="s">
        <v>44</v>
      </c>
      <c r="CKQ38" s="133" t="s">
        <v>45</v>
      </c>
      <c r="CKR38" s="134"/>
      <c r="CKS38" s="135"/>
      <c r="CKT38" s="125">
        <v>0</v>
      </c>
      <c r="CKU38" s="125">
        <v>40</v>
      </c>
      <c r="CKV38" s="127">
        <f>SUM(CKU38)</f>
        <v>40</v>
      </c>
      <c r="CKW38" s="129" t="s">
        <v>46</v>
      </c>
      <c r="CKX38" s="131" t="s">
        <v>44</v>
      </c>
      <c r="CKY38" s="133" t="s">
        <v>45</v>
      </c>
      <c r="CKZ38" s="134"/>
      <c r="CLA38" s="135"/>
      <c r="CLB38" s="125">
        <v>0</v>
      </c>
      <c r="CLC38" s="125">
        <v>40</v>
      </c>
      <c r="CLD38" s="127">
        <f>SUM(CLC38)</f>
        <v>40</v>
      </c>
      <c r="CLE38" s="129" t="s">
        <v>46</v>
      </c>
      <c r="CLF38" s="131" t="s">
        <v>44</v>
      </c>
      <c r="CLG38" s="133" t="s">
        <v>45</v>
      </c>
      <c r="CLH38" s="134"/>
      <c r="CLI38" s="135"/>
      <c r="CLJ38" s="125">
        <v>0</v>
      </c>
      <c r="CLK38" s="125">
        <v>40</v>
      </c>
      <c r="CLL38" s="127">
        <f>SUM(CLK38)</f>
        <v>40</v>
      </c>
      <c r="CLM38" s="129" t="s">
        <v>46</v>
      </c>
      <c r="CLN38" s="131" t="s">
        <v>44</v>
      </c>
      <c r="CLO38" s="133" t="s">
        <v>45</v>
      </c>
      <c r="CLP38" s="134"/>
      <c r="CLQ38" s="135"/>
      <c r="CLR38" s="125">
        <v>0</v>
      </c>
      <c r="CLS38" s="125">
        <v>40</v>
      </c>
      <c r="CLT38" s="127">
        <f>SUM(CLS38)</f>
        <v>40</v>
      </c>
      <c r="CLU38" s="129" t="s">
        <v>46</v>
      </c>
      <c r="CLV38" s="131" t="s">
        <v>44</v>
      </c>
      <c r="CLW38" s="133" t="s">
        <v>45</v>
      </c>
      <c r="CLX38" s="134"/>
      <c r="CLY38" s="135"/>
      <c r="CLZ38" s="125">
        <v>0</v>
      </c>
      <c r="CMA38" s="125">
        <v>40</v>
      </c>
      <c r="CMB38" s="127">
        <f>SUM(CMA38)</f>
        <v>40</v>
      </c>
      <c r="CMC38" s="129" t="s">
        <v>46</v>
      </c>
      <c r="CMD38" s="131" t="s">
        <v>44</v>
      </c>
      <c r="CME38" s="133" t="s">
        <v>45</v>
      </c>
      <c r="CMF38" s="134"/>
      <c r="CMG38" s="135"/>
      <c r="CMH38" s="125">
        <v>0</v>
      </c>
      <c r="CMI38" s="125">
        <v>40</v>
      </c>
      <c r="CMJ38" s="127">
        <f>SUM(CMI38)</f>
        <v>40</v>
      </c>
      <c r="CMK38" s="129" t="s">
        <v>46</v>
      </c>
      <c r="CML38" s="131" t="s">
        <v>44</v>
      </c>
      <c r="CMM38" s="133" t="s">
        <v>45</v>
      </c>
      <c r="CMN38" s="134"/>
      <c r="CMO38" s="135"/>
      <c r="CMP38" s="125">
        <v>0</v>
      </c>
      <c r="CMQ38" s="125">
        <v>40</v>
      </c>
      <c r="CMR38" s="127">
        <f>SUM(CMQ38)</f>
        <v>40</v>
      </c>
      <c r="CMS38" s="129" t="s">
        <v>46</v>
      </c>
      <c r="CMT38" s="131" t="s">
        <v>44</v>
      </c>
      <c r="CMU38" s="133" t="s">
        <v>45</v>
      </c>
      <c r="CMV38" s="134"/>
      <c r="CMW38" s="135"/>
      <c r="CMX38" s="125">
        <v>0</v>
      </c>
      <c r="CMY38" s="125">
        <v>40</v>
      </c>
      <c r="CMZ38" s="127">
        <f>SUM(CMY38)</f>
        <v>40</v>
      </c>
      <c r="CNA38" s="129" t="s">
        <v>46</v>
      </c>
      <c r="CNB38" s="131" t="s">
        <v>44</v>
      </c>
      <c r="CNC38" s="133" t="s">
        <v>45</v>
      </c>
      <c r="CND38" s="134"/>
      <c r="CNE38" s="135"/>
      <c r="CNF38" s="125">
        <v>0</v>
      </c>
      <c r="CNG38" s="125">
        <v>40</v>
      </c>
      <c r="CNH38" s="127">
        <f>SUM(CNG38)</f>
        <v>40</v>
      </c>
      <c r="CNI38" s="129" t="s">
        <v>46</v>
      </c>
      <c r="CNJ38" s="131" t="s">
        <v>44</v>
      </c>
      <c r="CNK38" s="133" t="s">
        <v>45</v>
      </c>
      <c r="CNL38" s="134"/>
      <c r="CNM38" s="135"/>
      <c r="CNN38" s="125">
        <v>0</v>
      </c>
      <c r="CNO38" s="125">
        <v>40</v>
      </c>
      <c r="CNP38" s="127">
        <f>SUM(CNO38)</f>
        <v>40</v>
      </c>
      <c r="CNQ38" s="129" t="s">
        <v>46</v>
      </c>
      <c r="CNR38" s="131" t="s">
        <v>44</v>
      </c>
      <c r="CNS38" s="133" t="s">
        <v>45</v>
      </c>
      <c r="CNT38" s="134"/>
      <c r="CNU38" s="135"/>
      <c r="CNV38" s="125">
        <v>0</v>
      </c>
      <c r="CNW38" s="125">
        <v>40</v>
      </c>
      <c r="CNX38" s="127">
        <f>SUM(CNW38)</f>
        <v>40</v>
      </c>
      <c r="CNY38" s="129" t="s">
        <v>46</v>
      </c>
      <c r="CNZ38" s="131" t="s">
        <v>44</v>
      </c>
      <c r="COA38" s="133" t="s">
        <v>45</v>
      </c>
      <c r="COB38" s="134"/>
      <c r="COC38" s="135"/>
      <c r="COD38" s="125">
        <v>0</v>
      </c>
      <c r="COE38" s="125">
        <v>40</v>
      </c>
      <c r="COF38" s="127">
        <f>SUM(COE38)</f>
        <v>40</v>
      </c>
      <c r="COG38" s="129" t="s">
        <v>46</v>
      </c>
      <c r="COH38" s="131" t="s">
        <v>44</v>
      </c>
      <c r="COI38" s="133" t="s">
        <v>45</v>
      </c>
      <c r="COJ38" s="134"/>
      <c r="COK38" s="135"/>
      <c r="COL38" s="125">
        <v>0</v>
      </c>
      <c r="COM38" s="125">
        <v>40</v>
      </c>
      <c r="CON38" s="127">
        <f>SUM(COM38)</f>
        <v>40</v>
      </c>
      <c r="COO38" s="129" t="s">
        <v>46</v>
      </c>
      <c r="COP38" s="131" t="s">
        <v>44</v>
      </c>
      <c r="COQ38" s="133" t="s">
        <v>45</v>
      </c>
      <c r="COR38" s="134"/>
      <c r="COS38" s="135"/>
      <c r="COT38" s="125">
        <v>0</v>
      </c>
      <c r="COU38" s="125">
        <v>40</v>
      </c>
      <c r="COV38" s="127">
        <f>SUM(COU38)</f>
        <v>40</v>
      </c>
      <c r="COW38" s="129" t="s">
        <v>46</v>
      </c>
      <c r="COX38" s="131" t="s">
        <v>44</v>
      </c>
      <c r="COY38" s="133" t="s">
        <v>45</v>
      </c>
      <c r="COZ38" s="134"/>
      <c r="CPA38" s="135"/>
      <c r="CPB38" s="125">
        <v>0</v>
      </c>
      <c r="CPC38" s="125">
        <v>40</v>
      </c>
      <c r="CPD38" s="127">
        <f>SUM(CPC38)</f>
        <v>40</v>
      </c>
      <c r="CPE38" s="129" t="s">
        <v>46</v>
      </c>
      <c r="CPF38" s="131" t="s">
        <v>44</v>
      </c>
      <c r="CPG38" s="133" t="s">
        <v>45</v>
      </c>
      <c r="CPH38" s="134"/>
      <c r="CPI38" s="135"/>
      <c r="CPJ38" s="125">
        <v>0</v>
      </c>
      <c r="CPK38" s="125">
        <v>40</v>
      </c>
      <c r="CPL38" s="127">
        <f>SUM(CPK38)</f>
        <v>40</v>
      </c>
      <c r="CPM38" s="129" t="s">
        <v>46</v>
      </c>
      <c r="CPN38" s="131" t="s">
        <v>44</v>
      </c>
      <c r="CPO38" s="133" t="s">
        <v>45</v>
      </c>
      <c r="CPP38" s="134"/>
      <c r="CPQ38" s="135"/>
      <c r="CPR38" s="125">
        <v>0</v>
      </c>
      <c r="CPS38" s="125">
        <v>40</v>
      </c>
      <c r="CPT38" s="127">
        <f>SUM(CPS38)</f>
        <v>40</v>
      </c>
      <c r="CPU38" s="129" t="s">
        <v>46</v>
      </c>
      <c r="CPV38" s="131" t="s">
        <v>44</v>
      </c>
      <c r="CPW38" s="133" t="s">
        <v>45</v>
      </c>
      <c r="CPX38" s="134"/>
      <c r="CPY38" s="135"/>
      <c r="CPZ38" s="125">
        <v>0</v>
      </c>
      <c r="CQA38" s="125">
        <v>40</v>
      </c>
      <c r="CQB38" s="127">
        <f>SUM(CQA38)</f>
        <v>40</v>
      </c>
      <c r="CQC38" s="129" t="s">
        <v>46</v>
      </c>
      <c r="CQD38" s="131" t="s">
        <v>44</v>
      </c>
      <c r="CQE38" s="133" t="s">
        <v>45</v>
      </c>
      <c r="CQF38" s="134"/>
      <c r="CQG38" s="135"/>
      <c r="CQH38" s="125">
        <v>0</v>
      </c>
      <c r="CQI38" s="125">
        <v>40</v>
      </c>
      <c r="CQJ38" s="127">
        <f>SUM(CQI38)</f>
        <v>40</v>
      </c>
      <c r="CQK38" s="129" t="s">
        <v>46</v>
      </c>
      <c r="CQL38" s="131" t="s">
        <v>44</v>
      </c>
      <c r="CQM38" s="133" t="s">
        <v>45</v>
      </c>
      <c r="CQN38" s="134"/>
      <c r="CQO38" s="135"/>
      <c r="CQP38" s="125">
        <v>0</v>
      </c>
      <c r="CQQ38" s="125">
        <v>40</v>
      </c>
      <c r="CQR38" s="127">
        <f>SUM(CQQ38)</f>
        <v>40</v>
      </c>
      <c r="CQS38" s="129" t="s">
        <v>46</v>
      </c>
      <c r="CQT38" s="131" t="s">
        <v>44</v>
      </c>
      <c r="CQU38" s="133" t="s">
        <v>45</v>
      </c>
      <c r="CQV38" s="134"/>
      <c r="CQW38" s="135"/>
      <c r="CQX38" s="125">
        <v>0</v>
      </c>
      <c r="CQY38" s="125">
        <v>40</v>
      </c>
      <c r="CQZ38" s="127">
        <f>SUM(CQY38)</f>
        <v>40</v>
      </c>
      <c r="CRA38" s="129" t="s">
        <v>46</v>
      </c>
      <c r="CRB38" s="131" t="s">
        <v>44</v>
      </c>
      <c r="CRC38" s="133" t="s">
        <v>45</v>
      </c>
      <c r="CRD38" s="134"/>
      <c r="CRE38" s="135"/>
      <c r="CRF38" s="125">
        <v>0</v>
      </c>
      <c r="CRG38" s="125">
        <v>40</v>
      </c>
      <c r="CRH38" s="127">
        <f>SUM(CRG38)</f>
        <v>40</v>
      </c>
      <c r="CRI38" s="129" t="s">
        <v>46</v>
      </c>
      <c r="CRJ38" s="131" t="s">
        <v>44</v>
      </c>
      <c r="CRK38" s="133" t="s">
        <v>45</v>
      </c>
      <c r="CRL38" s="134"/>
      <c r="CRM38" s="135"/>
      <c r="CRN38" s="125">
        <v>0</v>
      </c>
      <c r="CRO38" s="125">
        <v>40</v>
      </c>
      <c r="CRP38" s="127">
        <f>SUM(CRO38)</f>
        <v>40</v>
      </c>
      <c r="CRQ38" s="129" t="s">
        <v>46</v>
      </c>
      <c r="CRR38" s="131" t="s">
        <v>44</v>
      </c>
      <c r="CRS38" s="133" t="s">
        <v>45</v>
      </c>
      <c r="CRT38" s="134"/>
      <c r="CRU38" s="135"/>
      <c r="CRV38" s="125">
        <v>0</v>
      </c>
      <c r="CRW38" s="125">
        <v>40</v>
      </c>
      <c r="CRX38" s="127">
        <f>SUM(CRW38)</f>
        <v>40</v>
      </c>
      <c r="CRY38" s="129" t="s">
        <v>46</v>
      </c>
      <c r="CRZ38" s="131" t="s">
        <v>44</v>
      </c>
      <c r="CSA38" s="133" t="s">
        <v>45</v>
      </c>
      <c r="CSB38" s="134"/>
      <c r="CSC38" s="135"/>
      <c r="CSD38" s="125">
        <v>0</v>
      </c>
      <c r="CSE38" s="125">
        <v>40</v>
      </c>
      <c r="CSF38" s="127">
        <f>SUM(CSE38)</f>
        <v>40</v>
      </c>
      <c r="CSG38" s="129" t="s">
        <v>46</v>
      </c>
      <c r="CSH38" s="131" t="s">
        <v>44</v>
      </c>
      <c r="CSI38" s="133" t="s">
        <v>45</v>
      </c>
      <c r="CSJ38" s="134"/>
      <c r="CSK38" s="135"/>
      <c r="CSL38" s="125">
        <v>0</v>
      </c>
      <c r="CSM38" s="125">
        <v>40</v>
      </c>
      <c r="CSN38" s="127">
        <f>SUM(CSM38)</f>
        <v>40</v>
      </c>
      <c r="CSO38" s="129" t="s">
        <v>46</v>
      </c>
      <c r="CSP38" s="131" t="s">
        <v>44</v>
      </c>
      <c r="CSQ38" s="133" t="s">
        <v>45</v>
      </c>
      <c r="CSR38" s="134"/>
      <c r="CSS38" s="135"/>
      <c r="CST38" s="125">
        <v>0</v>
      </c>
      <c r="CSU38" s="125">
        <v>40</v>
      </c>
      <c r="CSV38" s="127">
        <f>SUM(CSU38)</f>
        <v>40</v>
      </c>
      <c r="CSW38" s="129" t="s">
        <v>46</v>
      </c>
      <c r="CSX38" s="131" t="s">
        <v>44</v>
      </c>
      <c r="CSY38" s="133" t="s">
        <v>45</v>
      </c>
      <c r="CSZ38" s="134"/>
      <c r="CTA38" s="135"/>
      <c r="CTB38" s="125">
        <v>0</v>
      </c>
      <c r="CTC38" s="125">
        <v>40</v>
      </c>
      <c r="CTD38" s="127">
        <f>SUM(CTC38)</f>
        <v>40</v>
      </c>
      <c r="CTE38" s="129" t="s">
        <v>46</v>
      </c>
      <c r="CTF38" s="131" t="s">
        <v>44</v>
      </c>
      <c r="CTG38" s="133" t="s">
        <v>45</v>
      </c>
      <c r="CTH38" s="134"/>
      <c r="CTI38" s="135"/>
      <c r="CTJ38" s="125">
        <v>0</v>
      </c>
      <c r="CTK38" s="125">
        <v>40</v>
      </c>
      <c r="CTL38" s="127">
        <f>SUM(CTK38)</f>
        <v>40</v>
      </c>
      <c r="CTM38" s="129" t="s">
        <v>46</v>
      </c>
      <c r="CTN38" s="131" t="s">
        <v>44</v>
      </c>
      <c r="CTO38" s="133" t="s">
        <v>45</v>
      </c>
      <c r="CTP38" s="134"/>
      <c r="CTQ38" s="135"/>
      <c r="CTR38" s="125">
        <v>0</v>
      </c>
      <c r="CTS38" s="125">
        <v>40</v>
      </c>
      <c r="CTT38" s="127">
        <f>SUM(CTS38)</f>
        <v>40</v>
      </c>
      <c r="CTU38" s="129" t="s">
        <v>46</v>
      </c>
      <c r="CTV38" s="131" t="s">
        <v>44</v>
      </c>
      <c r="CTW38" s="133" t="s">
        <v>45</v>
      </c>
      <c r="CTX38" s="134"/>
      <c r="CTY38" s="135"/>
      <c r="CTZ38" s="125">
        <v>0</v>
      </c>
      <c r="CUA38" s="125">
        <v>40</v>
      </c>
      <c r="CUB38" s="127">
        <f>SUM(CUA38)</f>
        <v>40</v>
      </c>
      <c r="CUC38" s="129" t="s">
        <v>46</v>
      </c>
      <c r="CUD38" s="131" t="s">
        <v>44</v>
      </c>
      <c r="CUE38" s="133" t="s">
        <v>45</v>
      </c>
      <c r="CUF38" s="134"/>
      <c r="CUG38" s="135"/>
      <c r="CUH38" s="125">
        <v>0</v>
      </c>
      <c r="CUI38" s="125">
        <v>40</v>
      </c>
      <c r="CUJ38" s="127">
        <f>SUM(CUI38)</f>
        <v>40</v>
      </c>
      <c r="CUK38" s="129" t="s">
        <v>46</v>
      </c>
      <c r="CUL38" s="131" t="s">
        <v>44</v>
      </c>
      <c r="CUM38" s="133" t="s">
        <v>45</v>
      </c>
      <c r="CUN38" s="134"/>
      <c r="CUO38" s="135"/>
      <c r="CUP38" s="125">
        <v>0</v>
      </c>
      <c r="CUQ38" s="125">
        <v>40</v>
      </c>
      <c r="CUR38" s="127">
        <f>SUM(CUQ38)</f>
        <v>40</v>
      </c>
      <c r="CUS38" s="129" t="s">
        <v>46</v>
      </c>
      <c r="CUT38" s="131" t="s">
        <v>44</v>
      </c>
      <c r="CUU38" s="133" t="s">
        <v>45</v>
      </c>
      <c r="CUV38" s="134"/>
      <c r="CUW38" s="135"/>
      <c r="CUX38" s="125">
        <v>0</v>
      </c>
      <c r="CUY38" s="125">
        <v>40</v>
      </c>
      <c r="CUZ38" s="127">
        <f>SUM(CUY38)</f>
        <v>40</v>
      </c>
      <c r="CVA38" s="129" t="s">
        <v>46</v>
      </c>
      <c r="CVB38" s="131" t="s">
        <v>44</v>
      </c>
      <c r="CVC38" s="133" t="s">
        <v>45</v>
      </c>
      <c r="CVD38" s="134"/>
      <c r="CVE38" s="135"/>
      <c r="CVF38" s="125">
        <v>0</v>
      </c>
      <c r="CVG38" s="125">
        <v>40</v>
      </c>
      <c r="CVH38" s="127">
        <f>SUM(CVG38)</f>
        <v>40</v>
      </c>
      <c r="CVI38" s="129" t="s">
        <v>46</v>
      </c>
      <c r="CVJ38" s="131" t="s">
        <v>44</v>
      </c>
      <c r="CVK38" s="133" t="s">
        <v>45</v>
      </c>
      <c r="CVL38" s="134"/>
      <c r="CVM38" s="135"/>
      <c r="CVN38" s="125">
        <v>0</v>
      </c>
      <c r="CVO38" s="125">
        <v>40</v>
      </c>
      <c r="CVP38" s="127">
        <f>SUM(CVO38)</f>
        <v>40</v>
      </c>
      <c r="CVQ38" s="129" t="s">
        <v>46</v>
      </c>
      <c r="CVR38" s="131" t="s">
        <v>44</v>
      </c>
      <c r="CVS38" s="133" t="s">
        <v>45</v>
      </c>
      <c r="CVT38" s="134"/>
      <c r="CVU38" s="135"/>
      <c r="CVV38" s="125">
        <v>0</v>
      </c>
      <c r="CVW38" s="125">
        <v>40</v>
      </c>
      <c r="CVX38" s="127">
        <f>SUM(CVW38)</f>
        <v>40</v>
      </c>
      <c r="CVY38" s="129" t="s">
        <v>46</v>
      </c>
      <c r="CVZ38" s="131" t="s">
        <v>44</v>
      </c>
      <c r="CWA38" s="133" t="s">
        <v>45</v>
      </c>
      <c r="CWB38" s="134"/>
      <c r="CWC38" s="135"/>
      <c r="CWD38" s="125">
        <v>0</v>
      </c>
      <c r="CWE38" s="125">
        <v>40</v>
      </c>
      <c r="CWF38" s="127">
        <f>SUM(CWE38)</f>
        <v>40</v>
      </c>
      <c r="CWG38" s="129" t="s">
        <v>46</v>
      </c>
      <c r="CWH38" s="131" t="s">
        <v>44</v>
      </c>
      <c r="CWI38" s="133" t="s">
        <v>45</v>
      </c>
      <c r="CWJ38" s="134"/>
      <c r="CWK38" s="135"/>
      <c r="CWL38" s="125">
        <v>0</v>
      </c>
      <c r="CWM38" s="125">
        <v>40</v>
      </c>
      <c r="CWN38" s="127">
        <f>SUM(CWM38)</f>
        <v>40</v>
      </c>
      <c r="CWO38" s="129" t="s">
        <v>46</v>
      </c>
      <c r="CWP38" s="131" t="s">
        <v>44</v>
      </c>
      <c r="CWQ38" s="133" t="s">
        <v>45</v>
      </c>
      <c r="CWR38" s="134"/>
      <c r="CWS38" s="135"/>
      <c r="CWT38" s="125">
        <v>0</v>
      </c>
      <c r="CWU38" s="125">
        <v>40</v>
      </c>
      <c r="CWV38" s="127">
        <f>SUM(CWU38)</f>
        <v>40</v>
      </c>
      <c r="CWW38" s="129" t="s">
        <v>46</v>
      </c>
      <c r="CWX38" s="131" t="s">
        <v>44</v>
      </c>
      <c r="CWY38" s="133" t="s">
        <v>45</v>
      </c>
      <c r="CWZ38" s="134"/>
      <c r="CXA38" s="135"/>
      <c r="CXB38" s="125">
        <v>0</v>
      </c>
      <c r="CXC38" s="125">
        <v>40</v>
      </c>
      <c r="CXD38" s="127">
        <f>SUM(CXC38)</f>
        <v>40</v>
      </c>
      <c r="CXE38" s="129" t="s">
        <v>46</v>
      </c>
      <c r="CXF38" s="131" t="s">
        <v>44</v>
      </c>
      <c r="CXG38" s="133" t="s">
        <v>45</v>
      </c>
      <c r="CXH38" s="134"/>
      <c r="CXI38" s="135"/>
      <c r="CXJ38" s="125">
        <v>0</v>
      </c>
      <c r="CXK38" s="125">
        <v>40</v>
      </c>
      <c r="CXL38" s="127">
        <f>SUM(CXK38)</f>
        <v>40</v>
      </c>
      <c r="CXM38" s="129" t="s">
        <v>46</v>
      </c>
      <c r="CXN38" s="131" t="s">
        <v>44</v>
      </c>
      <c r="CXO38" s="133" t="s">
        <v>45</v>
      </c>
      <c r="CXP38" s="134"/>
      <c r="CXQ38" s="135"/>
      <c r="CXR38" s="125">
        <v>0</v>
      </c>
      <c r="CXS38" s="125">
        <v>40</v>
      </c>
      <c r="CXT38" s="127">
        <f>SUM(CXS38)</f>
        <v>40</v>
      </c>
      <c r="CXU38" s="129" t="s">
        <v>46</v>
      </c>
      <c r="CXV38" s="131" t="s">
        <v>44</v>
      </c>
      <c r="CXW38" s="133" t="s">
        <v>45</v>
      </c>
      <c r="CXX38" s="134"/>
      <c r="CXY38" s="135"/>
      <c r="CXZ38" s="125">
        <v>0</v>
      </c>
      <c r="CYA38" s="125">
        <v>40</v>
      </c>
      <c r="CYB38" s="127">
        <f>SUM(CYA38)</f>
        <v>40</v>
      </c>
      <c r="CYC38" s="129" t="s">
        <v>46</v>
      </c>
      <c r="CYD38" s="131" t="s">
        <v>44</v>
      </c>
      <c r="CYE38" s="133" t="s">
        <v>45</v>
      </c>
      <c r="CYF38" s="134"/>
      <c r="CYG38" s="135"/>
      <c r="CYH38" s="125">
        <v>0</v>
      </c>
      <c r="CYI38" s="125">
        <v>40</v>
      </c>
      <c r="CYJ38" s="127">
        <f>SUM(CYI38)</f>
        <v>40</v>
      </c>
      <c r="CYK38" s="129" t="s">
        <v>46</v>
      </c>
      <c r="CYL38" s="131" t="s">
        <v>44</v>
      </c>
      <c r="CYM38" s="133" t="s">
        <v>45</v>
      </c>
      <c r="CYN38" s="134"/>
      <c r="CYO38" s="135"/>
      <c r="CYP38" s="125">
        <v>0</v>
      </c>
      <c r="CYQ38" s="125">
        <v>40</v>
      </c>
      <c r="CYR38" s="127">
        <f>SUM(CYQ38)</f>
        <v>40</v>
      </c>
      <c r="CYS38" s="129" t="s">
        <v>46</v>
      </c>
      <c r="CYT38" s="131" t="s">
        <v>44</v>
      </c>
      <c r="CYU38" s="133" t="s">
        <v>45</v>
      </c>
      <c r="CYV38" s="134"/>
      <c r="CYW38" s="135"/>
      <c r="CYX38" s="125">
        <v>0</v>
      </c>
      <c r="CYY38" s="125">
        <v>40</v>
      </c>
      <c r="CYZ38" s="127">
        <f>SUM(CYY38)</f>
        <v>40</v>
      </c>
      <c r="CZA38" s="129" t="s">
        <v>46</v>
      </c>
      <c r="CZB38" s="131" t="s">
        <v>44</v>
      </c>
      <c r="CZC38" s="133" t="s">
        <v>45</v>
      </c>
      <c r="CZD38" s="134"/>
      <c r="CZE38" s="135"/>
      <c r="CZF38" s="125">
        <v>0</v>
      </c>
      <c r="CZG38" s="125">
        <v>40</v>
      </c>
      <c r="CZH38" s="127">
        <f>SUM(CZG38)</f>
        <v>40</v>
      </c>
      <c r="CZI38" s="129" t="s">
        <v>46</v>
      </c>
      <c r="CZJ38" s="131" t="s">
        <v>44</v>
      </c>
      <c r="CZK38" s="133" t="s">
        <v>45</v>
      </c>
      <c r="CZL38" s="134"/>
      <c r="CZM38" s="135"/>
      <c r="CZN38" s="125">
        <v>0</v>
      </c>
      <c r="CZO38" s="125">
        <v>40</v>
      </c>
      <c r="CZP38" s="127">
        <f>SUM(CZO38)</f>
        <v>40</v>
      </c>
      <c r="CZQ38" s="129" t="s">
        <v>46</v>
      </c>
      <c r="CZR38" s="131" t="s">
        <v>44</v>
      </c>
      <c r="CZS38" s="133" t="s">
        <v>45</v>
      </c>
      <c r="CZT38" s="134"/>
      <c r="CZU38" s="135"/>
      <c r="CZV38" s="125">
        <v>0</v>
      </c>
      <c r="CZW38" s="125">
        <v>40</v>
      </c>
      <c r="CZX38" s="127">
        <f>SUM(CZW38)</f>
        <v>40</v>
      </c>
      <c r="CZY38" s="129" t="s">
        <v>46</v>
      </c>
      <c r="CZZ38" s="131" t="s">
        <v>44</v>
      </c>
      <c r="DAA38" s="133" t="s">
        <v>45</v>
      </c>
      <c r="DAB38" s="134"/>
      <c r="DAC38" s="135"/>
      <c r="DAD38" s="125">
        <v>0</v>
      </c>
      <c r="DAE38" s="125">
        <v>40</v>
      </c>
      <c r="DAF38" s="127">
        <f>SUM(DAE38)</f>
        <v>40</v>
      </c>
      <c r="DAG38" s="129" t="s">
        <v>46</v>
      </c>
      <c r="DAH38" s="131" t="s">
        <v>44</v>
      </c>
      <c r="DAI38" s="133" t="s">
        <v>45</v>
      </c>
      <c r="DAJ38" s="134"/>
      <c r="DAK38" s="135"/>
      <c r="DAL38" s="125">
        <v>0</v>
      </c>
      <c r="DAM38" s="125">
        <v>40</v>
      </c>
      <c r="DAN38" s="127">
        <f>SUM(DAM38)</f>
        <v>40</v>
      </c>
      <c r="DAO38" s="129" t="s">
        <v>46</v>
      </c>
      <c r="DAP38" s="131" t="s">
        <v>44</v>
      </c>
      <c r="DAQ38" s="133" t="s">
        <v>45</v>
      </c>
      <c r="DAR38" s="134"/>
      <c r="DAS38" s="135"/>
      <c r="DAT38" s="125">
        <v>0</v>
      </c>
      <c r="DAU38" s="125">
        <v>40</v>
      </c>
      <c r="DAV38" s="127">
        <f>SUM(DAU38)</f>
        <v>40</v>
      </c>
      <c r="DAW38" s="129" t="s">
        <v>46</v>
      </c>
      <c r="DAX38" s="131" t="s">
        <v>44</v>
      </c>
      <c r="DAY38" s="133" t="s">
        <v>45</v>
      </c>
      <c r="DAZ38" s="134"/>
      <c r="DBA38" s="135"/>
      <c r="DBB38" s="125">
        <v>0</v>
      </c>
      <c r="DBC38" s="125">
        <v>40</v>
      </c>
      <c r="DBD38" s="127">
        <f>SUM(DBC38)</f>
        <v>40</v>
      </c>
      <c r="DBE38" s="129" t="s">
        <v>46</v>
      </c>
      <c r="DBF38" s="131" t="s">
        <v>44</v>
      </c>
      <c r="DBG38" s="133" t="s">
        <v>45</v>
      </c>
      <c r="DBH38" s="134"/>
      <c r="DBI38" s="135"/>
      <c r="DBJ38" s="125">
        <v>0</v>
      </c>
      <c r="DBK38" s="125">
        <v>40</v>
      </c>
      <c r="DBL38" s="127">
        <f>SUM(DBK38)</f>
        <v>40</v>
      </c>
      <c r="DBM38" s="129" t="s">
        <v>46</v>
      </c>
      <c r="DBN38" s="131" t="s">
        <v>44</v>
      </c>
      <c r="DBO38" s="133" t="s">
        <v>45</v>
      </c>
      <c r="DBP38" s="134"/>
      <c r="DBQ38" s="135"/>
      <c r="DBR38" s="125">
        <v>0</v>
      </c>
      <c r="DBS38" s="125">
        <v>40</v>
      </c>
      <c r="DBT38" s="127">
        <f>SUM(DBS38)</f>
        <v>40</v>
      </c>
      <c r="DBU38" s="129" t="s">
        <v>46</v>
      </c>
      <c r="DBV38" s="131" t="s">
        <v>44</v>
      </c>
      <c r="DBW38" s="133" t="s">
        <v>45</v>
      </c>
      <c r="DBX38" s="134"/>
      <c r="DBY38" s="135"/>
      <c r="DBZ38" s="125">
        <v>0</v>
      </c>
      <c r="DCA38" s="125">
        <v>40</v>
      </c>
      <c r="DCB38" s="127">
        <f>SUM(DCA38)</f>
        <v>40</v>
      </c>
      <c r="DCC38" s="129" t="s">
        <v>46</v>
      </c>
      <c r="DCD38" s="131" t="s">
        <v>44</v>
      </c>
      <c r="DCE38" s="133" t="s">
        <v>45</v>
      </c>
      <c r="DCF38" s="134"/>
      <c r="DCG38" s="135"/>
      <c r="DCH38" s="125">
        <v>0</v>
      </c>
      <c r="DCI38" s="125">
        <v>40</v>
      </c>
      <c r="DCJ38" s="127">
        <f>SUM(DCI38)</f>
        <v>40</v>
      </c>
      <c r="DCK38" s="129" t="s">
        <v>46</v>
      </c>
      <c r="DCL38" s="131" t="s">
        <v>44</v>
      </c>
      <c r="DCM38" s="133" t="s">
        <v>45</v>
      </c>
      <c r="DCN38" s="134"/>
      <c r="DCO38" s="135"/>
      <c r="DCP38" s="125">
        <v>0</v>
      </c>
      <c r="DCQ38" s="125">
        <v>40</v>
      </c>
      <c r="DCR38" s="127">
        <f>SUM(DCQ38)</f>
        <v>40</v>
      </c>
      <c r="DCS38" s="129" t="s">
        <v>46</v>
      </c>
      <c r="DCT38" s="131" t="s">
        <v>44</v>
      </c>
      <c r="DCU38" s="133" t="s">
        <v>45</v>
      </c>
      <c r="DCV38" s="134"/>
      <c r="DCW38" s="135"/>
      <c r="DCX38" s="125">
        <v>0</v>
      </c>
      <c r="DCY38" s="125">
        <v>40</v>
      </c>
      <c r="DCZ38" s="127">
        <f>SUM(DCY38)</f>
        <v>40</v>
      </c>
      <c r="DDA38" s="129" t="s">
        <v>46</v>
      </c>
      <c r="DDB38" s="131" t="s">
        <v>44</v>
      </c>
      <c r="DDC38" s="133" t="s">
        <v>45</v>
      </c>
      <c r="DDD38" s="134"/>
      <c r="DDE38" s="135"/>
      <c r="DDF38" s="125">
        <v>0</v>
      </c>
      <c r="DDG38" s="125">
        <v>40</v>
      </c>
      <c r="DDH38" s="127">
        <f>SUM(DDG38)</f>
        <v>40</v>
      </c>
      <c r="DDI38" s="129" t="s">
        <v>46</v>
      </c>
      <c r="DDJ38" s="131" t="s">
        <v>44</v>
      </c>
      <c r="DDK38" s="133" t="s">
        <v>45</v>
      </c>
      <c r="DDL38" s="134"/>
      <c r="DDM38" s="135"/>
      <c r="DDN38" s="125">
        <v>0</v>
      </c>
      <c r="DDO38" s="125">
        <v>40</v>
      </c>
      <c r="DDP38" s="127">
        <f>SUM(DDO38)</f>
        <v>40</v>
      </c>
      <c r="DDQ38" s="129" t="s">
        <v>46</v>
      </c>
      <c r="DDR38" s="131" t="s">
        <v>44</v>
      </c>
      <c r="DDS38" s="133" t="s">
        <v>45</v>
      </c>
      <c r="DDT38" s="134"/>
      <c r="DDU38" s="135"/>
      <c r="DDV38" s="125">
        <v>0</v>
      </c>
      <c r="DDW38" s="125">
        <v>40</v>
      </c>
      <c r="DDX38" s="127">
        <f>SUM(DDW38)</f>
        <v>40</v>
      </c>
      <c r="DDY38" s="129" t="s">
        <v>46</v>
      </c>
      <c r="DDZ38" s="131" t="s">
        <v>44</v>
      </c>
      <c r="DEA38" s="133" t="s">
        <v>45</v>
      </c>
      <c r="DEB38" s="134"/>
      <c r="DEC38" s="135"/>
      <c r="DED38" s="125">
        <v>0</v>
      </c>
      <c r="DEE38" s="125">
        <v>40</v>
      </c>
      <c r="DEF38" s="127">
        <f>SUM(DEE38)</f>
        <v>40</v>
      </c>
      <c r="DEG38" s="129" t="s">
        <v>46</v>
      </c>
      <c r="DEH38" s="131" t="s">
        <v>44</v>
      </c>
      <c r="DEI38" s="133" t="s">
        <v>45</v>
      </c>
      <c r="DEJ38" s="134"/>
      <c r="DEK38" s="135"/>
      <c r="DEL38" s="125">
        <v>0</v>
      </c>
      <c r="DEM38" s="125">
        <v>40</v>
      </c>
      <c r="DEN38" s="127">
        <f>SUM(DEM38)</f>
        <v>40</v>
      </c>
      <c r="DEO38" s="129" t="s">
        <v>46</v>
      </c>
      <c r="DEP38" s="131" t="s">
        <v>44</v>
      </c>
      <c r="DEQ38" s="133" t="s">
        <v>45</v>
      </c>
      <c r="DER38" s="134"/>
      <c r="DES38" s="135"/>
      <c r="DET38" s="125">
        <v>0</v>
      </c>
      <c r="DEU38" s="125">
        <v>40</v>
      </c>
      <c r="DEV38" s="127">
        <f>SUM(DEU38)</f>
        <v>40</v>
      </c>
      <c r="DEW38" s="129" t="s">
        <v>46</v>
      </c>
      <c r="DEX38" s="131" t="s">
        <v>44</v>
      </c>
      <c r="DEY38" s="133" t="s">
        <v>45</v>
      </c>
      <c r="DEZ38" s="134"/>
      <c r="DFA38" s="135"/>
      <c r="DFB38" s="125">
        <v>0</v>
      </c>
      <c r="DFC38" s="125">
        <v>40</v>
      </c>
      <c r="DFD38" s="127">
        <f>SUM(DFC38)</f>
        <v>40</v>
      </c>
      <c r="DFE38" s="129" t="s">
        <v>46</v>
      </c>
      <c r="DFF38" s="131" t="s">
        <v>44</v>
      </c>
      <c r="DFG38" s="133" t="s">
        <v>45</v>
      </c>
      <c r="DFH38" s="134"/>
      <c r="DFI38" s="135"/>
      <c r="DFJ38" s="125">
        <v>0</v>
      </c>
      <c r="DFK38" s="125">
        <v>40</v>
      </c>
      <c r="DFL38" s="127">
        <f>SUM(DFK38)</f>
        <v>40</v>
      </c>
      <c r="DFM38" s="129" t="s">
        <v>46</v>
      </c>
      <c r="DFN38" s="131" t="s">
        <v>44</v>
      </c>
      <c r="DFO38" s="133" t="s">
        <v>45</v>
      </c>
      <c r="DFP38" s="134"/>
      <c r="DFQ38" s="135"/>
      <c r="DFR38" s="125">
        <v>0</v>
      </c>
      <c r="DFS38" s="125">
        <v>40</v>
      </c>
      <c r="DFT38" s="127">
        <f>SUM(DFS38)</f>
        <v>40</v>
      </c>
      <c r="DFU38" s="129" t="s">
        <v>46</v>
      </c>
      <c r="DFV38" s="131" t="s">
        <v>44</v>
      </c>
      <c r="DFW38" s="133" t="s">
        <v>45</v>
      </c>
      <c r="DFX38" s="134"/>
      <c r="DFY38" s="135"/>
      <c r="DFZ38" s="125">
        <v>0</v>
      </c>
      <c r="DGA38" s="125">
        <v>40</v>
      </c>
      <c r="DGB38" s="127">
        <f>SUM(DGA38)</f>
        <v>40</v>
      </c>
      <c r="DGC38" s="129" t="s">
        <v>46</v>
      </c>
      <c r="DGD38" s="131" t="s">
        <v>44</v>
      </c>
      <c r="DGE38" s="133" t="s">
        <v>45</v>
      </c>
      <c r="DGF38" s="134"/>
      <c r="DGG38" s="135"/>
      <c r="DGH38" s="125">
        <v>0</v>
      </c>
      <c r="DGI38" s="125">
        <v>40</v>
      </c>
      <c r="DGJ38" s="127">
        <f>SUM(DGI38)</f>
        <v>40</v>
      </c>
      <c r="DGK38" s="129" t="s">
        <v>46</v>
      </c>
      <c r="DGL38" s="131" t="s">
        <v>44</v>
      </c>
      <c r="DGM38" s="133" t="s">
        <v>45</v>
      </c>
      <c r="DGN38" s="134"/>
      <c r="DGO38" s="135"/>
      <c r="DGP38" s="125">
        <v>0</v>
      </c>
      <c r="DGQ38" s="125">
        <v>40</v>
      </c>
      <c r="DGR38" s="127">
        <f>SUM(DGQ38)</f>
        <v>40</v>
      </c>
      <c r="DGS38" s="129" t="s">
        <v>46</v>
      </c>
      <c r="DGT38" s="131" t="s">
        <v>44</v>
      </c>
      <c r="DGU38" s="133" t="s">
        <v>45</v>
      </c>
      <c r="DGV38" s="134"/>
      <c r="DGW38" s="135"/>
      <c r="DGX38" s="125">
        <v>0</v>
      </c>
      <c r="DGY38" s="125">
        <v>40</v>
      </c>
      <c r="DGZ38" s="127">
        <f>SUM(DGY38)</f>
        <v>40</v>
      </c>
      <c r="DHA38" s="129" t="s">
        <v>46</v>
      </c>
      <c r="DHB38" s="131" t="s">
        <v>44</v>
      </c>
      <c r="DHC38" s="133" t="s">
        <v>45</v>
      </c>
      <c r="DHD38" s="134"/>
      <c r="DHE38" s="135"/>
      <c r="DHF38" s="125">
        <v>0</v>
      </c>
      <c r="DHG38" s="125">
        <v>40</v>
      </c>
      <c r="DHH38" s="127">
        <f>SUM(DHG38)</f>
        <v>40</v>
      </c>
      <c r="DHI38" s="129" t="s">
        <v>46</v>
      </c>
      <c r="DHJ38" s="131" t="s">
        <v>44</v>
      </c>
      <c r="DHK38" s="133" t="s">
        <v>45</v>
      </c>
      <c r="DHL38" s="134"/>
      <c r="DHM38" s="135"/>
      <c r="DHN38" s="125">
        <v>0</v>
      </c>
      <c r="DHO38" s="125">
        <v>40</v>
      </c>
      <c r="DHP38" s="127">
        <f>SUM(DHO38)</f>
        <v>40</v>
      </c>
      <c r="DHQ38" s="129" t="s">
        <v>46</v>
      </c>
      <c r="DHR38" s="131" t="s">
        <v>44</v>
      </c>
      <c r="DHS38" s="133" t="s">
        <v>45</v>
      </c>
      <c r="DHT38" s="134"/>
      <c r="DHU38" s="135"/>
      <c r="DHV38" s="125">
        <v>0</v>
      </c>
      <c r="DHW38" s="125">
        <v>40</v>
      </c>
      <c r="DHX38" s="127">
        <f>SUM(DHW38)</f>
        <v>40</v>
      </c>
      <c r="DHY38" s="129" t="s">
        <v>46</v>
      </c>
      <c r="DHZ38" s="131" t="s">
        <v>44</v>
      </c>
      <c r="DIA38" s="133" t="s">
        <v>45</v>
      </c>
      <c r="DIB38" s="134"/>
      <c r="DIC38" s="135"/>
      <c r="DID38" s="125">
        <v>0</v>
      </c>
      <c r="DIE38" s="125">
        <v>40</v>
      </c>
      <c r="DIF38" s="127">
        <f>SUM(DIE38)</f>
        <v>40</v>
      </c>
      <c r="DIG38" s="129" t="s">
        <v>46</v>
      </c>
      <c r="DIH38" s="131" t="s">
        <v>44</v>
      </c>
      <c r="DII38" s="133" t="s">
        <v>45</v>
      </c>
      <c r="DIJ38" s="134"/>
      <c r="DIK38" s="135"/>
      <c r="DIL38" s="125">
        <v>0</v>
      </c>
      <c r="DIM38" s="125">
        <v>40</v>
      </c>
      <c r="DIN38" s="127">
        <f>SUM(DIM38)</f>
        <v>40</v>
      </c>
      <c r="DIO38" s="129" t="s">
        <v>46</v>
      </c>
      <c r="DIP38" s="131" t="s">
        <v>44</v>
      </c>
      <c r="DIQ38" s="133" t="s">
        <v>45</v>
      </c>
      <c r="DIR38" s="134"/>
      <c r="DIS38" s="135"/>
      <c r="DIT38" s="125">
        <v>0</v>
      </c>
      <c r="DIU38" s="125">
        <v>40</v>
      </c>
      <c r="DIV38" s="127">
        <f>SUM(DIU38)</f>
        <v>40</v>
      </c>
      <c r="DIW38" s="129" t="s">
        <v>46</v>
      </c>
      <c r="DIX38" s="131" t="s">
        <v>44</v>
      </c>
      <c r="DIY38" s="133" t="s">
        <v>45</v>
      </c>
      <c r="DIZ38" s="134"/>
      <c r="DJA38" s="135"/>
      <c r="DJB38" s="125">
        <v>0</v>
      </c>
      <c r="DJC38" s="125">
        <v>40</v>
      </c>
      <c r="DJD38" s="127">
        <f>SUM(DJC38)</f>
        <v>40</v>
      </c>
      <c r="DJE38" s="129" t="s">
        <v>46</v>
      </c>
      <c r="DJF38" s="131" t="s">
        <v>44</v>
      </c>
      <c r="DJG38" s="133" t="s">
        <v>45</v>
      </c>
      <c r="DJH38" s="134"/>
      <c r="DJI38" s="135"/>
      <c r="DJJ38" s="125">
        <v>0</v>
      </c>
      <c r="DJK38" s="125">
        <v>40</v>
      </c>
      <c r="DJL38" s="127">
        <f>SUM(DJK38)</f>
        <v>40</v>
      </c>
      <c r="DJM38" s="129" t="s">
        <v>46</v>
      </c>
      <c r="DJN38" s="131" t="s">
        <v>44</v>
      </c>
      <c r="DJO38" s="133" t="s">
        <v>45</v>
      </c>
      <c r="DJP38" s="134"/>
      <c r="DJQ38" s="135"/>
      <c r="DJR38" s="125">
        <v>0</v>
      </c>
      <c r="DJS38" s="125">
        <v>40</v>
      </c>
      <c r="DJT38" s="127">
        <f>SUM(DJS38)</f>
        <v>40</v>
      </c>
      <c r="DJU38" s="129" t="s">
        <v>46</v>
      </c>
      <c r="DJV38" s="131" t="s">
        <v>44</v>
      </c>
      <c r="DJW38" s="133" t="s">
        <v>45</v>
      </c>
      <c r="DJX38" s="134"/>
      <c r="DJY38" s="135"/>
      <c r="DJZ38" s="125">
        <v>0</v>
      </c>
      <c r="DKA38" s="125">
        <v>40</v>
      </c>
      <c r="DKB38" s="127">
        <f>SUM(DKA38)</f>
        <v>40</v>
      </c>
      <c r="DKC38" s="129" t="s">
        <v>46</v>
      </c>
      <c r="DKD38" s="131" t="s">
        <v>44</v>
      </c>
      <c r="DKE38" s="133" t="s">
        <v>45</v>
      </c>
      <c r="DKF38" s="134"/>
      <c r="DKG38" s="135"/>
      <c r="DKH38" s="125">
        <v>0</v>
      </c>
      <c r="DKI38" s="125">
        <v>40</v>
      </c>
      <c r="DKJ38" s="127">
        <f>SUM(DKI38)</f>
        <v>40</v>
      </c>
      <c r="DKK38" s="129" t="s">
        <v>46</v>
      </c>
      <c r="DKL38" s="131" t="s">
        <v>44</v>
      </c>
      <c r="DKM38" s="133" t="s">
        <v>45</v>
      </c>
      <c r="DKN38" s="134"/>
      <c r="DKO38" s="135"/>
      <c r="DKP38" s="125">
        <v>0</v>
      </c>
      <c r="DKQ38" s="125">
        <v>40</v>
      </c>
      <c r="DKR38" s="127">
        <f>SUM(DKQ38)</f>
        <v>40</v>
      </c>
      <c r="DKS38" s="129" t="s">
        <v>46</v>
      </c>
      <c r="DKT38" s="131" t="s">
        <v>44</v>
      </c>
      <c r="DKU38" s="133" t="s">
        <v>45</v>
      </c>
      <c r="DKV38" s="134"/>
      <c r="DKW38" s="135"/>
      <c r="DKX38" s="125">
        <v>0</v>
      </c>
      <c r="DKY38" s="125">
        <v>40</v>
      </c>
      <c r="DKZ38" s="127">
        <f>SUM(DKY38)</f>
        <v>40</v>
      </c>
      <c r="DLA38" s="129" t="s">
        <v>46</v>
      </c>
      <c r="DLB38" s="131" t="s">
        <v>44</v>
      </c>
      <c r="DLC38" s="133" t="s">
        <v>45</v>
      </c>
      <c r="DLD38" s="134"/>
      <c r="DLE38" s="135"/>
      <c r="DLF38" s="125">
        <v>0</v>
      </c>
      <c r="DLG38" s="125">
        <v>40</v>
      </c>
      <c r="DLH38" s="127">
        <f>SUM(DLG38)</f>
        <v>40</v>
      </c>
      <c r="DLI38" s="129" t="s">
        <v>46</v>
      </c>
      <c r="DLJ38" s="131" t="s">
        <v>44</v>
      </c>
      <c r="DLK38" s="133" t="s">
        <v>45</v>
      </c>
      <c r="DLL38" s="134"/>
      <c r="DLM38" s="135"/>
      <c r="DLN38" s="125">
        <v>0</v>
      </c>
      <c r="DLO38" s="125">
        <v>40</v>
      </c>
      <c r="DLP38" s="127">
        <f>SUM(DLO38)</f>
        <v>40</v>
      </c>
      <c r="DLQ38" s="129" t="s">
        <v>46</v>
      </c>
      <c r="DLR38" s="131" t="s">
        <v>44</v>
      </c>
      <c r="DLS38" s="133" t="s">
        <v>45</v>
      </c>
      <c r="DLT38" s="134"/>
      <c r="DLU38" s="135"/>
      <c r="DLV38" s="125">
        <v>0</v>
      </c>
      <c r="DLW38" s="125">
        <v>40</v>
      </c>
      <c r="DLX38" s="127">
        <f>SUM(DLW38)</f>
        <v>40</v>
      </c>
      <c r="DLY38" s="129" t="s">
        <v>46</v>
      </c>
      <c r="DLZ38" s="131" t="s">
        <v>44</v>
      </c>
      <c r="DMA38" s="133" t="s">
        <v>45</v>
      </c>
      <c r="DMB38" s="134"/>
      <c r="DMC38" s="135"/>
      <c r="DMD38" s="125">
        <v>0</v>
      </c>
      <c r="DME38" s="125">
        <v>40</v>
      </c>
      <c r="DMF38" s="127">
        <f>SUM(DME38)</f>
        <v>40</v>
      </c>
      <c r="DMG38" s="129" t="s">
        <v>46</v>
      </c>
      <c r="DMH38" s="131" t="s">
        <v>44</v>
      </c>
      <c r="DMI38" s="133" t="s">
        <v>45</v>
      </c>
      <c r="DMJ38" s="134"/>
      <c r="DMK38" s="135"/>
      <c r="DML38" s="125">
        <v>0</v>
      </c>
      <c r="DMM38" s="125">
        <v>40</v>
      </c>
      <c r="DMN38" s="127">
        <f>SUM(DMM38)</f>
        <v>40</v>
      </c>
      <c r="DMO38" s="129" t="s">
        <v>46</v>
      </c>
      <c r="DMP38" s="131" t="s">
        <v>44</v>
      </c>
      <c r="DMQ38" s="133" t="s">
        <v>45</v>
      </c>
      <c r="DMR38" s="134"/>
      <c r="DMS38" s="135"/>
      <c r="DMT38" s="125">
        <v>0</v>
      </c>
      <c r="DMU38" s="125">
        <v>40</v>
      </c>
      <c r="DMV38" s="127">
        <f>SUM(DMU38)</f>
        <v>40</v>
      </c>
      <c r="DMW38" s="129" t="s">
        <v>46</v>
      </c>
      <c r="DMX38" s="131" t="s">
        <v>44</v>
      </c>
      <c r="DMY38" s="133" t="s">
        <v>45</v>
      </c>
      <c r="DMZ38" s="134"/>
      <c r="DNA38" s="135"/>
      <c r="DNB38" s="125">
        <v>0</v>
      </c>
      <c r="DNC38" s="125">
        <v>40</v>
      </c>
      <c r="DND38" s="127">
        <f>SUM(DNC38)</f>
        <v>40</v>
      </c>
      <c r="DNE38" s="129" t="s">
        <v>46</v>
      </c>
      <c r="DNF38" s="131" t="s">
        <v>44</v>
      </c>
      <c r="DNG38" s="133" t="s">
        <v>45</v>
      </c>
      <c r="DNH38" s="134"/>
      <c r="DNI38" s="135"/>
      <c r="DNJ38" s="125">
        <v>0</v>
      </c>
      <c r="DNK38" s="125">
        <v>40</v>
      </c>
      <c r="DNL38" s="127">
        <f>SUM(DNK38)</f>
        <v>40</v>
      </c>
      <c r="DNM38" s="129" t="s">
        <v>46</v>
      </c>
      <c r="DNN38" s="131" t="s">
        <v>44</v>
      </c>
      <c r="DNO38" s="133" t="s">
        <v>45</v>
      </c>
      <c r="DNP38" s="134"/>
      <c r="DNQ38" s="135"/>
      <c r="DNR38" s="125">
        <v>0</v>
      </c>
      <c r="DNS38" s="125">
        <v>40</v>
      </c>
      <c r="DNT38" s="127">
        <f>SUM(DNS38)</f>
        <v>40</v>
      </c>
      <c r="DNU38" s="129" t="s">
        <v>46</v>
      </c>
      <c r="DNV38" s="131" t="s">
        <v>44</v>
      </c>
      <c r="DNW38" s="133" t="s">
        <v>45</v>
      </c>
      <c r="DNX38" s="134"/>
      <c r="DNY38" s="135"/>
      <c r="DNZ38" s="125">
        <v>0</v>
      </c>
      <c r="DOA38" s="125">
        <v>40</v>
      </c>
      <c r="DOB38" s="127">
        <f>SUM(DOA38)</f>
        <v>40</v>
      </c>
      <c r="DOC38" s="129" t="s">
        <v>46</v>
      </c>
      <c r="DOD38" s="131" t="s">
        <v>44</v>
      </c>
      <c r="DOE38" s="133" t="s">
        <v>45</v>
      </c>
      <c r="DOF38" s="134"/>
      <c r="DOG38" s="135"/>
      <c r="DOH38" s="125">
        <v>0</v>
      </c>
      <c r="DOI38" s="125">
        <v>40</v>
      </c>
      <c r="DOJ38" s="127">
        <f>SUM(DOI38)</f>
        <v>40</v>
      </c>
      <c r="DOK38" s="129" t="s">
        <v>46</v>
      </c>
      <c r="DOL38" s="131" t="s">
        <v>44</v>
      </c>
      <c r="DOM38" s="133" t="s">
        <v>45</v>
      </c>
      <c r="DON38" s="134"/>
      <c r="DOO38" s="135"/>
      <c r="DOP38" s="125">
        <v>0</v>
      </c>
      <c r="DOQ38" s="125">
        <v>40</v>
      </c>
      <c r="DOR38" s="127">
        <f>SUM(DOQ38)</f>
        <v>40</v>
      </c>
      <c r="DOS38" s="129" t="s">
        <v>46</v>
      </c>
      <c r="DOT38" s="131" t="s">
        <v>44</v>
      </c>
      <c r="DOU38" s="133" t="s">
        <v>45</v>
      </c>
      <c r="DOV38" s="134"/>
      <c r="DOW38" s="135"/>
      <c r="DOX38" s="125">
        <v>0</v>
      </c>
      <c r="DOY38" s="125">
        <v>40</v>
      </c>
      <c r="DOZ38" s="127">
        <f>SUM(DOY38)</f>
        <v>40</v>
      </c>
      <c r="DPA38" s="129" t="s">
        <v>46</v>
      </c>
      <c r="DPB38" s="131" t="s">
        <v>44</v>
      </c>
      <c r="DPC38" s="133" t="s">
        <v>45</v>
      </c>
      <c r="DPD38" s="134"/>
      <c r="DPE38" s="135"/>
      <c r="DPF38" s="125">
        <v>0</v>
      </c>
      <c r="DPG38" s="125">
        <v>40</v>
      </c>
      <c r="DPH38" s="127">
        <f>SUM(DPG38)</f>
        <v>40</v>
      </c>
      <c r="DPI38" s="129" t="s">
        <v>46</v>
      </c>
      <c r="DPJ38" s="131" t="s">
        <v>44</v>
      </c>
      <c r="DPK38" s="133" t="s">
        <v>45</v>
      </c>
      <c r="DPL38" s="134"/>
      <c r="DPM38" s="135"/>
      <c r="DPN38" s="125">
        <v>0</v>
      </c>
      <c r="DPO38" s="125">
        <v>40</v>
      </c>
      <c r="DPP38" s="127">
        <f>SUM(DPO38)</f>
        <v>40</v>
      </c>
      <c r="DPQ38" s="129" t="s">
        <v>46</v>
      </c>
      <c r="DPR38" s="131" t="s">
        <v>44</v>
      </c>
      <c r="DPS38" s="133" t="s">
        <v>45</v>
      </c>
      <c r="DPT38" s="134"/>
      <c r="DPU38" s="135"/>
      <c r="DPV38" s="125">
        <v>0</v>
      </c>
      <c r="DPW38" s="125">
        <v>40</v>
      </c>
      <c r="DPX38" s="127">
        <f>SUM(DPW38)</f>
        <v>40</v>
      </c>
      <c r="DPY38" s="129" t="s">
        <v>46</v>
      </c>
      <c r="DPZ38" s="131" t="s">
        <v>44</v>
      </c>
      <c r="DQA38" s="133" t="s">
        <v>45</v>
      </c>
      <c r="DQB38" s="134"/>
      <c r="DQC38" s="135"/>
      <c r="DQD38" s="125">
        <v>0</v>
      </c>
      <c r="DQE38" s="125">
        <v>40</v>
      </c>
      <c r="DQF38" s="127">
        <f>SUM(DQE38)</f>
        <v>40</v>
      </c>
      <c r="DQG38" s="129" t="s">
        <v>46</v>
      </c>
      <c r="DQH38" s="131" t="s">
        <v>44</v>
      </c>
      <c r="DQI38" s="133" t="s">
        <v>45</v>
      </c>
      <c r="DQJ38" s="134"/>
      <c r="DQK38" s="135"/>
      <c r="DQL38" s="125">
        <v>0</v>
      </c>
      <c r="DQM38" s="125">
        <v>40</v>
      </c>
      <c r="DQN38" s="127">
        <f>SUM(DQM38)</f>
        <v>40</v>
      </c>
      <c r="DQO38" s="129" t="s">
        <v>46</v>
      </c>
      <c r="DQP38" s="131" t="s">
        <v>44</v>
      </c>
      <c r="DQQ38" s="133" t="s">
        <v>45</v>
      </c>
      <c r="DQR38" s="134"/>
      <c r="DQS38" s="135"/>
      <c r="DQT38" s="125">
        <v>0</v>
      </c>
      <c r="DQU38" s="125">
        <v>40</v>
      </c>
      <c r="DQV38" s="127">
        <f>SUM(DQU38)</f>
        <v>40</v>
      </c>
      <c r="DQW38" s="129" t="s">
        <v>46</v>
      </c>
      <c r="DQX38" s="131" t="s">
        <v>44</v>
      </c>
      <c r="DQY38" s="133" t="s">
        <v>45</v>
      </c>
      <c r="DQZ38" s="134"/>
      <c r="DRA38" s="135"/>
      <c r="DRB38" s="125">
        <v>0</v>
      </c>
      <c r="DRC38" s="125">
        <v>40</v>
      </c>
      <c r="DRD38" s="127">
        <f>SUM(DRC38)</f>
        <v>40</v>
      </c>
      <c r="DRE38" s="129" t="s">
        <v>46</v>
      </c>
      <c r="DRF38" s="131" t="s">
        <v>44</v>
      </c>
      <c r="DRG38" s="133" t="s">
        <v>45</v>
      </c>
      <c r="DRH38" s="134"/>
      <c r="DRI38" s="135"/>
      <c r="DRJ38" s="125">
        <v>0</v>
      </c>
      <c r="DRK38" s="125">
        <v>40</v>
      </c>
      <c r="DRL38" s="127">
        <f>SUM(DRK38)</f>
        <v>40</v>
      </c>
      <c r="DRM38" s="129" t="s">
        <v>46</v>
      </c>
      <c r="DRN38" s="131" t="s">
        <v>44</v>
      </c>
      <c r="DRO38" s="133" t="s">
        <v>45</v>
      </c>
      <c r="DRP38" s="134"/>
      <c r="DRQ38" s="135"/>
      <c r="DRR38" s="125">
        <v>0</v>
      </c>
      <c r="DRS38" s="125">
        <v>40</v>
      </c>
      <c r="DRT38" s="127">
        <f>SUM(DRS38)</f>
        <v>40</v>
      </c>
      <c r="DRU38" s="129" t="s">
        <v>46</v>
      </c>
      <c r="DRV38" s="131" t="s">
        <v>44</v>
      </c>
      <c r="DRW38" s="133" t="s">
        <v>45</v>
      </c>
      <c r="DRX38" s="134"/>
      <c r="DRY38" s="135"/>
      <c r="DRZ38" s="125">
        <v>0</v>
      </c>
      <c r="DSA38" s="125">
        <v>40</v>
      </c>
      <c r="DSB38" s="127">
        <f>SUM(DSA38)</f>
        <v>40</v>
      </c>
      <c r="DSC38" s="129" t="s">
        <v>46</v>
      </c>
      <c r="DSD38" s="131" t="s">
        <v>44</v>
      </c>
      <c r="DSE38" s="133" t="s">
        <v>45</v>
      </c>
      <c r="DSF38" s="134"/>
      <c r="DSG38" s="135"/>
      <c r="DSH38" s="125">
        <v>0</v>
      </c>
      <c r="DSI38" s="125">
        <v>40</v>
      </c>
      <c r="DSJ38" s="127">
        <f>SUM(DSI38)</f>
        <v>40</v>
      </c>
      <c r="DSK38" s="129" t="s">
        <v>46</v>
      </c>
      <c r="DSL38" s="131" t="s">
        <v>44</v>
      </c>
      <c r="DSM38" s="133" t="s">
        <v>45</v>
      </c>
      <c r="DSN38" s="134"/>
      <c r="DSO38" s="135"/>
      <c r="DSP38" s="125">
        <v>0</v>
      </c>
      <c r="DSQ38" s="125">
        <v>40</v>
      </c>
      <c r="DSR38" s="127">
        <f>SUM(DSQ38)</f>
        <v>40</v>
      </c>
      <c r="DSS38" s="129" t="s">
        <v>46</v>
      </c>
      <c r="DST38" s="131" t="s">
        <v>44</v>
      </c>
      <c r="DSU38" s="133" t="s">
        <v>45</v>
      </c>
      <c r="DSV38" s="134"/>
      <c r="DSW38" s="135"/>
      <c r="DSX38" s="125">
        <v>0</v>
      </c>
      <c r="DSY38" s="125">
        <v>40</v>
      </c>
      <c r="DSZ38" s="127">
        <f>SUM(DSY38)</f>
        <v>40</v>
      </c>
      <c r="DTA38" s="129" t="s">
        <v>46</v>
      </c>
      <c r="DTB38" s="131" t="s">
        <v>44</v>
      </c>
      <c r="DTC38" s="133" t="s">
        <v>45</v>
      </c>
      <c r="DTD38" s="134"/>
      <c r="DTE38" s="135"/>
      <c r="DTF38" s="125">
        <v>0</v>
      </c>
      <c r="DTG38" s="125">
        <v>40</v>
      </c>
      <c r="DTH38" s="127">
        <f>SUM(DTG38)</f>
        <v>40</v>
      </c>
      <c r="DTI38" s="129" t="s">
        <v>46</v>
      </c>
      <c r="DTJ38" s="131" t="s">
        <v>44</v>
      </c>
      <c r="DTK38" s="133" t="s">
        <v>45</v>
      </c>
      <c r="DTL38" s="134"/>
      <c r="DTM38" s="135"/>
      <c r="DTN38" s="125">
        <v>0</v>
      </c>
      <c r="DTO38" s="125">
        <v>40</v>
      </c>
      <c r="DTP38" s="127">
        <f>SUM(DTO38)</f>
        <v>40</v>
      </c>
      <c r="DTQ38" s="129" t="s">
        <v>46</v>
      </c>
      <c r="DTR38" s="131" t="s">
        <v>44</v>
      </c>
      <c r="DTS38" s="133" t="s">
        <v>45</v>
      </c>
      <c r="DTT38" s="134"/>
      <c r="DTU38" s="135"/>
      <c r="DTV38" s="125">
        <v>0</v>
      </c>
      <c r="DTW38" s="125">
        <v>40</v>
      </c>
      <c r="DTX38" s="127">
        <f>SUM(DTW38)</f>
        <v>40</v>
      </c>
      <c r="DTY38" s="129" t="s">
        <v>46</v>
      </c>
      <c r="DTZ38" s="131" t="s">
        <v>44</v>
      </c>
      <c r="DUA38" s="133" t="s">
        <v>45</v>
      </c>
      <c r="DUB38" s="134"/>
      <c r="DUC38" s="135"/>
      <c r="DUD38" s="125">
        <v>0</v>
      </c>
      <c r="DUE38" s="125">
        <v>40</v>
      </c>
      <c r="DUF38" s="127">
        <f>SUM(DUE38)</f>
        <v>40</v>
      </c>
      <c r="DUG38" s="129" t="s">
        <v>46</v>
      </c>
      <c r="DUH38" s="131" t="s">
        <v>44</v>
      </c>
      <c r="DUI38" s="133" t="s">
        <v>45</v>
      </c>
      <c r="DUJ38" s="134"/>
      <c r="DUK38" s="135"/>
      <c r="DUL38" s="125">
        <v>0</v>
      </c>
      <c r="DUM38" s="125">
        <v>40</v>
      </c>
      <c r="DUN38" s="127">
        <f>SUM(DUM38)</f>
        <v>40</v>
      </c>
      <c r="DUO38" s="129" t="s">
        <v>46</v>
      </c>
      <c r="DUP38" s="131" t="s">
        <v>44</v>
      </c>
      <c r="DUQ38" s="133" t="s">
        <v>45</v>
      </c>
      <c r="DUR38" s="134"/>
      <c r="DUS38" s="135"/>
      <c r="DUT38" s="125">
        <v>0</v>
      </c>
      <c r="DUU38" s="125">
        <v>40</v>
      </c>
      <c r="DUV38" s="127">
        <f>SUM(DUU38)</f>
        <v>40</v>
      </c>
      <c r="DUW38" s="129" t="s">
        <v>46</v>
      </c>
      <c r="DUX38" s="131" t="s">
        <v>44</v>
      </c>
      <c r="DUY38" s="133" t="s">
        <v>45</v>
      </c>
      <c r="DUZ38" s="134"/>
      <c r="DVA38" s="135"/>
      <c r="DVB38" s="125">
        <v>0</v>
      </c>
      <c r="DVC38" s="125">
        <v>40</v>
      </c>
      <c r="DVD38" s="127">
        <f>SUM(DVC38)</f>
        <v>40</v>
      </c>
      <c r="DVE38" s="129" t="s">
        <v>46</v>
      </c>
      <c r="DVF38" s="131" t="s">
        <v>44</v>
      </c>
      <c r="DVG38" s="133" t="s">
        <v>45</v>
      </c>
      <c r="DVH38" s="134"/>
      <c r="DVI38" s="135"/>
      <c r="DVJ38" s="125">
        <v>0</v>
      </c>
      <c r="DVK38" s="125">
        <v>40</v>
      </c>
      <c r="DVL38" s="127">
        <f>SUM(DVK38)</f>
        <v>40</v>
      </c>
      <c r="DVM38" s="129" t="s">
        <v>46</v>
      </c>
      <c r="DVN38" s="131" t="s">
        <v>44</v>
      </c>
      <c r="DVO38" s="133" t="s">
        <v>45</v>
      </c>
      <c r="DVP38" s="134"/>
      <c r="DVQ38" s="135"/>
      <c r="DVR38" s="125">
        <v>0</v>
      </c>
      <c r="DVS38" s="125">
        <v>40</v>
      </c>
      <c r="DVT38" s="127">
        <f>SUM(DVS38)</f>
        <v>40</v>
      </c>
      <c r="DVU38" s="129" t="s">
        <v>46</v>
      </c>
      <c r="DVV38" s="131" t="s">
        <v>44</v>
      </c>
      <c r="DVW38" s="133" t="s">
        <v>45</v>
      </c>
      <c r="DVX38" s="134"/>
      <c r="DVY38" s="135"/>
      <c r="DVZ38" s="125">
        <v>0</v>
      </c>
      <c r="DWA38" s="125">
        <v>40</v>
      </c>
      <c r="DWB38" s="127">
        <f>SUM(DWA38)</f>
        <v>40</v>
      </c>
      <c r="DWC38" s="129" t="s">
        <v>46</v>
      </c>
      <c r="DWD38" s="131" t="s">
        <v>44</v>
      </c>
      <c r="DWE38" s="133" t="s">
        <v>45</v>
      </c>
      <c r="DWF38" s="134"/>
      <c r="DWG38" s="135"/>
      <c r="DWH38" s="125">
        <v>0</v>
      </c>
      <c r="DWI38" s="125">
        <v>40</v>
      </c>
      <c r="DWJ38" s="127">
        <f>SUM(DWI38)</f>
        <v>40</v>
      </c>
      <c r="DWK38" s="129" t="s">
        <v>46</v>
      </c>
      <c r="DWL38" s="131" t="s">
        <v>44</v>
      </c>
      <c r="DWM38" s="133" t="s">
        <v>45</v>
      </c>
      <c r="DWN38" s="134"/>
      <c r="DWO38" s="135"/>
      <c r="DWP38" s="125">
        <v>0</v>
      </c>
      <c r="DWQ38" s="125">
        <v>40</v>
      </c>
      <c r="DWR38" s="127">
        <f>SUM(DWQ38)</f>
        <v>40</v>
      </c>
      <c r="DWS38" s="129" t="s">
        <v>46</v>
      </c>
      <c r="DWT38" s="131" t="s">
        <v>44</v>
      </c>
      <c r="DWU38" s="133" t="s">
        <v>45</v>
      </c>
      <c r="DWV38" s="134"/>
      <c r="DWW38" s="135"/>
      <c r="DWX38" s="125">
        <v>0</v>
      </c>
      <c r="DWY38" s="125">
        <v>40</v>
      </c>
      <c r="DWZ38" s="127">
        <f>SUM(DWY38)</f>
        <v>40</v>
      </c>
      <c r="DXA38" s="129" t="s">
        <v>46</v>
      </c>
      <c r="DXB38" s="131" t="s">
        <v>44</v>
      </c>
      <c r="DXC38" s="133" t="s">
        <v>45</v>
      </c>
      <c r="DXD38" s="134"/>
      <c r="DXE38" s="135"/>
      <c r="DXF38" s="125">
        <v>0</v>
      </c>
      <c r="DXG38" s="125">
        <v>40</v>
      </c>
      <c r="DXH38" s="127">
        <f>SUM(DXG38)</f>
        <v>40</v>
      </c>
      <c r="DXI38" s="129" t="s">
        <v>46</v>
      </c>
      <c r="DXJ38" s="131" t="s">
        <v>44</v>
      </c>
      <c r="DXK38" s="133" t="s">
        <v>45</v>
      </c>
      <c r="DXL38" s="134"/>
      <c r="DXM38" s="135"/>
      <c r="DXN38" s="125">
        <v>0</v>
      </c>
      <c r="DXO38" s="125">
        <v>40</v>
      </c>
      <c r="DXP38" s="127">
        <f>SUM(DXO38)</f>
        <v>40</v>
      </c>
      <c r="DXQ38" s="129" t="s">
        <v>46</v>
      </c>
      <c r="DXR38" s="131" t="s">
        <v>44</v>
      </c>
      <c r="DXS38" s="133" t="s">
        <v>45</v>
      </c>
      <c r="DXT38" s="134"/>
      <c r="DXU38" s="135"/>
      <c r="DXV38" s="125">
        <v>0</v>
      </c>
      <c r="DXW38" s="125">
        <v>40</v>
      </c>
      <c r="DXX38" s="127">
        <f>SUM(DXW38)</f>
        <v>40</v>
      </c>
      <c r="DXY38" s="129" t="s">
        <v>46</v>
      </c>
      <c r="DXZ38" s="131" t="s">
        <v>44</v>
      </c>
      <c r="DYA38" s="133" t="s">
        <v>45</v>
      </c>
      <c r="DYB38" s="134"/>
      <c r="DYC38" s="135"/>
      <c r="DYD38" s="125">
        <v>0</v>
      </c>
      <c r="DYE38" s="125">
        <v>40</v>
      </c>
      <c r="DYF38" s="127">
        <f>SUM(DYE38)</f>
        <v>40</v>
      </c>
      <c r="DYG38" s="129" t="s">
        <v>46</v>
      </c>
      <c r="DYH38" s="131" t="s">
        <v>44</v>
      </c>
      <c r="DYI38" s="133" t="s">
        <v>45</v>
      </c>
      <c r="DYJ38" s="134"/>
      <c r="DYK38" s="135"/>
      <c r="DYL38" s="125">
        <v>0</v>
      </c>
      <c r="DYM38" s="125">
        <v>40</v>
      </c>
      <c r="DYN38" s="127">
        <f>SUM(DYM38)</f>
        <v>40</v>
      </c>
      <c r="DYO38" s="129" t="s">
        <v>46</v>
      </c>
      <c r="DYP38" s="131" t="s">
        <v>44</v>
      </c>
      <c r="DYQ38" s="133" t="s">
        <v>45</v>
      </c>
      <c r="DYR38" s="134"/>
      <c r="DYS38" s="135"/>
      <c r="DYT38" s="125">
        <v>0</v>
      </c>
      <c r="DYU38" s="125">
        <v>40</v>
      </c>
      <c r="DYV38" s="127">
        <f>SUM(DYU38)</f>
        <v>40</v>
      </c>
      <c r="DYW38" s="129" t="s">
        <v>46</v>
      </c>
      <c r="DYX38" s="131" t="s">
        <v>44</v>
      </c>
      <c r="DYY38" s="133" t="s">
        <v>45</v>
      </c>
      <c r="DYZ38" s="134"/>
      <c r="DZA38" s="135"/>
      <c r="DZB38" s="125">
        <v>0</v>
      </c>
      <c r="DZC38" s="125">
        <v>40</v>
      </c>
      <c r="DZD38" s="127">
        <f>SUM(DZC38)</f>
        <v>40</v>
      </c>
      <c r="DZE38" s="129" t="s">
        <v>46</v>
      </c>
      <c r="DZF38" s="131" t="s">
        <v>44</v>
      </c>
      <c r="DZG38" s="133" t="s">
        <v>45</v>
      </c>
      <c r="DZH38" s="134"/>
      <c r="DZI38" s="135"/>
      <c r="DZJ38" s="125">
        <v>0</v>
      </c>
      <c r="DZK38" s="125">
        <v>40</v>
      </c>
      <c r="DZL38" s="127">
        <f>SUM(DZK38)</f>
        <v>40</v>
      </c>
      <c r="DZM38" s="129" t="s">
        <v>46</v>
      </c>
      <c r="DZN38" s="131" t="s">
        <v>44</v>
      </c>
      <c r="DZO38" s="133" t="s">
        <v>45</v>
      </c>
      <c r="DZP38" s="134"/>
      <c r="DZQ38" s="135"/>
      <c r="DZR38" s="125">
        <v>0</v>
      </c>
      <c r="DZS38" s="125">
        <v>40</v>
      </c>
      <c r="DZT38" s="127">
        <f>SUM(DZS38)</f>
        <v>40</v>
      </c>
      <c r="DZU38" s="129" t="s">
        <v>46</v>
      </c>
      <c r="DZV38" s="131" t="s">
        <v>44</v>
      </c>
      <c r="DZW38" s="133" t="s">
        <v>45</v>
      </c>
      <c r="DZX38" s="134"/>
      <c r="DZY38" s="135"/>
      <c r="DZZ38" s="125">
        <v>0</v>
      </c>
      <c r="EAA38" s="125">
        <v>40</v>
      </c>
      <c r="EAB38" s="127">
        <f>SUM(EAA38)</f>
        <v>40</v>
      </c>
      <c r="EAC38" s="129" t="s">
        <v>46</v>
      </c>
      <c r="EAD38" s="131" t="s">
        <v>44</v>
      </c>
      <c r="EAE38" s="133" t="s">
        <v>45</v>
      </c>
      <c r="EAF38" s="134"/>
      <c r="EAG38" s="135"/>
      <c r="EAH38" s="125">
        <v>0</v>
      </c>
      <c r="EAI38" s="125">
        <v>40</v>
      </c>
      <c r="EAJ38" s="127">
        <f>SUM(EAI38)</f>
        <v>40</v>
      </c>
      <c r="EAK38" s="129" t="s">
        <v>46</v>
      </c>
      <c r="EAL38" s="131" t="s">
        <v>44</v>
      </c>
      <c r="EAM38" s="133" t="s">
        <v>45</v>
      </c>
      <c r="EAN38" s="134"/>
      <c r="EAO38" s="135"/>
      <c r="EAP38" s="125">
        <v>0</v>
      </c>
      <c r="EAQ38" s="125">
        <v>40</v>
      </c>
      <c r="EAR38" s="127">
        <f>SUM(EAQ38)</f>
        <v>40</v>
      </c>
      <c r="EAS38" s="129" t="s">
        <v>46</v>
      </c>
      <c r="EAT38" s="131" t="s">
        <v>44</v>
      </c>
      <c r="EAU38" s="133" t="s">
        <v>45</v>
      </c>
      <c r="EAV38" s="134"/>
      <c r="EAW38" s="135"/>
      <c r="EAX38" s="125">
        <v>0</v>
      </c>
      <c r="EAY38" s="125">
        <v>40</v>
      </c>
      <c r="EAZ38" s="127">
        <f>SUM(EAY38)</f>
        <v>40</v>
      </c>
      <c r="EBA38" s="129" t="s">
        <v>46</v>
      </c>
      <c r="EBB38" s="131" t="s">
        <v>44</v>
      </c>
      <c r="EBC38" s="133" t="s">
        <v>45</v>
      </c>
      <c r="EBD38" s="134"/>
      <c r="EBE38" s="135"/>
      <c r="EBF38" s="125">
        <v>0</v>
      </c>
      <c r="EBG38" s="125">
        <v>40</v>
      </c>
      <c r="EBH38" s="127">
        <f>SUM(EBG38)</f>
        <v>40</v>
      </c>
      <c r="EBI38" s="129" t="s">
        <v>46</v>
      </c>
      <c r="EBJ38" s="131" t="s">
        <v>44</v>
      </c>
      <c r="EBK38" s="133" t="s">
        <v>45</v>
      </c>
      <c r="EBL38" s="134"/>
      <c r="EBM38" s="135"/>
      <c r="EBN38" s="125">
        <v>0</v>
      </c>
      <c r="EBO38" s="125">
        <v>40</v>
      </c>
      <c r="EBP38" s="127">
        <f>SUM(EBO38)</f>
        <v>40</v>
      </c>
      <c r="EBQ38" s="129" t="s">
        <v>46</v>
      </c>
      <c r="EBR38" s="131" t="s">
        <v>44</v>
      </c>
      <c r="EBS38" s="133" t="s">
        <v>45</v>
      </c>
      <c r="EBT38" s="134"/>
      <c r="EBU38" s="135"/>
      <c r="EBV38" s="125">
        <v>0</v>
      </c>
      <c r="EBW38" s="125">
        <v>40</v>
      </c>
      <c r="EBX38" s="127">
        <f>SUM(EBW38)</f>
        <v>40</v>
      </c>
      <c r="EBY38" s="129" t="s">
        <v>46</v>
      </c>
      <c r="EBZ38" s="131" t="s">
        <v>44</v>
      </c>
      <c r="ECA38" s="133" t="s">
        <v>45</v>
      </c>
      <c r="ECB38" s="134"/>
      <c r="ECC38" s="135"/>
      <c r="ECD38" s="125">
        <v>0</v>
      </c>
      <c r="ECE38" s="125">
        <v>40</v>
      </c>
      <c r="ECF38" s="127">
        <f>SUM(ECE38)</f>
        <v>40</v>
      </c>
      <c r="ECG38" s="129" t="s">
        <v>46</v>
      </c>
      <c r="ECH38" s="131" t="s">
        <v>44</v>
      </c>
      <c r="ECI38" s="133" t="s">
        <v>45</v>
      </c>
      <c r="ECJ38" s="134"/>
      <c r="ECK38" s="135"/>
      <c r="ECL38" s="125">
        <v>0</v>
      </c>
      <c r="ECM38" s="125">
        <v>40</v>
      </c>
      <c r="ECN38" s="127">
        <f>SUM(ECM38)</f>
        <v>40</v>
      </c>
      <c r="ECO38" s="129" t="s">
        <v>46</v>
      </c>
      <c r="ECP38" s="131" t="s">
        <v>44</v>
      </c>
      <c r="ECQ38" s="133" t="s">
        <v>45</v>
      </c>
      <c r="ECR38" s="134"/>
      <c r="ECS38" s="135"/>
      <c r="ECT38" s="125">
        <v>0</v>
      </c>
      <c r="ECU38" s="125">
        <v>40</v>
      </c>
      <c r="ECV38" s="127">
        <f>SUM(ECU38)</f>
        <v>40</v>
      </c>
      <c r="ECW38" s="129" t="s">
        <v>46</v>
      </c>
      <c r="ECX38" s="131" t="s">
        <v>44</v>
      </c>
      <c r="ECY38" s="133" t="s">
        <v>45</v>
      </c>
      <c r="ECZ38" s="134"/>
      <c r="EDA38" s="135"/>
      <c r="EDB38" s="125">
        <v>0</v>
      </c>
      <c r="EDC38" s="125">
        <v>40</v>
      </c>
      <c r="EDD38" s="127">
        <f>SUM(EDC38)</f>
        <v>40</v>
      </c>
      <c r="EDE38" s="129" t="s">
        <v>46</v>
      </c>
      <c r="EDF38" s="131" t="s">
        <v>44</v>
      </c>
      <c r="EDG38" s="133" t="s">
        <v>45</v>
      </c>
      <c r="EDH38" s="134"/>
      <c r="EDI38" s="135"/>
      <c r="EDJ38" s="125">
        <v>0</v>
      </c>
      <c r="EDK38" s="125">
        <v>40</v>
      </c>
      <c r="EDL38" s="127">
        <f>SUM(EDK38)</f>
        <v>40</v>
      </c>
      <c r="EDM38" s="129" t="s">
        <v>46</v>
      </c>
      <c r="EDN38" s="131" t="s">
        <v>44</v>
      </c>
      <c r="EDO38" s="133" t="s">
        <v>45</v>
      </c>
      <c r="EDP38" s="134"/>
      <c r="EDQ38" s="135"/>
      <c r="EDR38" s="125">
        <v>0</v>
      </c>
      <c r="EDS38" s="125">
        <v>40</v>
      </c>
      <c r="EDT38" s="127">
        <f>SUM(EDS38)</f>
        <v>40</v>
      </c>
      <c r="EDU38" s="129" t="s">
        <v>46</v>
      </c>
      <c r="EDV38" s="131" t="s">
        <v>44</v>
      </c>
      <c r="EDW38" s="133" t="s">
        <v>45</v>
      </c>
      <c r="EDX38" s="134"/>
      <c r="EDY38" s="135"/>
      <c r="EDZ38" s="125">
        <v>0</v>
      </c>
      <c r="EEA38" s="125">
        <v>40</v>
      </c>
      <c r="EEB38" s="127">
        <f>SUM(EEA38)</f>
        <v>40</v>
      </c>
      <c r="EEC38" s="129" t="s">
        <v>46</v>
      </c>
      <c r="EED38" s="131" t="s">
        <v>44</v>
      </c>
      <c r="EEE38" s="133" t="s">
        <v>45</v>
      </c>
      <c r="EEF38" s="134"/>
      <c r="EEG38" s="135"/>
      <c r="EEH38" s="125">
        <v>0</v>
      </c>
      <c r="EEI38" s="125">
        <v>40</v>
      </c>
      <c r="EEJ38" s="127">
        <f>SUM(EEI38)</f>
        <v>40</v>
      </c>
      <c r="EEK38" s="129" t="s">
        <v>46</v>
      </c>
      <c r="EEL38" s="131" t="s">
        <v>44</v>
      </c>
      <c r="EEM38" s="133" t="s">
        <v>45</v>
      </c>
      <c r="EEN38" s="134"/>
      <c r="EEO38" s="135"/>
      <c r="EEP38" s="125">
        <v>0</v>
      </c>
      <c r="EEQ38" s="125">
        <v>40</v>
      </c>
      <c r="EER38" s="127">
        <f>SUM(EEQ38)</f>
        <v>40</v>
      </c>
      <c r="EES38" s="129" t="s">
        <v>46</v>
      </c>
      <c r="EET38" s="131" t="s">
        <v>44</v>
      </c>
      <c r="EEU38" s="133" t="s">
        <v>45</v>
      </c>
      <c r="EEV38" s="134"/>
      <c r="EEW38" s="135"/>
      <c r="EEX38" s="125">
        <v>0</v>
      </c>
      <c r="EEY38" s="125">
        <v>40</v>
      </c>
      <c r="EEZ38" s="127">
        <f>SUM(EEY38)</f>
        <v>40</v>
      </c>
      <c r="EFA38" s="129" t="s">
        <v>46</v>
      </c>
      <c r="EFB38" s="131" t="s">
        <v>44</v>
      </c>
      <c r="EFC38" s="133" t="s">
        <v>45</v>
      </c>
      <c r="EFD38" s="134"/>
      <c r="EFE38" s="135"/>
      <c r="EFF38" s="125">
        <v>0</v>
      </c>
      <c r="EFG38" s="125">
        <v>40</v>
      </c>
      <c r="EFH38" s="127">
        <f>SUM(EFG38)</f>
        <v>40</v>
      </c>
      <c r="EFI38" s="129" t="s">
        <v>46</v>
      </c>
      <c r="EFJ38" s="131" t="s">
        <v>44</v>
      </c>
      <c r="EFK38" s="133" t="s">
        <v>45</v>
      </c>
      <c r="EFL38" s="134"/>
      <c r="EFM38" s="135"/>
      <c r="EFN38" s="125">
        <v>0</v>
      </c>
      <c r="EFO38" s="125">
        <v>40</v>
      </c>
      <c r="EFP38" s="127">
        <f>SUM(EFO38)</f>
        <v>40</v>
      </c>
      <c r="EFQ38" s="129" t="s">
        <v>46</v>
      </c>
      <c r="EFR38" s="131" t="s">
        <v>44</v>
      </c>
      <c r="EFS38" s="133" t="s">
        <v>45</v>
      </c>
      <c r="EFT38" s="134"/>
      <c r="EFU38" s="135"/>
      <c r="EFV38" s="125">
        <v>0</v>
      </c>
      <c r="EFW38" s="125">
        <v>40</v>
      </c>
      <c r="EFX38" s="127">
        <f>SUM(EFW38)</f>
        <v>40</v>
      </c>
      <c r="EFY38" s="129" t="s">
        <v>46</v>
      </c>
      <c r="EFZ38" s="131" t="s">
        <v>44</v>
      </c>
      <c r="EGA38" s="133" t="s">
        <v>45</v>
      </c>
      <c r="EGB38" s="134"/>
      <c r="EGC38" s="135"/>
      <c r="EGD38" s="125">
        <v>0</v>
      </c>
      <c r="EGE38" s="125">
        <v>40</v>
      </c>
      <c r="EGF38" s="127">
        <f>SUM(EGE38)</f>
        <v>40</v>
      </c>
      <c r="EGG38" s="129" t="s">
        <v>46</v>
      </c>
      <c r="EGH38" s="131" t="s">
        <v>44</v>
      </c>
      <c r="EGI38" s="133" t="s">
        <v>45</v>
      </c>
      <c r="EGJ38" s="134"/>
      <c r="EGK38" s="135"/>
      <c r="EGL38" s="125">
        <v>0</v>
      </c>
      <c r="EGM38" s="125">
        <v>40</v>
      </c>
      <c r="EGN38" s="127">
        <f>SUM(EGM38)</f>
        <v>40</v>
      </c>
      <c r="EGO38" s="129" t="s">
        <v>46</v>
      </c>
      <c r="EGP38" s="131" t="s">
        <v>44</v>
      </c>
      <c r="EGQ38" s="133" t="s">
        <v>45</v>
      </c>
      <c r="EGR38" s="134"/>
      <c r="EGS38" s="135"/>
      <c r="EGT38" s="125">
        <v>0</v>
      </c>
      <c r="EGU38" s="125">
        <v>40</v>
      </c>
      <c r="EGV38" s="127">
        <f>SUM(EGU38)</f>
        <v>40</v>
      </c>
      <c r="EGW38" s="129" t="s">
        <v>46</v>
      </c>
      <c r="EGX38" s="131" t="s">
        <v>44</v>
      </c>
      <c r="EGY38" s="133" t="s">
        <v>45</v>
      </c>
      <c r="EGZ38" s="134"/>
      <c r="EHA38" s="135"/>
      <c r="EHB38" s="125">
        <v>0</v>
      </c>
      <c r="EHC38" s="125">
        <v>40</v>
      </c>
      <c r="EHD38" s="127">
        <f>SUM(EHC38)</f>
        <v>40</v>
      </c>
      <c r="EHE38" s="129" t="s">
        <v>46</v>
      </c>
      <c r="EHF38" s="131" t="s">
        <v>44</v>
      </c>
      <c r="EHG38" s="133" t="s">
        <v>45</v>
      </c>
      <c r="EHH38" s="134"/>
      <c r="EHI38" s="135"/>
      <c r="EHJ38" s="125">
        <v>0</v>
      </c>
      <c r="EHK38" s="125">
        <v>40</v>
      </c>
      <c r="EHL38" s="127">
        <f>SUM(EHK38)</f>
        <v>40</v>
      </c>
      <c r="EHM38" s="129" t="s">
        <v>46</v>
      </c>
      <c r="EHN38" s="131" t="s">
        <v>44</v>
      </c>
      <c r="EHO38" s="133" t="s">
        <v>45</v>
      </c>
      <c r="EHP38" s="134"/>
      <c r="EHQ38" s="135"/>
      <c r="EHR38" s="125">
        <v>0</v>
      </c>
      <c r="EHS38" s="125">
        <v>40</v>
      </c>
      <c r="EHT38" s="127">
        <f>SUM(EHS38)</f>
        <v>40</v>
      </c>
      <c r="EHU38" s="129" t="s">
        <v>46</v>
      </c>
      <c r="EHV38" s="131" t="s">
        <v>44</v>
      </c>
      <c r="EHW38" s="133" t="s">
        <v>45</v>
      </c>
      <c r="EHX38" s="134"/>
      <c r="EHY38" s="135"/>
      <c r="EHZ38" s="125">
        <v>0</v>
      </c>
      <c r="EIA38" s="125">
        <v>40</v>
      </c>
      <c r="EIB38" s="127">
        <f>SUM(EIA38)</f>
        <v>40</v>
      </c>
      <c r="EIC38" s="129" t="s">
        <v>46</v>
      </c>
      <c r="EID38" s="131" t="s">
        <v>44</v>
      </c>
      <c r="EIE38" s="133" t="s">
        <v>45</v>
      </c>
      <c r="EIF38" s="134"/>
      <c r="EIG38" s="135"/>
      <c r="EIH38" s="125">
        <v>0</v>
      </c>
      <c r="EII38" s="125">
        <v>40</v>
      </c>
      <c r="EIJ38" s="127">
        <f>SUM(EII38)</f>
        <v>40</v>
      </c>
      <c r="EIK38" s="129" t="s">
        <v>46</v>
      </c>
      <c r="EIL38" s="131" t="s">
        <v>44</v>
      </c>
      <c r="EIM38" s="133" t="s">
        <v>45</v>
      </c>
      <c r="EIN38" s="134"/>
      <c r="EIO38" s="135"/>
      <c r="EIP38" s="125">
        <v>0</v>
      </c>
      <c r="EIQ38" s="125">
        <v>40</v>
      </c>
      <c r="EIR38" s="127">
        <f>SUM(EIQ38)</f>
        <v>40</v>
      </c>
      <c r="EIS38" s="129" t="s">
        <v>46</v>
      </c>
      <c r="EIT38" s="131" t="s">
        <v>44</v>
      </c>
      <c r="EIU38" s="133" t="s">
        <v>45</v>
      </c>
      <c r="EIV38" s="134"/>
      <c r="EIW38" s="135"/>
      <c r="EIX38" s="125">
        <v>0</v>
      </c>
      <c r="EIY38" s="125">
        <v>40</v>
      </c>
      <c r="EIZ38" s="127">
        <f>SUM(EIY38)</f>
        <v>40</v>
      </c>
      <c r="EJA38" s="129" t="s">
        <v>46</v>
      </c>
      <c r="EJB38" s="131" t="s">
        <v>44</v>
      </c>
      <c r="EJC38" s="133" t="s">
        <v>45</v>
      </c>
      <c r="EJD38" s="134"/>
      <c r="EJE38" s="135"/>
      <c r="EJF38" s="125">
        <v>0</v>
      </c>
      <c r="EJG38" s="125">
        <v>40</v>
      </c>
      <c r="EJH38" s="127">
        <f>SUM(EJG38)</f>
        <v>40</v>
      </c>
      <c r="EJI38" s="129" t="s">
        <v>46</v>
      </c>
      <c r="EJJ38" s="131" t="s">
        <v>44</v>
      </c>
      <c r="EJK38" s="133" t="s">
        <v>45</v>
      </c>
      <c r="EJL38" s="134"/>
      <c r="EJM38" s="135"/>
      <c r="EJN38" s="125">
        <v>0</v>
      </c>
      <c r="EJO38" s="125">
        <v>40</v>
      </c>
      <c r="EJP38" s="127">
        <f>SUM(EJO38)</f>
        <v>40</v>
      </c>
      <c r="EJQ38" s="129" t="s">
        <v>46</v>
      </c>
      <c r="EJR38" s="131" t="s">
        <v>44</v>
      </c>
      <c r="EJS38" s="133" t="s">
        <v>45</v>
      </c>
      <c r="EJT38" s="134"/>
      <c r="EJU38" s="135"/>
      <c r="EJV38" s="125">
        <v>0</v>
      </c>
      <c r="EJW38" s="125">
        <v>40</v>
      </c>
      <c r="EJX38" s="127">
        <f>SUM(EJW38)</f>
        <v>40</v>
      </c>
      <c r="EJY38" s="129" t="s">
        <v>46</v>
      </c>
      <c r="EJZ38" s="131" t="s">
        <v>44</v>
      </c>
      <c r="EKA38" s="133" t="s">
        <v>45</v>
      </c>
      <c r="EKB38" s="134"/>
      <c r="EKC38" s="135"/>
      <c r="EKD38" s="125">
        <v>0</v>
      </c>
      <c r="EKE38" s="125">
        <v>40</v>
      </c>
      <c r="EKF38" s="127">
        <f>SUM(EKE38)</f>
        <v>40</v>
      </c>
      <c r="EKG38" s="129" t="s">
        <v>46</v>
      </c>
      <c r="EKH38" s="131" t="s">
        <v>44</v>
      </c>
      <c r="EKI38" s="133" t="s">
        <v>45</v>
      </c>
      <c r="EKJ38" s="134"/>
      <c r="EKK38" s="135"/>
      <c r="EKL38" s="125">
        <v>0</v>
      </c>
      <c r="EKM38" s="125">
        <v>40</v>
      </c>
      <c r="EKN38" s="127">
        <f>SUM(EKM38)</f>
        <v>40</v>
      </c>
      <c r="EKO38" s="129" t="s">
        <v>46</v>
      </c>
      <c r="EKP38" s="131" t="s">
        <v>44</v>
      </c>
      <c r="EKQ38" s="133" t="s">
        <v>45</v>
      </c>
      <c r="EKR38" s="134"/>
      <c r="EKS38" s="135"/>
      <c r="EKT38" s="125">
        <v>0</v>
      </c>
      <c r="EKU38" s="125">
        <v>40</v>
      </c>
      <c r="EKV38" s="127">
        <f>SUM(EKU38)</f>
        <v>40</v>
      </c>
      <c r="EKW38" s="129" t="s">
        <v>46</v>
      </c>
      <c r="EKX38" s="131" t="s">
        <v>44</v>
      </c>
      <c r="EKY38" s="133" t="s">
        <v>45</v>
      </c>
      <c r="EKZ38" s="134"/>
      <c r="ELA38" s="135"/>
      <c r="ELB38" s="125">
        <v>0</v>
      </c>
      <c r="ELC38" s="125">
        <v>40</v>
      </c>
      <c r="ELD38" s="127">
        <f>SUM(ELC38)</f>
        <v>40</v>
      </c>
      <c r="ELE38" s="129" t="s">
        <v>46</v>
      </c>
      <c r="ELF38" s="131" t="s">
        <v>44</v>
      </c>
      <c r="ELG38" s="133" t="s">
        <v>45</v>
      </c>
      <c r="ELH38" s="134"/>
      <c r="ELI38" s="135"/>
      <c r="ELJ38" s="125">
        <v>0</v>
      </c>
      <c r="ELK38" s="125">
        <v>40</v>
      </c>
      <c r="ELL38" s="127">
        <f>SUM(ELK38)</f>
        <v>40</v>
      </c>
      <c r="ELM38" s="129" t="s">
        <v>46</v>
      </c>
      <c r="ELN38" s="131" t="s">
        <v>44</v>
      </c>
      <c r="ELO38" s="133" t="s">
        <v>45</v>
      </c>
      <c r="ELP38" s="134"/>
      <c r="ELQ38" s="135"/>
      <c r="ELR38" s="125">
        <v>0</v>
      </c>
      <c r="ELS38" s="125">
        <v>40</v>
      </c>
      <c r="ELT38" s="127">
        <f>SUM(ELS38)</f>
        <v>40</v>
      </c>
      <c r="ELU38" s="129" t="s">
        <v>46</v>
      </c>
      <c r="ELV38" s="131" t="s">
        <v>44</v>
      </c>
      <c r="ELW38" s="133" t="s">
        <v>45</v>
      </c>
      <c r="ELX38" s="134"/>
      <c r="ELY38" s="135"/>
      <c r="ELZ38" s="125">
        <v>0</v>
      </c>
      <c r="EMA38" s="125">
        <v>40</v>
      </c>
      <c r="EMB38" s="127">
        <f>SUM(EMA38)</f>
        <v>40</v>
      </c>
      <c r="EMC38" s="129" t="s">
        <v>46</v>
      </c>
      <c r="EMD38" s="131" t="s">
        <v>44</v>
      </c>
      <c r="EME38" s="133" t="s">
        <v>45</v>
      </c>
      <c r="EMF38" s="134"/>
      <c r="EMG38" s="135"/>
      <c r="EMH38" s="125">
        <v>0</v>
      </c>
      <c r="EMI38" s="125">
        <v>40</v>
      </c>
      <c r="EMJ38" s="127">
        <f>SUM(EMI38)</f>
        <v>40</v>
      </c>
      <c r="EMK38" s="129" t="s">
        <v>46</v>
      </c>
      <c r="EML38" s="131" t="s">
        <v>44</v>
      </c>
      <c r="EMM38" s="133" t="s">
        <v>45</v>
      </c>
      <c r="EMN38" s="134"/>
      <c r="EMO38" s="135"/>
      <c r="EMP38" s="125">
        <v>0</v>
      </c>
      <c r="EMQ38" s="125">
        <v>40</v>
      </c>
      <c r="EMR38" s="127">
        <f>SUM(EMQ38)</f>
        <v>40</v>
      </c>
      <c r="EMS38" s="129" t="s">
        <v>46</v>
      </c>
      <c r="EMT38" s="131" t="s">
        <v>44</v>
      </c>
      <c r="EMU38" s="133" t="s">
        <v>45</v>
      </c>
      <c r="EMV38" s="134"/>
      <c r="EMW38" s="135"/>
      <c r="EMX38" s="125">
        <v>0</v>
      </c>
      <c r="EMY38" s="125">
        <v>40</v>
      </c>
      <c r="EMZ38" s="127">
        <f>SUM(EMY38)</f>
        <v>40</v>
      </c>
      <c r="ENA38" s="129" t="s">
        <v>46</v>
      </c>
      <c r="ENB38" s="131" t="s">
        <v>44</v>
      </c>
      <c r="ENC38" s="133" t="s">
        <v>45</v>
      </c>
      <c r="END38" s="134"/>
      <c r="ENE38" s="135"/>
      <c r="ENF38" s="125">
        <v>0</v>
      </c>
      <c r="ENG38" s="125">
        <v>40</v>
      </c>
      <c r="ENH38" s="127">
        <f>SUM(ENG38)</f>
        <v>40</v>
      </c>
      <c r="ENI38" s="129" t="s">
        <v>46</v>
      </c>
      <c r="ENJ38" s="131" t="s">
        <v>44</v>
      </c>
      <c r="ENK38" s="133" t="s">
        <v>45</v>
      </c>
      <c r="ENL38" s="134"/>
      <c r="ENM38" s="135"/>
      <c r="ENN38" s="125">
        <v>0</v>
      </c>
      <c r="ENO38" s="125">
        <v>40</v>
      </c>
      <c r="ENP38" s="127">
        <f>SUM(ENO38)</f>
        <v>40</v>
      </c>
      <c r="ENQ38" s="129" t="s">
        <v>46</v>
      </c>
      <c r="ENR38" s="131" t="s">
        <v>44</v>
      </c>
      <c r="ENS38" s="133" t="s">
        <v>45</v>
      </c>
      <c r="ENT38" s="134"/>
      <c r="ENU38" s="135"/>
      <c r="ENV38" s="125">
        <v>0</v>
      </c>
      <c r="ENW38" s="125">
        <v>40</v>
      </c>
      <c r="ENX38" s="127">
        <f>SUM(ENW38)</f>
        <v>40</v>
      </c>
      <c r="ENY38" s="129" t="s">
        <v>46</v>
      </c>
      <c r="ENZ38" s="131" t="s">
        <v>44</v>
      </c>
      <c r="EOA38" s="133" t="s">
        <v>45</v>
      </c>
      <c r="EOB38" s="134"/>
      <c r="EOC38" s="135"/>
      <c r="EOD38" s="125">
        <v>0</v>
      </c>
      <c r="EOE38" s="125">
        <v>40</v>
      </c>
      <c r="EOF38" s="127">
        <f>SUM(EOE38)</f>
        <v>40</v>
      </c>
      <c r="EOG38" s="129" t="s">
        <v>46</v>
      </c>
      <c r="EOH38" s="131" t="s">
        <v>44</v>
      </c>
      <c r="EOI38" s="133" t="s">
        <v>45</v>
      </c>
      <c r="EOJ38" s="134"/>
      <c r="EOK38" s="135"/>
      <c r="EOL38" s="125">
        <v>0</v>
      </c>
      <c r="EOM38" s="125">
        <v>40</v>
      </c>
      <c r="EON38" s="127">
        <f>SUM(EOM38)</f>
        <v>40</v>
      </c>
      <c r="EOO38" s="129" t="s">
        <v>46</v>
      </c>
      <c r="EOP38" s="131" t="s">
        <v>44</v>
      </c>
      <c r="EOQ38" s="133" t="s">
        <v>45</v>
      </c>
      <c r="EOR38" s="134"/>
      <c r="EOS38" s="135"/>
      <c r="EOT38" s="125">
        <v>0</v>
      </c>
      <c r="EOU38" s="125">
        <v>40</v>
      </c>
      <c r="EOV38" s="127">
        <f>SUM(EOU38)</f>
        <v>40</v>
      </c>
      <c r="EOW38" s="129" t="s">
        <v>46</v>
      </c>
      <c r="EOX38" s="131" t="s">
        <v>44</v>
      </c>
      <c r="EOY38" s="133" t="s">
        <v>45</v>
      </c>
      <c r="EOZ38" s="134"/>
      <c r="EPA38" s="135"/>
      <c r="EPB38" s="125">
        <v>0</v>
      </c>
      <c r="EPC38" s="125">
        <v>40</v>
      </c>
      <c r="EPD38" s="127">
        <f>SUM(EPC38)</f>
        <v>40</v>
      </c>
      <c r="EPE38" s="129" t="s">
        <v>46</v>
      </c>
      <c r="EPF38" s="131" t="s">
        <v>44</v>
      </c>
      <c r="EPG38" s="133" t="s">
        <v>45</v>
      </c>
      <c r="EPH38" s="134"/>
      <c r="EPI38" s="135"/>
      <c r="EPJ38" s="125">
        <v>0</v>
      </c>
      <c r="EPK38" s="125">
        <v>40</v>
      </c>
      <c r="EPL38" s="127">
        <f>SUM(EPK38)</f>
        <v>40</v>
      </c>
      <c r="EPM38" s="129" t="s">
        <v>46</v>
      </c>
      <c r="EPN38" s="131" t="s">
        <v>44</v>
      </c>
      <c r="EPO38" s="133" t="s">
        <v>45</v>
      </c>
      <c r="EPP38" s="134"/>
      <c r="EPQ38" s="135"/>
      <c r="EPR38" s="125">
        <v>0</v>
      </c>
      <c r="EPS38" s="125">
        <v>40</v>
      </c>
      <c r="EPT38" s="127">
        <f>SUM(EPS38)</f>
        <v>40</v>
      </c>
      <c r="EPU38" s="129" t="s">
        <v>46</v>
      </c>
      <c r="EPV38" s="131" t="s">
        <v>44</v>
      </c>
      <c r="EPW38" s="133" t="s">
        <v>45</v>
      </c>
      <c r="EPX38" s="134"/>
      <c r="EPY38" s="135"/>
      <c r="EPZ38" s="125">
        <v>0</v>
      </c>
      <c r="EQA38" s="125">
        <v>40</v>
      </c>
      <c r="EQB38" s="127">
        <f>SUM(EQA38)</f>
        <v>40</v>
      </c>
      <c r="EQC38" s="129" t="s">
        <v>46</v>
      </c>
      <c r="EQD38" s="131" t="s">
        <v>44</v>
      </c>
      <c r="EQE38" s="133" t="s">
        <v>45</v>
      </c>
      <c r="EQF38" s="134"/>
      <c r="EQG38" s="135"/>
      <c r="EQH38" s="125">
        <v>0</v>
      </c>
      <c r="EQI38" s="125">
        <v>40</v>
      </c>
      <c r="EQJ38" s="127">
        <f>SUM(EQI38)</f>
        <v>40</v>
      </c>
      <c r="EQK38" s="129" t="s">
        <v>46</v>
      </c>
      <c r="EQL38" s="131" t="s">
        <v>44</v>
      </c>
      <c r="EQM38" s="133" t="s">
        <v>45</v>
      </c>
      <c r="EQN38" s="134"/>
      <c r="EQO38" s="135"/>
      <c r="EQP38" s="125">
        <v>0</v>
      </c>
      <c r="EQQ38" s="125">
        <v>40</v>
      </c>
      <c r="EQR38" s="127">
        <f>SUM(EQQ38)</f>
        <v>40</v>
      </c>
      <c r="EQS38" s="129" t="s">
        <v>46</v>
      </c>
      <c r="EQT38" s="131" t="s">
        <v>44</v>
      </c>
      <c r="EQU38" s="133" t="s">
        <v>45</v>
      </c>
      <c r="EQV38" s="134"/>
      <c r="EQW38" s="135"/>
      <c r="EQX38" s="125">
        <v>0</v>
      </c>
      <c r="EQY38" s="125">
        <v>40</v>
      </c>
      <c r="EQZ38" s="127">
        <f>SUM(EQY38)</f>
        <v>40</v>
      </c>
      <c r="ERA38" s="129" t="s">
        <v>46</v>
      </c>
      <c r="ERB38" s="131" t="s">
        <v>44</v>
      </c>
      <c r="ERC38" s="133" t="s">
        <v>45</v>
      </c>
      <c r="ERD38" s="134"/>
      <c r="ERE38" s="135"/>
      <c r="ERF38" s="125">
        <v>0</v>
      </c>
      <c r="ERG38" s="125">
        <v>40</v>
      </c>
      <c r="ERH38" s="127">
        <f>SUM(ERG38)</f>
        <v>40</v>
      </c>
      <c r="ERI38" s="129" t="s">
        <v>46</v>
      </c>
      <c r="ERJ38" s="131" t="s">
        <v>44</v>
      </c>
      <c r="ERK38" s="133" t="s">
        <v>45</v>
      </c>
      <c r="ERL38" s="134"/>
      <c r="ERM38" s="135"/>
      <c r="ERN38" s="125">
        <v>0</v>
      </c>
      <c r="ERO38" s="125">
        <v>40</v>
      </c>
      <c r="ERP38" s="127">
        <f>SUM(ERO38)</f>
        <v>40</v>
      </c>
      <c r="ERQ38" s="129" t="s">
        <v>46</v>
      </c>
      <c r="ERR38" s="131" t="s">
        <v>44</v>
      </c>
      <c r="ERS38" s="133" t="s">
        <v>45</v>
      </c>
      <c r="ERT38" s="134"/>
      <c r="ERU38" s="135"/>
      <c r="ERV38" s="125">
        <v>0</v>
      </c>
      <c r="ERW38" s="125">
        <v>40</v>
      </c>
      <c r="ERX38" s="127">
        <f>SUM(ERW38)</f>
        <v>40</v>
      </c>
      <c r="ERY38" s="129" t="s">
        <v>46</v>
      </c>
      <c r="ERZ38" s="131" t="s">
        <v>44</v>
      </c>
      <c r="ESA38" s="133" t="s">
        <v>45</v>
      </c>
      <c r="ESB38" s="134"/>
      <c r="ESC38" s="135"/>
      <c r="ESD38" s="125">
        <v>0</v>
      </c>
      <c r="ESE38" s="125">
        <v>40</v>
      </c>
      <c r="ESF38" s="127">
        <f>SUM(ESE38)</f>
        <v>40</v>
      </c>
      <c r="ESG38" s="129" t="s">
        <v>46</v>
      </c>
      <c r="ESH38" s="131" t="s">
        <v>44</v>
      </c>
      <c r="ESI38" s="133" t="s">
        <v>45</v>
      </c>
      <c r="ESJ38" s="134"/>
      <c r="ESK38" s="135"/>
      <c r="ESL38" s="125">
        <v>0</v>
      </c>
      <c r="ESM38" s="125">
        <v>40</v>
      </c>
      <c r="ESN38" s="127">
        <f>SUM(ESM38)</f>
        <v>40</v>
      </c>
      <c r="ESO38" s="129" t="s">
        <v>46</v>
      </c>
      <c r="ESP38" s="131" t="s">
        <v>44</v>
      </c>
      <c r="ESQ38" s="133" t="s">
        <v>45</v>
      </c>
      <c r="ESR38" s="134"/>
      <c r="ESS38" s="135"/>
      <c r="EST38" s="125">
        <v>0</v>
      </c>
      <c r="ESU38" s="125">
        <v>40</v>
      </c>
      <c r="ESV38" s="127">
        <f>SUM(ESU38)</f>
        <v>40</v>
      </c>
      <c r="ESW38" s="129" t="s">
        <v>46</v>
      </c>
      <c r="ESX38" s="131" t="s">
        <v>44</v>
      </c>
      <c r="ESY38" s="133" t="s">
        <v>45</v>
      </c>
      <c r="ESZ38" s="134"/>
      <c r="ETA38" s="135"/>
      <c r="ETB38" s="125">
        <v>0</v>
      </c>
      <c r="ETC38" s="125">
        <v>40</v>
      </c>
      <c r="ETD38" s="127">
        <f>SUM(ETC38)</f>
        <v>40</v>
      </c>
      <c r="ETE38" s="129" t="s">
        <v>46</v>
      </c>
      <c r="ETF38" s="131" t="s">
        <v>44</v>
      </c>
      <c r="ETG38" s="133" t="s">
        <v>45</v>
      </c>
      <c r="ETH38" s="134"/>
      <c r="ETI38" s="135"/>
      <c r="ETJ38" s="125">
        <v>0</v>
      </c>
      <c r="ETK38" s="125">
        <v>40</v>
      </c>
      <c r="ETL38" s="127">
        <f>SUM(ETK38)</f>
        <v>40</v>
      </c>
      <c r="ETM38" s="129" t="s">
        <v>46</v>
      </c>
      <c r="ETN38" s="131" t="s">
        <v>44</v>
      </c>
      <c r="ETO38" s="133" t="s">
        <v>45</v>
      </c>
      <c r="ETP38" s="134"/>
      <c r="ETQ38" s="135"/>
      <c r="ETR38" s="125">
        <v>0</v>
      </c>
      <c r="ETS38" s="125">
        <v>40</v>
      </c>
      <c r="ETT38" s="127">
        <f>SUM(ETS38)</f>
        <v>40</v>
      </c>
      <c r="ETU38" s="129" t="s">
        <v>46</v>
      </c>
      <c r="ETV38" s="131" t="s">
        <v>44</v>
      </c>
      <c r="ETW38" s="133" t="s">
        <v>45</v>
      </c>
      <c r="ETX38" s="134"/>
      <c r="ETY38" s="135"/>
      <c r="ETZ38" s="125">
        <v>0</v>
      </c>
      <c r="EUA38" s="125">
        <v>40</v>
      </c>
      <c r="EUB38" s="127">
        <f>SUM(EUA38)</f>
        <v>40</v>
      </c>
      <c r="EUC38" s="129" t="s">
        <v>46</v>
      </c>
      <c r="EUD38" s="131" t="s">
        <v>44</v>
      </c>
      <c r="EUE38" s="133" t="s">
        <v>45</v>
      </c>
      <c r="EUF38" s="134"/>
      <c r="EUG38" s="135"/>
      <c r="EUH38" s="125">
        <v>0</v>
      </c>
      <c r="EUI38" s="125">
        <v>40</v>
      </c>
      <c r="EUJ38" s="127">
        <f>SUM(EUI38)</f>
        <v>40</v>
      </c>
      <c r="EUK38" s="129" t="s">
        <v>46</v>
      </c>
      <c r="EUL38" s="131" t="s">
        <v>44</v>
      </c>
      <c r="EUM38" s="133" t="s">
        <v>45</v>
      </c>
      <c r="EUN38" s="134"/>
      <c r="EUO38" s="135"/>
      <c r="EUP38" s="125">
        <v>0</v>
      </c>
      <c r="EUQ38" s="125">
        <v>40</v>
      </c>
      <c r="EUR38" s="127">
        <f>SUM(EUQ38)</f>
        <v>40</v>
      </c>
      <c r="EUS38" s="129" t="s">
        <v>46</v>
      </c>
      <c r="EUT38" s="131" t="s">
        <v>44</v>
      </c>
      <c r="EUU38" s="133" t="s">
        <v>45</v>
      </c>
      <c r="EUV38" s="134"/>
      <c r="EUW38" s="135"/>
      <c r="EUX38" s="125">
        <v>0</v>
      </c>
      <c r="EUY38" s="125">
        <v>40</v>
      </c>
      <c r="EUZ38" s="127">
        <f>SUM(EUY38)</f>
        <v>40</v>
      </c>
      <c r="EVA38" s="129" t="s">
        <v>46</v>
      </c>
      <c r="EVB38" s="131" t="s">
        <v>44</v>
      </c>
      <c r="EVC38" s="133" t="s">
        <v>45</v>
      </c>
      <c r="EVD38" s="134"/>
      <c r="EVE38" s="135"/>
      <c r="EVF38" s="125">
        <v>0</v>
      </c>
      <c r="EVG38" s="125">
        <v>40</v>
      </c>
      <c r="EVH38" s="127">
        <f>SUM(EVG38)</f>
        <v>40</v>
      </c>
      <c r="EVI38" s="129" t="s">
        <v>46</v>
      </c>
      <c r="EVJ38" s="131" t="s">
        <v>44</v>
      </c>
      <c r="EVK38" s="133" t="s">
        <v>45</v>
      </c>
      <c r="EVL38" s="134"/>
      <c r="EVM38" s="135"/>
      <c r="EVN38" s="125">
        <v>0</v>
      </c>
      <c r="EVO38" s="125">
        <v>40</v>
      </c>
      <c r="EVP38" s="127">
        <f>SUM(EVO38)</f>
        <v>40</v>
      </c>
      <c r="EVQ38" s="129" t="s">
        <v>46</v>
      </c>
      <c r="EVR38" s="131" t="s">
        <v>44</v>
      </c>
      <c r="EVS38" s="133" t="s">
        <v>45</v>
      </c>
      <c r="EVT38" s="134"/>
      <c r="EVU38" s="135"/>
      <c r="EVV38" s="125">
        <v>0</v>
      </c>
      <c r="EVW38" s="125">
        <v>40</v>
      </c>
      <c r="EVX38" s="127">
        <f>SUM(EVW38)</f>
        <v>40</v>
      </c>
      <c r="EVY38" s="129" t="s">
        <v>46</v>
      </c>
      <c r="EVZ38" s="131" t="s">
        <v>44</v>
      </c>
      <c r="EWA38" s="133" t="s">
        <v>45</v>
      </c>
      <c r="EWB38" s="134"/>
      <c r="EWC38" s="135"/>
      <c r="EWD38" s="125">
        <v>0</v>
      </c>
      <c r="EWE38" s="125">
        <v>40</v>
      </c>
      <c r="EWF38" s="127">
        <f>SUM(EWE38)</f>
        <v>40</v>
      </c>
      <c r="EWG38" s="129" t="s">
        <v>46</v>
      </c>
      <c r="EWH38" s="131" t="s">
        <v>44</v>
      </c>
      <c r="EWI38" s="133" t="s">
        <v>45</v>
      </c>
      <c r="EWJ38" s="134"/>
      <c r="EWK38" s="135"/>
      <c r="EWL38" s="125">
        <v>0</v>
      </c>
      <c r="EWM38" s="125">
        <v>40</v>
      </c>
      <c r="EWN38" s="127">
        <f>SUM(EWM38)</f>
        <v>40</v>
      </c>
      <c r="EWO38" s="129" t="s">
        <v>46</v>
      </c>
      <c r="EWP38" s="131" t="s">
        <v>44</v>
      </c>
      <c r="EWQ38" s="133" t="s">
        <v>45</v>
      </c>
      <c r="EWR38" s="134"/>
      <c r="EWS38" s="135"/>
      <c r="EWT38" s="125">
        <v>0</v>
      </c>
      <c r="EWU38" s="125">
        <v>40</v>
      </c>
      <c r="EWV38" s="127">
        <f>SUM(EWU38)</f>
        <v>40</v>
      </c>
      <c r="EWW38" s="129" t="s">
        <v>46</v>
      </c>
      <c r="EWX38" s="131" t="s">
        <v>44</v>
      </c>
      <c r="EWY38" s="133" t="s">
        <v>45</v>
      </c>
      <c r="EWZ38" s="134"/>
      <c r="EXA38" s="135"/>
      <c r="EXB38" s="125">
        <v>0</v>
      </c>
      <c r="EXC38" s="125">
        <v>40</v>
      </c>
      <c r="EXD38" s="127">
        <f>SUM(EXC38)</f>
        <v>40</v>
      </c>
      <c r="EXE38" s="129" t="s">
        <v>46</v>
      </c>
      <c r="EXF38" s="131" t="s">
        <v>44</v>
      </c>
      <c r="EXG38" s="133" t="s">
        <v>45</v>
      </c>
      <c r="EXH38" s="134"/>
      <c r="EXI38" s="135"/>
      <c r="EXJ38" s="125">
        <v>0</v>
      </c>
      <c r="EXK38" s="125">
        <v>40</v>
      </c>
      <c r="EXL38" s="127">
        <f>SUM(EXK38)</f>
        <v>40</v>
      </c>
      <c r="EXM38" s="129" t="s">
        <v>46</v>
      </c>
      <c r="EXN38" s="131" t="s">
        <v>44</v>
      </c>
      <c r="EXO38" s="133" t="s">
        <v>45</v>
      </c>
      <c r="EXP38" s="134"/>
      <c r="EXQ38" s="135"/>
      <c r="EXR38" s="125">
        <v>0</v>
      </c>
      <c r="EXS38" s="125">
        <v>40</v>
      </c>
      <c r="EXT38" s="127">
        <f>SUM(EXS38)</f>
        <v>40</v>
      </c>
      <c r="EXU38" s="129" t="s">
        <v>46</v>
      </c>
      <c r="EXV38" s="131" t="s">
        <v>44</v>
      </c>
      <c r="EXW38" s="133" t="s">
        <v>45</v>
      </c>
      <c r="EXX38" s="134"/>
      <c r="EXY38" s="135"/>
      <c r="EXZ38" s="125">
        <v>0</v>
      </c>
      <c r="EYA38" s="125">
        <v>40</v>
      </c>
      <c r="EYB38" s="127">
        <f>SUM(EYA38)</f>
        <v>40</v>
      </c>
      <c r="EYC38" s="129" t="s">
        <v>46</v>
      </c>
      <c r="EYD38" s="131" t="s">
        <v>44</v>
      </c>
      <c r="EYE38" s="133" t="s">
        <v>45</v>
      </c>
      <c r="EYF38" s="134"/>
      <c r="EYG38" s="135"/>
      <c r="EYH38" s="125">
        <v>0</v>
      </c>
      <c r="EYI38" s="125">
        <v>40</v>
      </c>
      <c r="EYJ38" s="127">
        <f>SUM(EYI38)</f>
        <v>40</v>
      </c>
      <c r="EYK38" s="129" t="s">
        <v>46</v>
      </c>
      <c r="EYL38" s="131" t="s">
        <v>44</v>
      </c>
      <c r="EYM38" s="133" t="s">
        <v>45</v>
      </c>
      <c r="EYN38" s="134"/>
      <c r="EYO38" s="135"/>
      <c r="EYP38" s="125">
        <v>0</v>
      </c>
      <c r="EYQ38" s="125">
        <v>40</v>
      </c>
      <c r="EYR38" s="127">
        <f>SUM(EYQ38)</f>
        <v>40</v>
      </c>
      <c r="EYS38" s="129" t="s">
        <v>46</v>
      </c>
      <c r="EYT38" s="131" t="s">
        <v>44</v>
      </c>
      <c r="EYU38" s="133" t="s">
        <v>45</v>
      </c>
      <c r="EYV38" s="134"/>
      <c r="EYW38" s="135"/>
      <c r="EYX38" s="125">
        <v>0</v>
      </c>
      <c r="EYY38" s="125">
        <v>40</v>
      </c>
      <c r="EYZ38" s="127">
        <f>SUM(EYY38)</f>
        <v>40</v>
      </c>
      <c r="EZA38" s="129" t="s">
        <v>46</v>
      </c>
      <c r="EZB38" s="131" t="s">
        <v>44</v>
      </c>
      <c r="EZC38" s="133" t="s">
        <v>45</v>
      </c>
      <c r="EZD38" s="134"/>
      <c r="EZE38" s="135"/>
      <c r="EZF38" s="125">
        <v>0</v>
      </c>
      <c r="EZG38" s="125">
        <v>40</v>
      </c>
      <c r="EZH38" s="127">
        <f>SUM(EZG38)</f>
        <v>40</v>
      </c>
      <c r="EZI38" s="129" t="s">
        <v>46</v>
      </c>
      <c r="EZJ38" s="131" t="s">
        <v>44</v>
      </c>
      <c r="EZK38" s="133" t="s">
        <v>45</v>
      </c>
      <c r="EZL38" s="134"/>
      <c r="EZM38" s="135"/>
      <c r="EZN38" s="125">
        <v>0</v>
      </c>
      <c r="EZO38" s="125">
        <v>40</v>
      </c>
      <c r="EZP38" s="127">
        <f>SUM(EZO38)</f>
        <v>40</v>
      </c>
      <c r="EZQ38" s="129" t="s">
        <v>46</v>
      </c>
      <c r="EZR38" s="131" t="s">
        <v>44</v>
      </c>
      <c r="EZS38" s="133" t="s">
        <v>45</v>
      </c>
      <c r="EZT38" s="134"/>
      <c r="EZU38" s="135"/>
      <c r="EZV38" s="125">
        <v>0</v>
      </c>
      <c r="EZW38" s="125">
        <v>40</v>
      </c>
      <c r="EZX38" s="127">
        <f>SUM(EZW38)</f>
        <v>40</v>
      </c>
      <c r="EZY38" s="129" t="s">
        <v>46</v>
      </c>
      <c r="EZZ38" s="131" t="s">
        <v>44</v>
      </c>
      <c r="FAA38" s="133" t="s">
        <v>45</v>
      </c>
      <c r="FAB38" s="134"/>
      <c r="FAC38" s="135"/>
      <c r="FAD38" s="125">
        <v>0</v>
      </c>
      <c r="FAE38" s="125">
        <v>40</v>
      </c>
      <c r="FAF38" s="127">
        <f>SUM(FAE38)</f>
        <v>40</v>
      </c>
      <c r="FAG38" s="129" t="s">
        <v>46</v>
      </c>
      <c r="FAH38" s="131" t="s">
        <v>44</v>
      </c>
      <c r="FAI38" s="133" t="s">
        <v>45</v>
      </c>
      <c r="FAJ38" s="134"/>
      <c r="FAK38" s="135"/>
      <c r="FAL38" s="125">
        <v>0</v>
      </c>
      <c r="FAM38" s="125">
        <v>40</v>
      </c>
      <c r="FAN38" s="127">
        <f>SUM(FAM38)</f>
        <v>40</v>
      </c>
      <c r="FAO38" s="129" t="s">
        <v>46</v>
      </c>
      <c r="FAP38" s="131" t="s">
        <v>44</v>
      </c>
      <c r="FAQ38" s="133" t="s">
        <v>45</v>
      </c>
      <c r="FAR38" s="134"/>
      <c r="FAS38" s="135"/>
      <c r="FAT38" s="125">
        <v>0</v>
      </c>
      <c r="FAU38" s="125">
        <v>40</v>
      </c>
      <c r="FAV38" s="127">
        <f>SUM(FAU38)</f>
        <v>40</v>
      </c>
      <c r="FAW38" s="129" t="s">
        <v>46</v>
      </c>
      <c r="FAX38" s="131" t="s">
        <v>44</v>
      </c>
      <c r="FAY38" s="133" t="s">
        <v>45</v>
      </c>
      <c r="FAZ38" s="134"/>
      <c r="FBA38" s="135"/>
      <c r="FBB38" s="125">
        <v>0</v>
      </c>
      <c r="FBC38" s="125">
        <v>40</v>
      </c>
      <c r="FBD38" s="127">
        <f>SUM(FBC38)</f>
        <v>40</v>
      </c>
      <c r="FBE38" s="129" t="s">
        <v>46</v>
      </c>
      <c r="FBF38" s="131" t="s">
        <v>44</v>
      </c>
      <c r="FBG38" s="133" t="s">
        <v>45</v>
      </c>
      <c r="FBH38" s="134"/>
      <c r="FBI38" s="135"/>
      <c r="FBJ38" s="125">
        <v>0</v>
      </c>
      <c r="FBK38" s="125">
        <v>40</v>
      </c>
      <c r="FBL38" s="127">
        <f>SUM(FBK38)</f>
        <v>40</v>
      </c>
      <c r="FBM38" s="129" t="s">
        <v>46</v>
      </c>
      <c r="FBN38" s="131" t="s">
        <v>44</v>
      </c>
      <c r="FBO38" s="133" t="s">
        <v>45</v>
      </c>
      <c r="FBP38" s="134"/>
      <c r="FBQ38" s="135"/>
      <c r="FBR38" s="125">
        <v>0</v>
      </c>
      <c r="FBS38" s="125">
        <v>40</v>
      </c>
      <c r="FBT38" s="127">
        <f>SUM(FBS38)</f>
        <v>40</v>
      </c>
      <c r="FBU38" s="129" t="s">
        <v>46</v>
      </c>
      <c r="FBV38" s="131" t="s">
        <v>44</v>
      </c>
      <c r="FBW38" s="133" t="s">
        <v>45</v>
      </c>
      <c r="FBX38" s="134"/>
      <c r="FBY38" s="135"/>
      <c r="FBZ38" s="125">
        <v>0</v>
      </c>
      <c r="FCA38" s="125">
        <v>40</v>
      </c>
      <c r="FCB38" s="127">
        <f>SUM(FCA38)</f>
        <v>40</v>
      </c>
      <c r="FCC38" s="129" t="s">
        <v>46</v>
      </c>
      <c r="FCD38" s="131" t="s">
        <v>44</v>
      </c>
      <c r="FCE38" s="133" t="s">
        <v>45</v>
      </c>
      <c r="FCF38" s="134"/>
      <c r="FCG38" s="135"/>
      <c r="FCH38" s="125">
        <v>0</v>
      </c>
      <c r="FCI38" s="125">
        <v>40</v>
      </c>
      <c r="FCJ38" s="127">
        <f>SUM(FCI38)</f>
        <v>40</v>
      </c>
      <c r="FCK38" s="129" t="s">
        <v>46</v>
      </c>
      <c r="FCL38" s="131" t="s">
        <v>44</v>
      </c>
      <c r="FCM38" s="133" t="s">
        <v>45</v>
      </c>
      <c r="FCN38" s="134"/>
      <c r="FCO38" s="135"/>
      <c r="FCP38" s="125">
        <v>0</v>
      </c>
      <c r="FCQ38" s="125">
        <v>40</v>
      </c>
      <c r="FCR38" s="127">
        <f>SUM(FCQ38)</f>
        <v>40</v>
      </c>
      <c r="FCS38" s="129" t="s">
        <v>46</v>
      </c>
      <c r="FCT38" s="131" t="s">
        <v>44</v>
      </c>
      <c r="FCU38" s="133" t="s">
        <v>45</v>
      </c>
      <c r="FCV38" s="134"/>
      <c r="FCW38" s="135"/>
      <c r="FCX38" s="125">
        <v>0</v>
      </c>
      <c r="FCY38" s="125">
        <v>40</v>
      </c>
      <c r="FCZ38" s="127">
        <f>SUM(FCY38)</f>
        <v>40</v>
      </c>
      <c r="FDA38" s="129" t="s">
        <v>46</v>
      </c>
      <c r="FDB38" s="131" t="s">
        <v>44</v>
      </c>
      <c r="FDC38" s="133" t="s">
        <v>45</v>
      </c>
      <c r="FDD38" s="134"/>
      <c r="FDE38" s="135"/>
      <c r="FDF38" s="125">
        <v>0</v>
      </c>
      <c r="FDG38" s="125">
        <v>40</v>
      </c>
      <c r="FDH38" s="127">
        <f>SUM(FDG38)</f>
        <v>40</v>
      </c>
      <c r="FDI38" s="129" t="s">
        <v>46</v>
      </c>
      <c r="FDJ38" s="131" t="s">
        <v>44</v>
      </c>
      <c r="FDK38" s="133" t="s">
        <v>45</v>
      </c>
      <c r="FDL38" s="134"/>
      <c r="FDM38" s="135"/>
      <c r="FDN38" s="125">
        <v>0</v>
      </c>
      <c r="FDO38" s="125">
        <v>40</v>
      </c>
      <c r="FDP38" s="127">
        <f>SUM(FDO38)</f>
        <v>40</v>
      </c>
      <c r="FDQ38" s="129" t="s">
        <v>46</v>
      </c>
      <c r="FDR38" s="131" t="s">
        <v>44</v>
      </c>
      <c r="FDS38" s="133" t="s">
        <v>45</v>
      </c>
      <c r="FDT38" s="134"/>
      <c r="FDU38" s="135"/>
      <c r="FDV38" s="125">
        <v>0</v>
      </c>
      <c r="FDW38" s="125">
        <v>40</v>
      </c>
      <c r="FDX38" s="127">
        <f>SUM(FDW38)</f>
        <v>40</v>
      </c>
      <c r="FDY38" s="129" t="s">
        <v>46</v>
      </c>
      <c r="FDZ38" s="131" t="s">
        <v>44</v>
      </c>
      <c r="FEA38" s="133" t="s">
        <v>45</v>
      </c>
      <c r="FEB38" s="134"/>
      <c r="FEC38" s="135"/>
      <c r="FED38" s="125">
        <v>0</v>
      </c>
      <c r="FEE38" s="125">
        <v>40</v>
      </c>
      <c r="FEF38" s="127">
        <f>SUM(FEE38)</f>
        <v>40</v>
      </c>
      <c r="FEG38" s="129" t="s">
        <v>46</v>
      </c>
      <c r="FEH38" s="131" t="s">
        <v>44</v>
      </c>
      <c r="FEI38" s="133" t="s">
        <v>45</v>
      </c>
      <c r="FEJ38" s="134"/>
      <c r="FEK38" s="135"/>
      <c r="FEL38" s="125">
        <v>0</v>
      </c>
      <c r="FEM38" s="125">
        <v>40</v>
      </c>
      <c r="FEN38" s="127">
        <f>SUM(FEM38)</f>
        <v>40</v>
      </c>
      <c r="FEO38" s="129" t="s">
        <v>46</v>
      </c>
      <c r="FEP38" s="131" t="s">
        <v>44</v>
      </c>
      <c r="FEQ38" s="133" t="s">
        <v>45</v>
      </c>
      <c r="FER38" s="134"/>
      <c r="FES38" s="135"/>
      <c r="FET38" s="125">
        <v>0</v>
      </c>
      <c r="FEU38" s="125">
        <v>40</v>
      </c>
      <c r="FEV38" s="127">
        <f>SUM(FEU38)</f>
        <v>40</v>
      </c>
      <c r="FEW38" s="129" t="s">
        <v>46</v>
      </c>
      <c r="FEX38" s="131" t="s">
        <v>44</v>
      </c>
      <c r="FEY38" s="133" t="s">
        <v>45</v>
      </c>
      <c r="FEZ38" s="134"/>
      <c r="FFA38" s="135"/>
      <c r="FFB38" s="125">
        <v>0</v>
      </c>
      <c r="FFC38" s="125">
        <v>40</v>
      </c>
      <c r="FFD38" s="127">
        <f>SUM(FFC38)</f>
        <v>40</v>
      </c>
      <c r="FFE38" s="129" t="s">
        <v>46</v>
      </c>
      <c r="FFF38" s="131" t="s">
        <v>44</v>
      </c>
      <c r="FFG38" s="133" t="s">
        <v>45</v>
      </c>
      <c r="FFH38" s="134"/>
      <c r="FFI38" s="135"/>
      <c r="FFJ38" s="125">
        <v>0</v>
      </c>
      <c r="FFK38" s="125">
        <v>40</v>
      </c>
      <c r="FFL38" s="127">
        <f>SUM(FFK38)</f>
        <v>40</v>
      </c>
      <c r="FFM38" s="129" t="s">
        <v>46</v>
      </c>
      <c r="FFN38" s="131" t="s">
        <v>44</v>
      </c>
      <c r="FFO38" s="133" t="s">
        <v>45</v>
      </c>
      <c r="FFP38" s="134"/>
      <c r="FFQ38" s="135"/>
      <c r="FFR38" s="125">
        <v>0</v>
      </c>
      <c r="FFS38" s="125">
        <v>40</v>
      </c>
      <c r="FFT38" s="127">
        <f>SUM(FFS38)</f>
        <v>40</v>
      </c>
      <c r="FFU38" s="129" t="s">
        <v>46</v>
      </c>
      <c r="FFV38" s="131" t="s">
        <v>44</v>
      </c>
      <c r="FFW38" s="133" t="s">
        <v>45</v>
      </c>
      <c r="FFX38" s="134"/>
      <c r="FFY38" s="135"/>
      <c r="FFZ38" s="125">
        <v>0</v>
      </c>
      <c r="FGA38" s="125">
        <v>40</v>
      </c>
      <c r="FGB38" s="127">
        <f>SUM(FGA38)</f>
        <v>40</v>
      </c>
      <c r="FGC38" s="129" t="s">
        <v>46</v>
      </c>
      <c r="FGD38" s="131" t="s">
        <v>44</v>
      </c>
      <c r="FGE38" s="133" t="s">
        <v>45</v>
      </c>
      <c r="FGF38" s="134"/>
      <c r="FGG38" s="135"/>
      <c r="FGH38" s="125">
        <v>0</v>
      </c>
      <c r="FGI38" s="125">
        <v>40</v>
      </c>
      <c r="FGJ38" s="127">
        <f>SUM(FGI38)</f>
        <v>40</v>
      </c>
      <c r="FGK38" s="129" t="s">
        <v>46</v>
      </c>
      <c r="FGL38" s="131" t="s">
        <v>44</v>
      </c>
      <c r="FGM38" s="133" t="s">
        <v>45</v>
      </c>
      <c r="FGN38" s="134"/>
      <c r="FGO38" s="135"/>
      <c r="FGP38" s="125">
        <v>0</v>
      </c>
      <c r="FGQ38" s="125">
        <v>40</v>
      </c>
      <c r="FGR38" s="127">
        <f>SUM(FGQ38)</f>
        <v>40</v>
      </c>
      <c r="FGS38" s="129" t="s">
        <v>46</v>
      </c>
      <c r="FGT38" s="131" t="s">
        <v>44</v>
      </c>
      <c r="FGU38" s="133" t="s">
        <v>45</v>
      </c>
      <c r="FGV38" s="134"/>
      <c r="FGW38" s="135"/>
      <c r="FGX38" s="125">
        <v>0</v>
      </c>
      <c r="FGY38" s="125">
        <v>40</v>
      </c>
      <c r="FGZ38" s="127">
        <f>SUM(FGY38)</f>
        <v>40</v>
      </c>
      <c r="FHA38" s="129" t="s">
        <v>46</v>
      </c>
      <c r="FHB38" s="131" t="s">
        <v>44</v>
      </c>
      <c r="FHC38" s="133" t="s">
        <v>45</v>
      </c>
      <c r="FHD38" s="134"/>
      <c r="FHE38" s="135"/>
      <c r="FHF38" s="125">
        <v>0</v>
      </c>
      <c r="FHG38" s="125">
        <v>40</v>
      </c>
      <c r="FHH38" s="127">
        <f>SUM(FHG38)</f>
        <v>40</v>
      </c>
      <c r="FHI38" s="129" t="s">
        <v>46</v>
      </c>
      <c r="FHJ38" s="131" t="s">
        <v>44</v>
      </c>
      <c r="FHK38" s="133" t="s">
        <v>45</v>
      </c>
      <c r="FHL38" s="134"/>
      <c r="FHM38" s="135"/>
      <c r="FHN38" s="125">
        <v>0</v>
      </c>
      <c r="FHO38" s="125">
        <v>40</v>
      </c>
      <c r="FHP38" s="127">
        <f>SUM(FHO38)</f>
        <v>40</v>
      </c>
      <c r="FHQ38" s="129" t="s">
        <v>46</v>
      </c>
      <c r="FHR38" s="131" t="s">
        <v>44</v>
      </c>
      <c r="FHS38" s="133" t="s">
        <v>45</v>
      </c>
      <c r="FHT38" s="134"/>
      <c r="FHU38" s="135"/>
      <c r="FHV38" s="125">
        <v>0</v>
      </c>
      <c r="FHW38" s="125">
        <v>40</v>
      </c>
      <c r="FHX38" s="127">
        <f>SUM(FHW38)</f>
        <v>40</v>
      </c>
      <c r="FHY38" s="129" t="s">
        <v>46</v>
      </c>
      <c r="FHZ38" s="131" t="s">
        <v>44</v>
      </c>
      <c r="FIA38" s="133" t="s">
        <v>45</v>
      </c>
      <c r="FIB38" s="134"/>
      <c r="FIC38" s="135"/>
      <c r="FID38" s="125">
        <v>0</v>
      </c>
      <c r="FIE38" s="125">
        <v>40</v>
      </c>
      <c r="FIF38" s="127">
        <f>SUM(FIE38)</f>
        <v>40</v>
      </c>
      <c r="FIG38" s="129" t="s">
        <v>46</v>
      </c>
      <c r="FIH38" s="131" t="s">
        <v>44</v>
      </c>
      <c r="FII38" s="133" t="s">
        <v>45</v>
      </c>
      <c r="FIJ38" s="134"/>
      <c r="FIK38" s="135"/>
      <c r="FIL38" s="125">
        <v>0</v>
      </c>
      <c r="FIM38" s="125">
        <v>40</v>
      </c>
      <c r="FIN38" s="127">
        <f>SUM(FIM38)</f>
        <v>40</v>
      </c>
      <c r="FIO38" s="129" t="s">
        <v>46</v>
      </c>
      <c r="FIP38" s="131" t="s">
        <v>44</v>
      </c>
      <c r="FIQ38" s="133" t="s">
        <v>45</v>
      </c>
      <c r="FIR38" s="134"/>
      <c r="FIS38" s="135"/>
      <c r="FIT38" s="125">
        <v>0</v>
      </c>
      <c r="FIU38" s="125">
        <v>40</v>
      </c>
      <c r="FIV38" s="127">
        <f>SUM(FIU38)</f>
        <v>40</v>
      </c>
      <c r="FIW38" s="129" t="s">
        <v>46</v>
      </c>
      <c r="FIX38" s="131" t="s">
        <v>44</v>
      </c>
      <c r="FIY38" s="133" t="s">
        <v>45</v>
      </c>
      <c r="FIZ38" s="134"/>
      <c r="FJA38" s="135"/>
      <c r="FJB38" s="125">
        <v>0</v>
      </c>
      <c r="FJC38" s="125">
        <v>40</v>
      </c>
      <c r="FJD38" s="127">
        <f>SUM(FJC38)</f>
        <v>40</v>
      </c>
      <c r="FJE38" s="129" t="s">
        <v>46</v>
      </c>
      <c r="FJF38" s="131" t="s">
        <v>44</v>
      </c>
      <c r="FJG38" s="133" t="s">
        <v>45</v>
      </c>
      <c r="FJH38" s="134"/>
      <c r="FJI38" s="135"/>
      <c r="FJJ38" s="125">
        <v>0</v>
      </c>
      <c r="FJK38" s="125">
        <v>40</v>
      </c>
      <c r="FJL38" s="127">
        <f>SUM(FJK38)</f>
        <v>40</v>
      </c>
      <c r="FJM38" s="129" t="s">
        <v>46</v>
      </c>
      <c r="FJN38" s="131" t="s">
        <v>44</v>
      </c>
      <c r="FJO38" s="133" t="s">
        <v>45</v>
      </c>
      <c r="FJP38" s="134"/>
      <c r="FJQ38" s="135"/>
      <c r="FJR38" s="125">
        <v>0</v>
      </c>
      <c r="FJS38" s="125">
        <v>40</v>
      </c>
      <c r="FJT38" s="127">
        <f>SUM(FJS38)</f>
        <v>40</v>
      </c>
      <c r="FJU38" s="129" t="s">
        <v>46</v>
      </c>
      <c r="FJV38" s="131" t="s">
        <v>44</v>
      </c>
      <c r="FJW38" s="133" t="s">
        <v>45</v>
      </c>
      <c r="FJX38" s="134"/>
      <c r="FJY38" s="135"/>
      <c r="FJZ38" s="125">
        <v>0</v>
      </c>
      <c r="FKA38" s="125">
        <v>40</v>
      </c>
      <c r="FKB38" s="127">
        <f>SUM(FKA38)</f>
        <v>40</v>
      </c>
      <c r="FKC38" s="129" t="s">
        <v>46</v>
      </c>
      <c r="FKD38" s="131" t="s">
        <v>44</v>
      </c>
      <c r="FKE38" s="133" t="s">
        <v>45</v>
      </c>
      <c r="FKF38" s="134"/>
      <c r="FKG38" s="135"/>
      <c r="FKH38" s="125">
        <v>0</v>
      </c>
      <c r="FKI38" s="125">
        <v>40</v>
      </c>
      <c r="FKJ38" s="127">
        <f>SUM(FKI38)</f>
        <v>40</v>
      </c>
      <c r="FKK38" s="129" t="s">
        <v>46</v>
      </c>
      <c r="FKL38" s="131" t="s">
        <v>44</v>
      </c>
      <c r="FKM38" s="133" t="s">
        <v>45</v>
      </c>
      <c r="FKN38" s="134"/>
      <c r="FKO38" s="135"/>
      <c r="FKP38" s="125">
        <v>0</v>
      </c>
      <c r="FKQ38" s="125">
        <v>40</v>
      </c>
      <c r="FKR38" s="127">
        <f>SUM(FKQ38)</f>
        <v>40</v>
      </c>
      <c r="FKS38" s="129" t="s">
        <v>46</v>
      </c>
      <c r="FKT38" s="131" t="s">
        <v>44</v>
      </c>
      <c r="FKU38" s="133" t="s">
        <v>45</v>
      </c>
      <c r="FKV38" s="134"/>
      <c r="FKW38" s="135"/>
      <c r="FKX38" s="125">
        <v>0</v>
      </c>
      <c r="FKY38" s="125">
        <v>40</v>
      </c>
      <c r="FKZ38" s="127">
        <f>SUM(FKY38)</f>
        <v>40</v>
      </c>
      <c r="FLA38" s="129" t="s">
        <v>46</v>
      </c>
      <c r="FLB38" s="131" t="s">
        <v>44</v>
      </c>
      <c r="FLC38" s="133" t="s">
        <v>45</v>
      </c>
      <c r="FLD38" s="134"/>
      <c r="FLE38" s="135"/>
      <c r="FLF38" s="125">
        <v>0</v>
      </c>
      <c r="FLG38" s="125">
        <v>40</v>
      </c>
      <c r="FLH38" s="127">
        <f>SUM(FLG38)</f>
        <v>40</v>
      </c>
      <c r="FLI38" s="129" t="s">
        <v>46</v>
      </c>
      <c r="FLJ38" s="131" t="s">
        <v>44</v>
      </c>
      <c r="FLK38" s="133" t="s">
        <v>45</v>
      </c>
      <c r="FLL38" s="134"/>
      <c r="FLM38" s="135"/>
      <c r="FLN38" s="125">
        <v>0</v>
      </c>
      <c r="FLO38" s="125">
        <v>40</v>
      </c>
      <c r="FLP38" s="127">
        <f>SUM(FLO38)</f>
        <v>40</v>
      </c>
      <c r="FLQ38" s="129" t="s">
        <v>46</v>
      </c>
      <c r="FLR38" s="131" t="s">
        <v>44</v>
      </c>
      <c r="FLS38" s="133" t="s">
        <v>45</v>
      </c>
      <c r="FLT38" s="134"/>
      <c r="FLU38" s="135"/>
      <c r="FLV38" s="125">
        <v>0</v>
      </c>
      <c r="FLW38" s="125">
        <v>40</v>
      </c>
      <c r="FLX38" s="127">
        <f>SUM(FLW38)</f>
        <v>40</v>
      </c>
      <c r="FLY38" s="129" t="s">
        <v>46</v>
      </c>
      <c r="FLZ38" s="131" t="s">
        <v>44</v>
      </c>
      <c r="FMA38" s="133" t="s">
        <v>45</v>
      </c>
      <c r="FMB38" s="134"/>
      <c r="FMC38" s="135"/>
      <c r="FMD38" s="125">
        <v>0</v>
      </c>
      <c r="FME38" s="125">
        <v>40</v>
      </c>
      <c r="FMF38" s="127">
        <f>SUM(FME38)</f>
        <v>40</v>
      </c>
      <c r="FMG38" s="129" t="s">
        <v>46</v>
      </c>
      <c r="FMH38" s="131" t="s">
        <v>44</v>
      </c>
      <c r="FMI38" s="133" t="s">
        <v>45</v>
      </c>
      <c r="FMJ38" s="134"/>
      <c r="FMK38" s="135"/>
      <c r="FML38" s="125">
        <v>0</v>
      </c>
      <c r="FMM38" s="125">
        <v>40</v>
      </c>
      <c r="FMN38" s="127">
        <f>SUM(FMM38)</f>
        <v>40</v>
      </c>
      <c r="FMO38" s="129" t="s">
        <v>46</v>
      </c>
      <c r="FMP38" s="131" t="s">
        <v>44</v>
      </c>
      <c r="FMQ38" s="133" t="s">
        <v>45</v>
      </c>
      <c r="FMR38" s="134"/>
      <c r="FMS38" s="135"/>
      <c r="FMT38" s="125">
        <v>0</v>
      </c>
      <c r="FMU38" s="125">
        <v>40</v>
      </c>
      <c r="FMV38" s="127">
        <f>SUM(FMU38)</f>
        <v>40</v>
      </c>
      <c r="FMW38" s="129" t="s">
        <v>46</v>
      </c>
      <c r="FMX38" s="131" t="s">
        <v>44</v>
      </c>
      <c r="FMY38" s="133" t="s">
        <v>45</v>
      </c>
      <c r="FMZ38" s="134"/>
      <c r="FNA38" s="135"/>
      <c r="FNB38" s="125">
        <v>0</v>
      </c>
      <c r="FNC38" s="125">
        <v>40</v>
      </c>
      <c r="FND38" s="127">
        <f>SUM(FNC38)</f>
        <v>40</v>
      </c>
      <c r="FNE38" s="129" t="s">
        <v>46</v>
      </c>
      <c r="FNF38" s="131" t="s">
        <v>44</v>
      </c>
      <c r="FNG38" s="133" t="s">
        <v>45</v>
      </c>
      <c r="FNH38" s="134"/>
      <c r="FNI38" s="135"/>
      <c r="FNJ38" s="125">
        <v>0</v>
      </c>
      <c r="FNK38" s="125">
        <v>40</v>
      </c>
      <c r="FNL38" s="127">
        <f>SUM(FNK38)</f>
        <v>40</v>
      </c>
      <c r="FNM38" s="129" t="s">
        <v>46</v>
      </c>
      <c r="FNN38" s="131" t="s">
        <v>44</v>
      </c>
      <c r="FNO38" s="133" t="s">
        <v>45</v>
      </c>
      <c r="FNP38" s="134"/>
      <c r="FNQ38" s="135"/>
      <c r="FNR38" s="125">
        <v>0</v>
      </c>
      <c r="FNS38" s="125">
        <v>40</v>
      </c>
      <c r="FNT38" s="127">
        <f>SUM(FNS38)</f>
        <v>40</v>
      </c>
      <c r="FNU38" s="129" t="s">
        <v>46</v>
      </c>
      <c r="FNV38" s="131" t="s">
        <v>44</v>
      </c>
      <c r="FNW38" s="133" t="s">
        <v>45</v>
      </c>
      <c r="FNX38" s="134"/>
      <c r="FNY38" s="135"/>
      <c r="FNZ38" s="125">
        <v>0</v>
      </c>
      <c r="FOA38" s="125">
        <v>40</v>
      </c>
      <c r="FOB38" s="127">
        <f>SUM(FOA38)</f>
        <v>40</v>
      </c>
      <c r="FOC38" s="129" t="s">
        <v>46</v>
      </c>
      <c r="FOD38" s="131" t="s">
        <v>44</v>
      </c>
      <c r="FOE38" s="133" t="s">
        <v>45</v>
      </c>
      <c r="FOF38" s="134"/>
      <c r="FOG38" s="135"/>
      <c r="FOH38" s="125">
        <v>0</v>
      </c>
      <c r="FOI38" s="125">
        <v>40</v>
      </c>
      <c r="FOJ38" s="127">
        <f>SUM(FOI38)</f>
        <v>40</v>
      </c>
      <c r="FOK38" s="129" t="s">
        <v>46</v>
      </c>
      <c r="FOL38" s="131" t="s">
        <v>44</v>
      </c>
      <c r="FOM38" s="133" t="s">
        <v>45</v>
      </c>
      <c r="FON38" s="134"/>
      <c r="FOO38" s="135"/>
      <c r="FOP38" s="125">
        <v>0</v>
      </c>
      <c r="FOQ38" s="125">
        <v>40</v>
      </c>
      <c r="FOR38" s="127">
        <f>SUM(FOQ38)</f>
        <v>40</v>
      </c>
      <c r="FOS38" s="129" t="s">
        <v>46</v>
      </c>
      <c r="FOT38" s="131" t="s">
        <v>44</v>
      </c>
      <c r="FOU38" s="133" t="s">
        <v>45</v>
      </c>
      <c r="FOV38" s="134"/>
      <c r="FOW38" s="135"/>
      <c r="FOX38" s="125">
        <v>0</v>
      </c>
      <c r="FOY38" s="125">
        <v>40</v>
      </c>
      <c r="FOZ38" s="127">
        <f>SUM(FOY38)</f>
        <v>40</v>
      </c>
      <c r="FPA38" s="129" t="s">
        <v>46</v>
      </c>
      <c r="FPB38" s="131" t="s">
        <v>44</v>
      </c>
      <c r="FPC38" s="133" t="s">
        <v>45</v>
      </c>
      <c r="FPD38" s="134"/>
      <c r="FPE38" s="135"/>
      <c r="FPF38" s="125">
        <v>0</v>
      </c>
      <c r="FPG38" s="125">
        <v>40</v>
      </c>
      <c r="FPH38" s="127">
        <f>SUM(FPG38)</f>
        <v>40</v>
      </c>
      <c r="FPI38" s="129" t="s">
        <v>46</v>
      </c>
      <c r="FPJ38" s="131" t="s">
        <v>44</v>
      </c>
      <c r="FPK38" s="133" t="s">
        <v>45</v>
      </c>
      <c r="FPL38" s="134"/>
      <c r="FPM38" s="135"/>
      <c r="FPN38" s="125">
        <v>0</v>
      </c>
      <c r="FPO38" s="125">
        <v>40</v>
      </c>
      <c r="FPP38" s="127">
        <f>SUM(FPO38)</f>
        <v>40</v>
      </c>
      <c r="FPQ38" s="129" t="s">
        <v>46</v>
      </c>
      <c r="FPR38" s="131" t="s">
        <v>44</v>
      </c>
      <c r="FPS38" s="133" t="s">
        <v>45</v>
      </c>
      <c r="FPT38" s="134"/>
      <c r="FPU38" s="135"/>
      <c r="FPV38" s="125">
        <v>0</v>
      </c>
      <c r="FPW38" s="125">
        <v>40</v>
      </c>
      <c r="FPX38" s="127">
        <f>SUM(FPW38)</f>
        <v>40</v>
      </c>
      <c r="FPY38" s="129" t="s">
        <v>46</v>
      </c>
      <c r="FPZ38" s="131" t="s">
        <v>44</v>
      </c>
      <c r="FQA38" s="133" t="s">
        <v>45</v>
      </c>
      <c r="FQB38" s="134"/>
      <c r="FQC38" s="135"/>
      <c r="FQD38" s="125">
        <v>0</v>
      </c>
      <c r="FQE38" s="125">
        <v>40</v>
      </c>
      <c r="FQF38" s="127">
        <f>SUM(FQE38)</f>
        <v>40</v>
      </c>
      <c r="FQG38" s="129" t="s">
        <v>46</v>
      </c>
      <c r="FQH38" s="131" t="s">
        <v>44</v>
      </c>
      <c r="FQI38" s="133" t="s">
        <v>45</v>
      </c>
      <c r="FQJ38" s="134"/>
      <c r="FQK38" s="135"/>
      <c r="FQL38" s="125">
        <v>0</v>
      </c>
      <c r="FQM38" s="125">
        <v>40</v>
      </c>
      <c r="FQN38" s="127">
        <f>SUM(FQM38)</f>
        <v>40</v>
      </c>
      <c r="FQO38" s="129" t="s">
        <v>46</v>
      </c>
      <c r="FQP38" s="131" t="s">
        <v>44</v>
      </c>
      <c r="FQQ38" s="133" t="s">
        <v>45</v>
      </c>
      <c r="FQR38" s="134"/>
      <c r="FQS38" s="135"/>
      <c r="FQT38" s="125">
        <v>0</v>
      </c>
      <c r="FQU38" s="125">
        <v>40</v>
      </c>
      <c r="FQV38" s="127">
        <f>SUM(FQU38)</f>
        <v>40</v>
      </c>
      <c r="FQW38" s="129" t="s">
        <v>46</v>
      </c>
      <c r="FQX38" s="131" t="s">
        <v>44</v>
      </c>
      <c r="FQY38" s="133" t="s">
        <v>45</v>
      </c>
      <c r="FQZ38" s="134"/>
      <c r="FRA38" s="135"/>
      <c r="FRB38" s="125">
        <v>0</v>
      </c>
      <c r="FRC38" s="125">
        <v>40</v>
      </c>
      <c r="FRD38" s="127">
        <f>SUM(FRC38)</f>
        <v>40</v>
      </c>
      <c r="FRE38" s="129" t="s">
        <v>46</v>
      </c>
      <c r="FRF38" s="131" t="s">
        <v>44</v>
      </c>
      <c r="FRG38" s="133" t="s">
        <v>45</v>
      </c>
      <c r="FRH38" s="134"/>
      <c r="FRI38" s="135"/>
      <c r="FRJ38" s="125">
        <v>0</v>
      </c>
      <c r="FRK38" s="125">
        <v>40</v>
      </c>
      <c r="FRL38" s="127">
        <f>SUM(FRK38)</f>
        <v>40</v>
      </c>
      <c r="FRM38" s="129" t="s">
        <v>46</v>
      </c>
      <c r="FRN38" s="131" t="s">
        <v>44</v>
      </c>
      <c r="FRO38" s="133" t="s">
        <v>45</v>
      </c>
      <c r="FRP38" s="134"/>
      <c r="FRQ38" s="135"/>
      <c r="FRR38" s="125">
        <v>0</v>
      </c>
      <c r="FRS38" s="125">
        <v>40</v>
      </c>
      <c r="FRT38" s="127">
        <f>SUM(FRS38)</f>
        <v>40</v>
      </c>
      <c r="FRU38" s="129" t="s">
        <v>46</v>
      </c>
      <c r="FRV38" s="131" t="s">
        <v>44</v>
      </c>
      <c r="FRW38" s="133" t="s">
        <v>45</v>
      </c>
      <c r="FRX38" s="134"/>
      <c r="FRY38" s="135"/>
      <c r="FRZ38" s="125">
        <v>0</v>
      </c>
      <c r="FSA38" s="125">
        <v>40</v>
      </c>
      <c r="FSB38" s="127">
        <f>SUM(FSA38)</f>
        <v>40</v>
      </c>
      <c r="FSC38" s="129" t="s">
        <v>46</v>
      </c>
      <c r="FSD38" s="131" t="s">
        <v>44</v>
      </c>
      <c r="FSE38" s="133" t="s">
        <v>45</v>
      </c>
      <c r="FSF38" s="134"/>
      <c r="FSG38" s="135"/>
      <c r="FSH38" s="125">
        <v>0</v>
      </c>
      <c r="FSI38" s="125">
        <v>40</v>
      </c>
      <c r="FSJ38" s="127">
        <f>SUM(FSI38)</f>
        <v>40</v>
      </c>
      <c r="FSK38" s="129" t="s">
        <v>46</v>
      </c>
      <c r="FSL38" s="131" t="s">
        <v>44</v>
      </c>
      <c r="FSM38" s="133" t="s">
        <v>45</v>
      </c>
      <c r="FSN38" s="134"/>
      <c r="FSO38" s="135"/>
      <c r="FSP38" s="125">
        <v>0</v>
      </c>
      <c r="FSQ38" s="125">
        <v>40</v>
      </c>
      <c r="FSR38" s="127">
        <f>SUM(FSQ38)</f>
        <v>40</v>
      </c>
      <c r="FSS38" s="129" t="s">
        <v>46</v>
      </c>
      <c r="FST38" s="131" t="s">
        <v>44</v>
      </c>
      <c r="FSU38" s="133" t="s">
        <v>45</v>
      </c>
      <c r="FSV38" s="134"/>
      <c r="FSW38" s="135"/>
      <c r="FSX38" s="125">
        <v>0</v>
      </c>
      <c r="FSY38" s="125">
        <v>40</v>
      </c>
      <c r="FSZ38" s="127">
        <f>SUM(FSY38)</f>
        <v>40</v>
      </c>
      <c r="FTA38" s="129" t="s">
        <v>46</v>
      </c>
      <c r="FTB38" s="131" t="s">
        <v>44</v>
      </c>
      <c r="FTC38" s="133" t="s">
        <v>45</v>
      </c>
      <c r="FTD38" s="134"/>
      <c r="FTE38" s="135"/>
      <c r="FTF38" s="125">
        <v>0</v>
      </c>
      <c r="FTG38" s="125">
        <v>40</v>
      </c>
      <c r="FTH38" s="127">
        <f>SUM(FTG38)</f>
        <v>40</v>
      </c>
      <c r="FTI38" s="129" t="s">
        <v>46</v>
      </c>
      <c r="FTJ38" s="131" t="s">
        <v>44</v>
      </c>
      <c r="FTK38" s="133" t="s">
        <v>45</v>
      </c>
      <c r="FTL38" s="134"/>
      <c r="FTM38" s="135"/>
      <c r="FTN38" s="125">
        <v>0</v>
      </c>
      <c r="FTO38" s="125">
        <v>40</v>
      </c>
      <c r="FTP38" s="127">
        <f>SUM(FTO38)</f>
        <v>40</v>
      </c>
      <c r="FTQ38" s="129" t="s">
        <v>46</v>
      </c>
      <c r="FTR38" s="131" t="s">
        <v>44</v>
      </c>
      <c r="FTS38" s="133" t="s">
        <v>45</v>
      </c>
      <c r="FTT38" s="134"/>
      <c r="FTU38" s="135"/>
      <c r="FTV38" s="125">
        <v>0</v>
      </c>
      <c r="FTW38" s="125">
        <v>40</v>
      </c>
      <c r="FTX38" s="127">
        <f>SUM(FTW38)</f>
        <v>40</v>
      </c>
      <c r="FTY38" s="129" t="s">
        <v>46</v>
      </c>
      <c r="FTZ38" s="131" t="s">
        <v>44</v>
      </c>
      <c r="FUA38" s="133" t="s">
        <v>45</v>
      </c>
      <c r="FUB38" s="134"/>
      <c r="FUC38" s="135"/>
      <c r="FUD38" s="125">
        <v>0</v>
      </c>
      <c r="FUE38" s="125">
        <v>40</v>
      </c>
      <c r="FUF38" s="127">
        <f>SUM(FUE38)</f>
        <v>40</v>
      </c>
      <c r="FUG38" s="129" t="s">
        <v>46</v>
      </c>
      <c r="FUH38" s="131" t="s">
        <v>44</v>
      </c>
      <c r="FUI38" s="133" t="s">
        <v>45</v>
      </c>
      <c r="FUJ38" s="134"/>
      <c r="FUK38" s="135"/>
      <c r="FUL38" s="125">
        <v>0</v>
      </c>
      <c r="FUM38" s="125">
        <v>40</v>
      </c>
      <c r="FUN38" s="127">
        <f>SUM(FUM38)</f>
        <v>40</v>
      </c>
      <c r="FUO38" s="129" t="s">
        <v>46</v>
      </c>
      <c r="FUP38" s="131" t="s">
        <v>44</v>
      </c>
      <c r="FUQ38" s="133" t="s">
        <v>45</v>
      </c>
      <c r="FUR38" s="134"/>
      <c r="FUS38" s="135"/>
      <c r="FUT38" s="125">
        <v>0</v>
      </c>
      <c r="FUU38" s="125">
        <v>40</v>
      </c>
      <c r="FUV38" s="127">
        <f>SUM(FUU38)</f>
        <v>40</v>
      </c>
      <c r="FUW38" s="129" t="s">
        <v>46</v>
      </c>
      <c r="FUX38" s="131" t="s">
        <v>44</v>
      </c>
      <c r="FUY38" s="133" t="s">
        <v>45</v>
      </c>
      <c r="FUZ38" s="134"/>
      <c r="FVA38" s="135"/>
      <c r="FVB38" s="125">
        <v>0</v>
      </c>
      <c r="FVC38" s="125">
        <v>40</v>
      </c>
      <c r="FVD38" s="127">
        <f>SUM(FVC38)</f>
        <v>40</v>
      </c>
      <c r="FVE38" s="129" t="s">
        <v>46</v>
      </c>
      <c r="FVF38" s="131" t="s">
        <v>44</v>
      </c>
      <c r="FVG38" s="133" t="s">
        <v>45</v>
      </c>
      <c r="FVH38" s="134"/>
      <c r="FVI38" s="135"/>
      <c r="FVJ38" s="125">
        <v>0</v>
      </c>
      <c r="FVK38" s="125">
        <v>40</v>
      </c>
      <c r="FVL38" s="127">
        <f>SUM(FVK38)</f>
        <v>40</v>
      </c>
      <c r="FVM38" s="129" t="s">
        <v>46</v>
      </c>
      <c r="FVN38" s="131" t="s">
        <v>44</v>
      </c>
      <c r="FVO38" s="133" t="s">
        <v>45</v>
      </c>
      <c r="FVP38" s="134"/>
      <c r="FVQ38" s="135"/>
      <c r="FVR38" s="125">
        <v>0</v>
      </c>
      <c r="FVS38" s="125">
        <v>40</v>
      </c>
      <c r="FVT38" s="127">
        <f>SUM(FVS38)</f>
        <v>40</v>
      </c>
      <c r="FVU38" s="129" t="s">
        <v>46</v>
      </c>
      <c r="FVV38" s="131" t="s">
        <v>44</v>
      </c>
      <c r="FVW38" s="133" t="s">
        <v>45</v>
      </c>
      <c r="FVX38" s="134"/>
      <c r="FVY38" s="135"/>
      <c r="FVZ38" s="125">
        <v>0</v>
      </c>
      <c r="FWA38" s="125">
        <v>40</v>
      </c>
      <c r="FWB38" s="127">
        <f>SUM(FWA38)</f>
        <v>40</v>
      </c>
      <c r="FWC38" s="129" t="s">
        <v>46</v>
      </c>
      <c r="FWD38" s="131" t="s">
        <v>44</v>
      </c>
      <c r="FWE38" s="133" t="s">
        <v>45</v>
      </c>
      <c r="FWF38" s="134"/>
      <c r="FWG38" s="135"/>
      <c r="FWH38" s="125">
        <v>0</v>
      </c>
      <c r="FWI38" s="125">
        <v>40</v>
      </c>
      <c r="FWJ38" s="127">
        <f>SUM(FWI38)</f>
        <v>40</v>
      </c>
      <c r="FWK38" s="129" t="s">
        <v>46</v>
      </c>
      <c r="FWL38" s="131" t="s">
        <v>44</v>
      </c>
      <c r="FWM38" s="133" t="s">
        <v>45</v>
      </c>
      <c r="FWN38" s="134"/>
      <c r="FWO38" s="135"/>
      <c r="FWP38" s="125">
        <v>0</v>
      </c>
      <c r="FWQ38" s="125">
        <v>40</v>
      </c>
      <c r="FWR38" s="127">
        <f>SUM(FWQ38)</f>
        <v>40</v>
      </c>
      <c r="FWS38" s="129" t="s">
        <v>46</v>
      </c>
      <c r="FWT38" s="131" t="s">
        <v>44</v>
      </c>
      <c r="FWU38" s="133" t="s">
        <v>45</v>
      </c>
      <c r="FWV38" s="134"/>
      <c r="FWW38" s="135"/>
      <c r="FWX38" s="125">
        <v>0</v>
      </c>
      <c r="FWY38" s="125">
        <v>40</v>
      </c>
      <c r="FWZ38" s="127">
        <f>SUM(FWY38)</f>
        <v>40</v>
      </c>
      <c r="FXA38" s="129" t="s">
        <v>46</v>
      </c>
      <c r="FXB38" s="131" t="s">
        <v>44</v>
      </c>
      <c r="FXC38" s="133" t="s">
        <v>45</v>
      </c>
      <c r="FXD38" s="134"/>
      <c r="FXE38" s="135"/>
      <c r="FXF38" s="125">
        <v>0</v>
      </c>
      <c r="FXG38" s="125">
        <v>40</v>
      </c>
      <c r="FXH38" s="127">
        <f>SUM(FXG38)</f>
        <v>40</v>
      </c>
      <c r="FXI38" s="129" t="s">
        <v>46</v>
      </c>
      <c r="FXJ38" s="131" t="s">
        <v>44</v>
      </c>
      <c r="FXK38" s="133" t="s">
        <v>45</v>
      </c>
      <c r="FXL38" s="134"/>
      <c r="FXM38" s="135"/>
      <c r="FXN38" s="125">
        <v>0</v>
      </c>
      <c r="FXO38" s="125">
        <v>40</v>
      </c>
      <c r="FXP38" s="127">
        <f>SUM(FXO38)</f>
        <v>40</v>
      </c>
      <c r="FXQ38" s="129" t="s">
        <v>46</v>
      </c>
      <c r="FXR38" s="131" t="s">
        <v>44</v>
      </c>
      <c r="FXS38" s="133" t="s">
        <v>45</v>
      </c>
      <c r="FXT38" s="134"/>
      <c r="FXU38" s="135"/>
      <c r="FXV38" s="125">
        <v>0</v>
      </c>
      <c r="FXW38" s="125">
        <v>40</v>
      </c>
      <c r="FXX38" s="127">
        <f>SUM(FXW38)</f>
        <v>40</v>
      </c>
      <c r="FXY38" s="129" t="s">
        <v>46</v>
      </c>
      <c r="FXZ38" s="131" t="s">
        <v>44</v>
      </c>
      <c r="FYA38" s="133" t="s">
        <v>45</v>
      </c>
      <c r="FYB38" s="134"/>
      <c r="FYC38" s="135"/>
      <c r="FYD38" s="125">
        <v>0</v>
      </c>
      <c r="FYE38" s="125">
        <v>40</v>
      </c>
      <c r="FYF38" s="127">
        <f>SUM(FYE38)</f>
        <v>40</v>
      </c>
      <c r="FYG38" s="129" t="s">
        <v>46</v>
      </c>
      <c r="FYH38" s="131" t="s">
        <v>44</v>
      </c>
      <c r="FYI38" s="133" t="s">
        <v>45</v>
      </c>
      <c r="FYJ38" s="134"/>
      <c r="FYK38" s="135"/>
      <c r="FYL38" s="125">
        <v>0</v>
      </c>
      <c r="FYM38" s="125">
        <v>40</v>
      </c>
      <c r="FYN38" s="127">
        <f>SUM(FYM38)</f>
        <v>40</v>
      </c>
      <c r="FYO38" s="129" t="s">
        <v>46</v>
      </c>
      <c r="FYP38" s="131" t="s">
        <v>44</v>
      </c>
      <c r="FYQ38" s="133" t="s">
        <v>45</v>
      </c>
      <c r="FYR38" s="134"/>
      <c r="FYS38" s="135"/>
      <c r="FYT38" s="125">
        <v>0</v>
      </c>
      <c r="FYU38" s="125">
        <v>40</v>
      </c>
      <c r="FYV38" s="127">
        <f>SUM(FYU38)</f>
        <v>40</v>
      </c>
      <c r="FYW38" s="129" t="s">
        <v>46</v>
      </c>
      <c r="FYX38" s="131" t="s">
        <v>44</v>
      </c>
      <c r="FYY38" s="133" t="s">
        <v>45</v>
      </c>
      <c r="FYZ38" s="134"/>
      <c r="FZA38" s="135"/>
      <c r="FZB38" s="125">
        <v>0</v>
      </c>
      <c r="FZC38" s="125">
        <v>40</v>
      </c>
      <c r="FZD38" s="127">
        <f>SUM(FZC38)</f>
        <v>40</v>
      </c>
      <c r="FZE38" s="129" t="s">
        <v>46</v>
      </c>
      <c r="FZF38" s="131" t="s">
        <v>44</v>
      </c>
      <c r="FZG38" s="133" t="s">
        <v>45</v>
      </c>
      <c r="FZH38" s="134"/>
      <c r="FZI38" s="135"/>
      <c r="FZJ38" s="125">
        <v>0</v>
      </c>
      <c r="FZK38" s="125">
        <v>40</v>
      </c>
      <c r="FZL38" s="127">
        <f>SUM(FZK38)</f>
        <v>40</v>
      </c>
      <c r="FZM38" s="129" t="s">
        <v>46</v>
      </c>
      <c r="FZN38" s="131" t="s">
        <v>44</v>
      </c>
      <c r="FZO38" s="133" t="s">
        <v>45</v>
      </c>
      <c r="FZP38" s="134"/>
      <c r="FZQ38" s="135"/>
      <c r="FZR38" s="125">
        <v>0</v>
      </c>
      <c r="FZS38" s="125">
        <v>40</v>
      </c>
      <c r="FZT38" s="127">
        <f>SUM(FZS38)</f>
        <v>40</v>
      </c>
      <c r="FZU38" s="129" t="s">
        <v>46</v>
      </c>
      <c r="FZV38" s="131" t="s">
        <v>44</v>
      </c>
      <c r="FZW38" s="133" t="s">
        <v>45</v>
      </c>
      <c r="FZX38" s="134"/>
      <c r="FZY38" s="135"/>
      <c r="FZZ38" s="125">
        <v>0</v>
      </c>
      <c r="GAA38" s="125">
        <v>40</v>
      </c>
      <c r="GAB38" s="127">
        <f>SUM(GAA38)</f>
        <v>40</v>
      </c>
      <c r="GAC38" s="129" t="s">
        <v>46</v>
      </c>
      <c r="GAD38" s="131" t="s">
        <v>44</v>
      </c>
      <c r="GAE38" s="133" t="s">
        <v>45</v>
      </c>
      <c r="GAF38" s="134"/>
      <c r="GAG38" s="135"/>
      <c r="GAH38" s="125">
        <v>0</v>
      </c>
      <c r="GAI38" s="125">
        <v>40</v>
      </c>
      <c r="GAJ38" s="127">
        <f>SUM(GAI38)</f>
        <v>40</v>
      </c>
      <c r="GAK38" s="129" t="s">
        <v>46</v>
      </c>
      <c r="GAL38" s="131" t="s">
        <v>44</v>
      </c>
      <c r="GAM38" s="133" t="s">
        <v>45</v>
      </c>
      <c r="GAN38" s="134"/>
      <c r="GAO38" s="135"/>
      <c r="GAP38" s="125">
        <v>0</v>
      </c>
      <c r="GAQ38" s="125">
        <v>40</v>
      </c>
      <c r="GAR38" s="127">
        <f>SUM(GAQ38)</f>
        <v>40</v>
      </c>
      <c r="GAS38" s="129" t="s">
        <v>46</v>
      </c>
      <c r="GAT38" s="131" t="s">
        <v>44</v>
      </c>
      <c r="GAU38" s="133" t="s">
        <v>45</v>
      </c>
      <c r="GAV38" s="134"/>
      <c r="GAW38" s="135"/>
      <c r="GAX38" s="125">
        <v>0</v>
      </c>
      <c r="GAY38" s="125">
        <v>40</v>
      </c>
      <c r="GAZ38" s="127">
        <f>SUM(GAY38)</f>
        <v>40</v>
      </c>
      <c r="GBA38" s="129" t="s">
        <v>46</v>
      </c>
      <c r="GBB38" s="131" t="s">
        <v>44</v>
      </c>
      <c r="GBC38" s="133" t="s">
        <v>45</v>
      </c>
      <c r="GBD38" s="134"/>
      <c r="GBE38" s="135"/>
      <c r="GBF38" s="125">
        <v>0</v>
      </c>
      <c r="GBG38" s="125">
        <v>40</v>
      </c>
      <c r="GBH38" s="127">
        <f>SUM(GBG38)</f>
        <v>40</v>
      </c>
      <c r="GBI38" s="129" t="s">
        <v>46</v>
      </c>
      <c r="GBJ38" s="131" t="s">
        <v>44</v>
      </c>
      <c r="GBK38" s="133" t="s">
        <v>45</v>
      </c>
      <c r="GBL38" s="134"/>
      <c r="GBM38" s="135"/>
      <c r="GBN38" s="125">
        <v>0</v>
      </c>
      <c r="GBO38" s="125">
        <v>40</v>
      </c>
      <c r="GBP38" s="127">
        <f>SUM(GBO38)</f>
        <v>40</v>
      </c>
      <c r="GBQ38" s="129" t="s">
        <v>46</v>
      </c>
      <c r="GBR38" s="131" t="s">
        <v>44</v>
      </c>
      <c r="GBS38" s="133" t="s">
        <v>45</v>
      </c>
      <c r="GBT38" s="134"/>
      <c r="GBU38" s="135"/>
      <c r="GBV38" s="125">
        <v>0</v>
      </c>
      <c r="GBW38" s="125">
        <v>40</v>
      </c>
      <c r="GBX38" s="127">
        <f>SUM(GBW38)</f>
        <v>40</v>
      </c>
      <c r="GBY38" s="129" t="s">
        <v>46</v>
      </c>
      <c r="GBZ38" s="131" t="s">
        <v>44</v>
      </c>
      <c r="GCA38" s="133" t="s">
        <v>45</v>
      </c>
      <c r="GCB38" s="134"/>
      <c r="GCC38" s="135"/>
      <c r="GCD38" s="125">
        <v>0</v>
      </c>
      <c r="GCE38" s="125">
        <v>40</v>
      </c>
      <c r="GCF38" s="127">
        <f>SUM(GCE38)</f>
        <v>40</v>
      </c>
      <c r="GCG38" s="129" t="s">
        <v>46</v>
      </c>
      <c r="GCH38" s="131" t="s">
        <v>44</v>
      </c>
      <c r="GCI38" s="133" t="s">
        <v>45</v>
      </c>
      <c r="GCJ38" s="134"/>
      <c r="GCK38" s="135"/>
      <c r="GCL38" s="125">
        <v>0</v>
      </c>
      <c r="GCM38" s="125">
        <v>40</v>
      </c>
      <c r="GCN38" s="127">
        <f>SUM(GCM38)</f>
        <v>40</v>
      </c>
      <c r="GCO38" s="129" t="s">
        <v>46</v>
      </c>
      <c r="GCP38" s="131" t="s">
        <v>44</v>
      </c>
      <c r="GCQ38" s="133" t="s">
        <v>45</v>
      </c>
      <c r="GCR38" s="134"/>
      <c r="GCS38" s="135"/>
      <c r="GCT38" s="125">
        <v>0</v>
      </c>
      <c r="GCU38" s="125">
        <v>40</v>
      </c>
      <c r="GCV38" s="127">
        <f>SUM(GCU38)</f>
        <v>40</v>
      </c>
      <c r="GCW38" s="129" t="s">
        <v>46</v>
      </c>
      <c r="GCX38" s="131" t="s">
        <v>44</v>
      </c>
      <c r="GCY38" s="133" t="s">
        <v>45</v>
      </c>
      <c r="GCZ38" s="134"/>
      <c r="GDA38" s="135"/>
      <c r="GDB38" s="125">
        <v>0</v>
      </c>
      <c r="GDC38" s="125">
        <v>40</v>
      </c>
      <c r="GDD38" s="127">
        <f>SUM(GDC38)</f>
        <v>40</v>
      </c>
      <c r="GDE38" s="129" t="s">
        <v>46</v>
      </c>
      <c r="GDF38" s="131" t="s">
        <v>44</v>
      </c>
      <c r="GDG38" s="133" t="s">
        <v>45</v>
      </c>
      <c r="GDH38" s="134"/>
      <c r="GDI38" s="135"/>
      <c r="GDJ38" s="125">
        <v>0</v>
      </c>
      <c r="GDK38" s="125">
        <v>40</v>
      </c>
      <c r="GDL38" s="127">
        <f>SUM(GDK38)</f>
        <v>40</v>
      </c>
      <c r="GDM38" s="129" t="s">
        <v>46</v>
      </c>
      <c r="GDN38" s="131" t="s">
        <v>44</v>
      </c>
      <c r="GDO38" s="133" t="s">
        <v>45</v>
      </c>
      <c r="GDP38" s="134"/>
      <c r="GDQ38" s="135"/>
      <c r="GDR38" s="125">
        <v>0</v>
      </c>
      <c r="GDS38" s="125">
        <v>40</v>
      </c>
      <c r="GDT38" s="127">
        <f>SUM(GDS38)</f>
        <v>40</v>
      </c>
      <c r="GDU38" s="129" t="s">
        <v>46</v>
      </c>
      <c r="GDV38" s="131" t="s">
        <v>44</v>
      </c>
      <c r="GDW38" s="133" t="s">
        <v>45</v>
      </c>
      <c r="GDX38" s="134"/>
      <c r="GDY38" s="135"/>
      <c r="GDZ38" s="125">
        <v>0</v>
      </c>
      <c r="GEA38" s="125">
        <v>40</v>
      </c>
      <c r="GEB38" s="127">
        <f>SUM(GEA38)</f>
        <v>40</v>
      </c>
      <c r="GEC38" s="129" t="s">
        <v>46</v>
      </c>
      <c r="GED38" s="131" t="s">
        <v>44</v>
      </c>
      <c r="GEE38" s="133" t="s">
        <v>45</v>
      </c>
      <c r="GEF38" s="134"/>
      <c r="GEG38" s="135"/>
      <c r="GEH38" s="125">
        <v>0</v>
      </c>
      <c r="GEI38" s="125">
        <v>40</v>
      </c>
      <c r="GEJ38" s="127">
        <f>SUM(GEI38)</f>
        <v>40</v>
      </c>
      <c r="GEK38" s="129" t="s">
        <v>46</v>
      </c>
      <c r="GEL38" s="131" t="s">
        <v>44</v>
      </c>
      <c r="GEM38" s="133" t="s">
        <v>45</v>
      </c>
      <c r="GEN38" s="134"/>
      <c r="GEO38" s="135"/>
      <c r="GEP38" s="125">
        <v>0</v>
      </c>
      <c r="GEQ38" s="125">
        <v>40</v>
      </c>
      <c r="GER38" s="127">
        <f>SUM(GEQ38)</f>
        <v>40</v>
      </c>
      <c r="GES38" s="129" t="s">
        <v>46</v>
      </c>
      <c r="GET38" s="131" t="s">
        <v>44</v>
      </c>
      <c r="GEU38" s="133" t="s">
        <v>45</v>
      </c>
      <c r="GEV38" s="134"/>
      <c r="GEW38" s="135"/>
      <c r="GEX38" s="125">
        <v>0</v>
      </c>
      <c r="GEY38" s="125">
        <v>40</v>
      </c>
      <c r="GEZ38" s="127">
        <f>SUM(GEY38)</f>
        <v>40</v>
      </c>
      <c r="GFA38" s="129" t="s">
        <v>46</v>
      </c>
      <c r="GFB38" s="131" t="s">
        <v>44</v>
      </c>
      <c r="GFC38" s="133" t="s">
        <v>45</v>
      </c>
      <c r="GFD38" s="134"/>
      <c r="GFE38" s="135"/>
      <c r="GFF38" s="125">
        <v>0</v>
      </c>
      <c r="GFG38" s="125">
        <v>40</v>
      </c>
      <c r="GFH38" s="127">
        <f>SUM(GFG38)</f>
        <v>40</v>
      </c>
      <c r="GFI38" s="129" t="s">
        <v>46</v>
      </c>
      <c r="GFJ38" s="131" t="s">
        <v>44</v>
      </c>
      <c r="GFK38" s="133" t="s">
        <v>45</v>
      </c>
      <c r="GFL38" s="134"/>
      <c r="GFM38" s="135"/>
      <c r="GFN38" s="125">
        <v>0</v>
      </c>
      <c r="GFO38" s="125">
        <v>40</v>
      </c>
      <c r="GFP38" s="127">
        <f>SUM(GFO38)</f>
        <v>40</v>
      </c>
      <c r="GFQ38" s="129" t="s">
        <v>46</v>
      </c>
      <c r="GFR38" s="131" t="s">
        <v>44</v>
      </c>
      <c r="GFS38" s="133" t="s">
        <v>45</v>
      </c>
      <c r="GFT38" s="134"/>
      <c r="GFU38" s="135"/>
      <c r="GFV38" s="125">
        <v>0</v>
      </c>
      <c r="GFW38" s="125">
        <v>40</v>
      </c>
      <c r="GFX38" s="127">
        <f>SUM(GFW38)</f>
        <v>40</v>
      </c>
      <c r="GFY38" s="129" t="s">
        <v>46</v>
      </c>
      <c r="GFZ38" s="131" t="s">
        <v>44</v>
      </c>
      <c r="GGA38" s="133" t="s">
        <v>45</v>
      </c>
      <c r="GGB38" s="134"/>
      <c r="GGC38" s="135"/>
      <c r="GGD38" s="125">
        <v>0</v>
      </c>
      <c r="GGE38" s="125">
        <v>40</v>
      </c>
      <c r="GGF38" s="127">
        <f>SUM(GGE38)</f>
        <v>40</v>
      </c>
      <c r="GGG38" s="129" t="s">
        <v>46</v>
      </c>
      <c r="GGH38" s="131" t="s">
        <v>44</v>
      </c>
      <c r="GGI38" s="133" t="s">
        <v>45</v>
      </c>
      <c r="GGJ38" s="134"/>
      <c r="GGK38" s="135"/>
      <c r="GGL38" s="125">
        <v>0</v>
      </c>
      <c r="GGM38" s="125">
        <v>40</v>
      </c>
      <c r="GGN38" s="127">
        <f>SUM(GGM38)</f>
        <v>40</v>
      </c>
      <c r="GGO38" s="129" t="s">
        <v>46</v>
      </c>
      <c r="GGP38" s="131" t="s">
        <v>44</v>
      </c>
      <c r="GGQ38" s="133" t="s">
        <v>45</v>
      </c>
      <c r="GGR38" s="134"/>
      <c r="GGS38" s="135"/>
      <c r="GGT38" s="125">
        <v>0</v>
      </c>
      <c r="GGU38" s="125">
        <v>40</v>
      </c>
      <c r="GGV38" s="127">
        <f>SUM(GGU38)</f>
        <v>40</v>
      </c>
      <c r="GGW38" s="129" t="s">
        <v>46</v>
      </c>
      <c r="GGX38" s="131" t="s">
        <v>44</v>
      </c>
      <c r="GGY38" s="133" t="s">
        <v>45</v>
      </c>
      <c r="GGZ38" s="134"/>
      <c r="GHA38" s="135"/>
      <c r="GHB38" s="125">
        <v>0</v>
      </c>
      <c r="GHC38" s="125">
        <v>40</v>
      </c>
      <c r="GHD38" s="127">
        <f>SUM(GHC38)</f>
        <v>40</v>
      </c>
      <c r="GHE38" s="129" t="s">
        <v>46</v>
      </c>
      <c r="GHF38" s="131" t="s">
        <v>44</v>
      </c>
      <c r="GHG38" s="133" t="s">
        <v>45</v>
      </c>
      <c r="GHH38" s="134"/>
      <c r="GHI38" s="135"/>
      <c r="GHJ38" s="125">
        <v>0</v>
      </c>
      <c r="GHK38" s="125">
        <v>40</v>
      </c>
      <c r="GHL38" s="127">
        <f>SUM(GHK38)</f>
        <v>40</v>
      </c>
      <c r="GHM38" s="129" t="s">
        <v>46</v>
      </c>
      <c r="GHN38" s="131" t="s">
        <v>44</v>
      </c>
      <c r="GHO38" s="133" t="s">
        <v>45</v>
      </c>
      <c r="GHP38" s="134"/>
      <c r="GHQ38" s="135"/>
      <c r="GHR38" s="125">
        <v>0</v>
      </c>
      <c r="GHS38" s="125">
        <v>40</v>
      </c>
      <c r="GHT38" s="127">
        <f>SUM(GHS38)</f>
        <v>40</v>
      </c>
      <c r="GHU38" s="129" t="s">
        <v>46</v>
      </c>
      <c r="GHV38" s="131" t="s">
        <v>44</v>
      </c>
      <c r="GHW38" s="133" t="s">
        <v>45</v>
      </c>
      <c r="GHX38" s="134"/>
      <c r="GHY38" s="135"/>
      <c r="GHZ38" s="125">
        <v>0</v>
      </c>
      <c r="GIA38" s="125">
        <v>40</v>
      </c>
      <c r="GIB38" s="127">
        <f>SUM(GIA38)</f>
        <v>40</v>
      </c>
      <c r="GIC38" s="129" t="s">
        <v>46</v>
      </c>
      <c r="GID38" s="131" t="s">
        <v>44</v>
      </c>
      <c r="GIE38" s="133" t="s">
        <v>45</v>
      </c>
      <c r="GIF38" s="134"/>
      <c r="GIG38" s="135"/>
      <c r="GIH38" s="125">
        <v>0</v>
      </c>
      <c r="GII38" s="125">
        <v>40</v>
      </c>
      <c r="GIJ38" s="127">
        <f>SUM(GII38)</f>
        <v>40</v>
      </c>
      <c r="GIK38" s="129" t="s">
        <v>46</v>
      </c>
      <c r="GIL38" s="131" t="s">
        <v>44</v>
      </c>
      <c r="GIM38" s="133" t="s">
        <v>45</v>
      </c>
      <c r="GIN38" s="134"/>
      <c r="GIO38" s="135"/>
      <c r="GIP38" s="125">
        <v>0</v>
      </c>
      <c r="GIQ38" s="125">
        <v>40</v>
      </c>
      <c r="GIR38" s="127">
        <f>SUM(GIQ38)</f>
        <v>40</v>
      </c>
      <c r="GIS38" s="129" t="s">
        <v>46</v>
      </c>
      <c r="GIT38" s="131" t="s">
        <v>44</v>
      </c>
      <c r="GIU38" s="133" t="s">
        <v>45</v>
      </c>
      <c r="GIV38" s="134"/>
      <c r="GIW38" s="135"/>
      <c r="GIX38" s="125">
        <v>0</v>
      </c>
      <c r="GIY38" s="125">
        <v>40</v>
      </c>
      <c r="GIZ38" s="127">
        <f>SUM(GIY38)</f>
        <v>40</v>
      </c>
      <c r="GJA38" s="129" t="s">
        <v>46</v>
      </c>
      <c r="GJB38" s="131" t="s">
        <v>44</v>
      </c>
      <c r="GJC38" s="133" t="s">
        <v>45</v>
      </c>
      <c r="GJD38" s="134"/>
      <c r="GJE38" s="135"/>
      <c r="GJF38" s="125">
        <v>0</v>
      </c>
      <c r="GJG38" s="125">
        <v>40</v>
      </c>
      <c r="GJH38" s="127">
        <f>SUM(GJG38)</f>
        <v>40</v>
      </c>
      <c r="GJI38" s="129" t="s">
        <v>46</v>
      </c>
      <c r="GJJ38" s="131" t="s">
        <v>44</v>
      </c>
      <c r="GJK38" s="133" t="s">
        <v>45</v>
      </c>
      <c r="GJL38" s="134"/>
      <c r="GJM38" s="135"/>
      <c r="GJN38" s="125">
        <v>0</v>
      </c>
      <c r="GJO38" s="125">
        <v>40</v>
      </c>
      <c r="GJP38" s="127">
        <f>SUM(GJO38)</f>
        <v>40</v>
      </c>
      <c r="GJQ38" s="129" t="s">
        <v>46</v>
      </c>
      <c r="GJR38" s="131" t="s">
        <v>44</v>
      </c>
      <c r="GJS38" s="133" t="s">
        <v>45</v>
      </c>
      <c r="GJT38" s="134"/>
      <c r="GJU38" s="135"/>
      <c r="GJV38" s="125">
        <v>0</v>
      </c>
      <c r="GJW38" s="125">
        <v>40</v>
      </c>
      <c r="GJX38" s="127">
        <f>SUM(GJW38)</f>
        <v>40</v>
      </c>
      <c r="GJY38" s="129" t="s">
        <v>46</v>
      </c>
      <c r="GJZ38" s="131" t="s">
        <v>44</v>
      </c>
      <c r="GKA38" s="133" t="s">
        <v>45</v>
      </c>
      <c r="GKB38" s="134"/>
      <c r="GKC38" s="135"/>
      <c r="GKD38" s="125">
        <v>0</v>
      </c>
      <c r="GKE38" s="125">
        <v>40</v>
      </c>
      <c r="GKF38" s="127">
        <f>SUM(GKE38)</f>
        <v>40</v>
      </c>
      <c r="GKG38" s="129" t="s">
        <v>46</v>
      </c>
      <c r="GKH38" s="131" t="s">
        <v>44</v>
      </c>
      <c r="GKI38" s="133" t="s">
        <v>45</v>
      </c>
      <c r="GKJ38" s="134"/>
      <c r="GKK38" s="135"/>
      <c r="GKL38" s="125">
        <v>0</v>
      </c>
      <c r="GKM38" s="125">
        <v>40</v>
      </c>
      <c r="GKN38" s="127">
        <f>SUM(GKM38)</f>
        <v>40</v>
      </c>
      <c r="GKO38" s="129" t="s">
        <v>46</v>
      </c>
      <c r="GKP38" s="131" t="s">
        <v>44</v>
      </c>
      <c r="GKQ38" s="133" t="s">
        <v>45</v>
      </c>
      <c r="GKR38" s="134"/>
      <c r="GKS38" s="135"/>
      <c r="GKT38" s="125">
        <v>0</v>
      </c>
      <c r="GKU38" s="125">
        <v>40</v>
      </c>
      <c r="GKV38" s="127">
        <f>SUM(GKU38)</f>
        <v>40</v>
      </c>
      <c r="GKW38" s="129" t="s">
        <v>46</v>
      </c>
      <c r="GKX38" s="131" t="s">
        <v>44</v>
      </c>
      <c r="GKY38" s="133" t="s">
        <v>45</v>
      </c>
      <c r="GKZ38" s="134"/>
      <c r="GLA38" s="135"/>
      <c r="GLB38" s="125">
        <v>0</v>
      </c>
      <c r="GLC38" s="125">
        <v>40</v>
      </c>
      <c r="GLD38" s="127">
        <f>SUM(GLC38)</f>
        <v>40</v>
      </c>
      <c r="GLE38" s="129" t="s">
        <v>46</v>
      </c>
      <c r="GLF38" s="131" t="s">
        <v>44</v>
      </c>
      <c r="GLG38" s="133" t="s">
        <v>45</v>
      </c>
      <c r="GLH38" s="134"/>
      <c r="GLI38" s="135"/>
      <c r="GLJ38" s="125">
        <v>0</v>
      </c>
      <c r="GLK38" s="125">
        <v>40</v>
      </c>
      <c r="GLL38" s="127">
        <f>SUM(GLK38)</f>
        <v>40</v>
      </c>
      <c r="GLM38" s="129" t="s">
        <v>46</v>
      </c>
      <c r="GLN38" s="131" t="s">
        <v>44</v>
      </c>
      <c r="GLO38" s="133" t="s">
        <v>45</v>
      </c>
      <c r="GLP38" s="134"/>
      <c r="GLQ38" s="135"/>
      <c r="GLR38" s="125">
        <v>0</v>
      </c>
      <c r="GLS38" s="125">
        <v>40</v>
      </c>
      <c r="GLT38" s="127">
        <f>SUM(GLS38)</f>
        <v>40</v>
      </c>
      <c r="GLU38" s="129" t="s">
        <v>46</v>
      </c>
      <c r="GLV38" s="131" t="s">
        <v>44</v>
      </c>
      <c r="GLW38" s="133" t="s">
        <v>45</v>
      </c>
      <c r="GLX38" s="134"/>
      <c r="GLY38" s="135"/>
      <c r="GLZ38" s="125">
        <v>0</v>
      </c>
      <c r="GMA38" s="125">
        <v>40</v>
      </c>
      <c r="GMB38" s="127">
        <f>SUM(GMA38)</f>
        <v>40</v>
      </c>
      <c r="GMC38" s="129" t="s">
        <v>46</v>
      </c>
      <c r="GMD38" s="131" t="s">
        <v>44</v>
      </c>
      <c r="GME38" s="133" t="s">
        <v>45</v>
      </c>
      <c r="GMF38" s="134"/>
      <c r="GMG38" s="135"/>
      <c r="GMH38" s="125">
        <v>0</v>
      </c>
      <c r="GMI38" s="125">
        <v>40</v>
      </c>
      <c r="GMJ38" s="127">
        <f>SUM(GMI38)</f>
        <v>40</v>
      </c>
      <c r="GMK38" s="129" t="s">
        <v>46</v>
      </c>
      <c r="GML38" s="131" t="s">
        <v>44</v>
      </c>
      <c r="GMM38" s="133" t="s">
        <v>45</v>
      </c>
      <c r="GMN38" s="134"/>
      <c r="GMO38" s="135"/>
      <c r="GMP38" s="125">
        <v>0</v>
      </c>
      <c r="GMQ38" s="125">
        <v>40</v>
      </c>
      <c r="GMR38" s="127">
        <f>SUM(GMQ38)</f>
        <v>40</v>
      </c>
      <c r="GMS38" s="129" t="s">
        <v>46</v>
      </c>
      <c r="GMT38" s="131" t="s">
        <v>44</v>
      </c>
      <c r="GMU38" s="133" t="s">
        <v>45</v>
      </c>
      <c r="GMV38" s="134"/>
      <c r="GMW38" s="135"/>
      <c r="GMX38" s="125">
        <v>0</v>
      </c>
      <c r="GMY38" s="125">
        <v>40</v>
      </c>
      <c r="GMZ38" s="127">
        <f>SUM(GMY38)</f>
        <v>40</v>
      </c>
      <c r="GNA38" s="129" t="s">
        <v>46</v>
      </c>
      <c r="GNB38" s="131" t="s">
        <v>44</v>
      </c>
      <c r="GNC38" s="133" t="s">
        <v>45</v>
      </c>
      <c r="GND38" s="134"/>
      <c r="GNE38" s="135"/>
      <c r="GNF38" s="125">
        <v>0</v>
      </c>
      <c r="GNG38" s="125">
        <v>40</v>
      </c>
      <c r="GNH38" s="127">
        <f>SUM(GNG38)</f>
        <v>40</v>
      </c>
      <c r="GNI38" s="129" t="s">
        <v>46</v>
      </c>
      <c r="GNJ38" s="131" t="s">
        <v>44</v>
      </c>
      <c r="GNK38" s="133" t="s">
        <v>45</v>
      </c>
      <c r="GNL38" s="134"/>
      <c r="GNM38" s="135"/>
      <c r="GNN38" s="125">
        <v>0</v>
      </c>
      <c r="GNO38" s="125">
        <v>40</v>
      </c>
      <c r="GNP38" s="127">
        <f>SUM(GNO38)</f>
        <v>40</v>
      </c>
      <c r="GNQ38" s="129" t="s">
        <v>46</v>
      </c>
      <c r="GNR38" s="131" t="s">
        <v>44</v>
      </c>
      <c r="GNS38" s="133" t="s">
        <v>45</v>
      </c>
      <c r="GNT38" s="134"/>
      <c r="GNU38" s="135"/>
      <c r="GNV38" s="125">
        <v>0</v>
      </c>
      <c r="GNW38" s="125">
        <v>40</v>
      </c>
      <c r="GNX38" s="127">
        <f>SUM(GNW38)</f>
        <v>40</v>
      </c>
      <c r="GNY38" s="129" t="s">
        <v>46</v>
      </c>
      <c r="GNZ38" s="131" t="s">
        <v>44</v>
      </c>
      <c r="GOA38" s="133" t="s">
        <v>45</v>
      </c>
      <c r="GOB38" s="134"/>
      <c r="GOC38" s="135"/>
      <c r="GOD38" s="125">
        <v>0</v>
      </c>
      <c r="GOE38" s="125">
        <v>40</v>
      </c>
      <c r="GOF38" s="127">
        <f>SUM(GOE38)</f>
        <v>40</v>
      </c>
      <c r="GOG38" s="129" t="s">
        <v>46</v>
      </c>
      <c r="GOH38" s="131" t="s">
        <v>44</v>
      </c>
      <c r="GOI38" s="133" t="s">
        <v>45</v>
      </c>
      <c r="GOJ38" s="134"/>
      <c r="GOK38" s="135"/>
      <c r="GOL38" s="125">
        <v>0</v>
      </c>
      <c r="GOM38" s="125">
        <v>40</v>
      </c>
      <c r="GON38" s="127">
        <f>SUM(GOM38)</f>
        <v>40</v>
      </c>
      <c r="GOO38" s="129" t="s">
        <v>46</v>
      </c>
      <c r="GOP38" s="131" t="s">
        <v>44</v>
      </c>
      <c r="GOQ38" s="133" t="s">
        <v>45</v>
      </c>
      <c r="GOR38" s="134"/>
      <c r="GOS38" s="135"/>
      <c r="GOT38" s="125">
        <v>0</v>
      </c>
      <c r="GOU38" s="125">
        <v>40</v>
      </c>
      <c r="GOV38" s="127">
        <f>SUM(GOU38)</f>
        <v>40</v>
      </c>
      <c r="GOW38" s="129" t="s">
        <v>46</v>
      </c>
      <c r="GOX38" s="131" t="s">
        <v>44</v>
      </c>
      <c r="GOY38" s="133" t="s">
        <v>45</v>
      </c>
      <c r="GOZ38" s="134"/>
      <c r="GPA38" s="135"/>
      <c r="GPB38" s="125">
        <v>0</v>
      </c>
      <c r="GPC38" s="125">
        <v>40</v>
      </c>
      <c r="GPD38" s="127">
        <f>SUM(GPC38)</f>
        <v>40</v>
      </c>
      <c r="GPE38" s="129" t="s">
        <v>46</v>
      </c>
      <c r="GPF38" s="131" t="s">
        <v>44</v>
      </c>
      <c r="GPG38" s="133" t="s">
        <v>45</v>
      </c>
      <c r="GPH38" s="134"/>
      <c r="GPI38" s="135"/>
      <c r="GPJ38" s="125">
        <v>0</v>
      </c>
      <c r="GPK38" s="125">
        <v>40</v>
      </c>
      <c r="GPL38" s="127">
        <f>SUM(GPK38)</f>
        <v>40</v>
      </c>
      <c r="GPM38" s="129" t="s">
        <v>46</v>
      </c>
      <c r="GPN38" s="131" t="s">
        <v>44</v>
      </c>
      <c r="GPO38" s="133" t="s">
        <v>45</v>
      </c>
      <c r="GPP38" s="134"/>
      <c r="GPQ38" s="135"/>
      <c r="GPR38" s="125">
        <v>0</v>
      </c>
      <c r="GPS38" s="125">
        <v>40</v>
      </c>
      <c r="GPT38" s="127">
        <f>SUM(GPS38)</f>
        <v>40</v>
      </c>
      <c r="GPU38" s="129" t="s">
        <v>46</v>
      </c>
      <c r="GPV38" s="131" t="s">
        <v>44</v>
      </c>
      <c r="GPW38" s="133" t="s">
        <v>45</v>
      </c>
      <c r="GPX38" s="134"/>
      <c r="GPY38" s="135"/>
      <c r="GPZ38" s="125">
        <v>0</v>
      </c>
      <c r="GQA38" s="125">
        <v>40</v>
      </c>
      <c r="GQB38" s="127">
        <f>SUM(GQA38)</f>
        <v>40</v>
      </c>
      <c r="GQC38" s="129" t="s">
        <v>46</v>
      </c>
      <c r="GQD38" s="131" t="s">
        <v>44</v>
      </c>
      <c r="GQE38" s="133" t="s">
        <v>45</v>
      </c>
      <c r="GQF38" s="134"/>
      <c r="GQG38" s="135"/>
      <c r="GQH38" s="125">
        <v>0</v>
      </c>
      <c r="GQI38" s="125">
        <v>40</v>
      </c>
      <c r="GQJ38" s="127">
        <f>SUM(GQI38)</f>
        <v>40</v>
      </c>
      <c r="GQK38" s="129" t="s">
        <v>46</v>
      </c>
      <c r="GQL38" s="131" t="s">
        <v>44</v>
      </c>
      <c r="GQM38" s="133" t="s">
        <v>45</v>
      </c>
      <c r="GQN38" s="134"/>
      <c r="GQO38" s="135"/>
      <c r="GQP38" s="125">
        <v>0</v>
      </c>
      <c r="GQQ38" s="125">
        <v>40</v>
      </c>
      <c r="GQR38" s="127">
        <f>SUM(GQQ38)</f>
        <v>40</v>
      </c>
      <c r="GQS38" s="129" t="s">
        <v>46</v>
      </c>
      <c r="GQT38" s="131" t="s">
        <v>44</v>
      </c>
      <c r="GQU38" s="133" t="s">
        <v>45</v>
      </c>
      <c r="GQV38" s="134"/>
      <c r="GQW38" s="135"/>
      <c r="GQX38" s="125">
        <v>0</v>
      </c>
      <c r="GQY38" s="125">
        <v>40</v>
      </c>
      <c r="GQZ38" s="127">
        <f>SUM(GQY38)</f>
        <v>40</v>
      </c>
      <c r="GRA38" s="129" t="s">
        <v>46</v>
      </c>
      <c r="GRB38" s="131" t="s">
        <v>44</v>
      </c>
      <c r="GRC38" s="133" t="s">
        <v>45</v>
      </c>
      <c r="GRD38" s="134"/>
      <c r="GRE38" s="135"/>
      <c r="GRF38" s="125">
        <v>0</v>
      </c>
      <c r="GRG38" s="125">
        <v>40</v>
      </c>
      <c r="GRH38" s="127">
        <f>SUM(GRG38)</f>
        <v>40</v>
      </c>
      <c r="GRI38" s="129" t="s">
        <v>46</v>
      </c>
      <c r="GRJ38" s="131" t="s">
        <v>44</v>
      </c>
      <c r="GRK38" s="133" t="s">
        <v>45</v>
      </c>
      <c r="GRL38" s="134"/>
      <c r="GRM38" s="135"/>
      <c r="GRN38" s="125">
        <v>0</v>
      </c>
      <c r="GRO38" s="125">
        <v>40</v>
      </c>
      <c r="GRP38" s="127">
        <f>SUM(GRO38)</f>
        <v>40</v>
      </c>
      <c r="GRQ38" s="129" t="s">
        <v>46</v>
      </c>
      <c r="GRR38" s="131" t="s">
        <v>44</v>
      </c>
      <c r="GRS38" s="133" t="s">
        <v>45</v>
      </c>
      <c r="GRT38" s="134"/>
      <c r="GRU38" s="135"/>
      <c r="GRV38" s="125">
        <v>0</v>
      </c>
      <c r="GRW38" s="125">
        <v>40</v>
      </c>
      <c r="GRX38" s="127">
        <f>SUM(GRW38)</f>
        <v>40</v>
      </c>
      <c r="GRY38" s="129" t="s">
        <v>46</v>
      </c>
      <c r="GRZ38" s="131" t="s">
        <v>44</v>
      </c>
      <c r="GSA38" s="133" t="s">
        <v>45</v>
      </c>
      <c r="GSB38" s="134"/>
      <c r="GSC38" s="135"/>
      <c r="GSD38" s="125">
        <v>0</v>
      </c>
      <c r="GSE38" s="125">
        <v>40</v>
      </c>
      <c r="GSF38" s="127">
        <f>SUM(GSE38)</f>
        <v>40</v>
      </c>
      <c r="GSG38" s="129" t="s">
        <v>46</v>
      </c>
      <c r="GSH38" s="131" t="s">
        <v>44</v>
      </c>
      <c r="GSI38" s="133" t="s">
        <v>45</v>
      </c>
      <c r="GSJ38" s="134"/>
      <c r="GSK38" s="135"/>
      <c r="GSL38" s="125">
        <v>0</v>
      </c>
      <c r="GSM38" s="125">
        <v>40</v>
      </c>
      <c r="GSN38" s="127">
        <f>SUM(GSM38)</f>
        <v>40</v>
      </c>
      <c r="GSO38" s="129" t="s">
        <v>46</v>
      </c>
      <c r="GSP38" s="131" t="s">
        <v>44</v>
      </c>
      <c r="GSQ38" s="133" t="s">
        <v>45</v>
      </c>
      <c r="GSR38" s="134"/>
      <c r="GSS38" s="135"/>
      <c r="GST38" s="125">
        <v>0</v>
      </c>
      <c r="GSU38" s="125">
        <v>40</v>
      </c>
      <c r="GSV38" s="127">
        <f>SUM(GSU38)</f>
        <v>40</v>
      </c>
      <c r="GSW38" s="129" t="s">
        <v>46</v>
      </c>
      <c r="GSX38" s="131" t="s">
        <v>44</v>
      </c>
      <c r="GSY38" s="133" t="s">
        <v>45</v>
      </c>
      <c r="GSZ38" s="134"/>
      <c r="GTA38" s="135"/>
      <c r="GTB38" s="125">
        <v>0</v>
      </c>
      <c r="GTC38" s="125">
        <v>40</v>
      </c>
      <c r="GTD38" s="127">
        <f>SUM(GTC38)</f>
        <v>40</v>
      </c>
      <c r="GTE38" s="129" t="s">
        <v>46</v>
      </c>
      <c r="GTF38" s="131" t="s">
        <v>44</v>
      </c>
      <c r="GTG38" s="133" t="s">
        <v>45</v>
      </c>
      <c r="GTH38" s="134"/>
      <c r="GTI38" s="135"/>
      <c r="GTJ38" s="125">
        <v>0</v>
      </c>
      <c r="GTK38" s="125">
        <v>40</v>
      </c>
      <c r="GTL38" s="127">
        <f>SUM(GTK38)</f>
        <v>40</v>
      </c>
      <c r="GTM38" s="129" t="s">
        <v>46</v>
      </c>
      <c r="GTN38" s="131" t="s">
        <v>44</v>
      </c>
      <c r="GTO38" s="133" t="s">
        <v>45</v>
      </c>
      <c r="GTP38" s="134"/>
      <c r="GTQ38" s="135"/>
      <c r="GTR38" s="125">
        <v>0</v>
      </c>
      <c r="GTS38" s="125">
        <v>40</v>
      </c>
      <c r="GTT38" s="127">
        <f>SUM(GTS38)</f>
        <v>40</v>
      </c>
      <c r="GTU38" s="129" t="s">
        <v>46</v>
      </c>
      <c r="GTV38" s="131" t="s">
        <v>44</v>
      </c>
      <c r="GTW38" s="133" t="s">
        <v>45</v>
      </c>
      <c r="GTX38" s="134"/>
      <c r="GTY38" s="135"/>
      <c r="GTZ38" s="125">
        <v>0</v>
      </c>
      <c r="GUA38" s="125">
        <v>40</v>
      </c>
      <c r="GUB38" s="127">
        <f>SUM(GUA38)</f>
        <v>40</v>
      </c>
      <c r="GUC38" s="129" t="s">
        <v>46</v>
      </c>
      <c r="GUD38" s="131" t="s">
        <v>44</v>
      </c>
      <c r="GUE38" s="133" t="s">
        <v>45</v>
      </c>
      <c r="GUF38" s="134"/>
      <c r="GUG38" s="135"/>
      <c r="GUH38" s="125">
        <v>0</v>
      </c>
      <c r="GUI38" s="125">
        <v>40</v>
      </c>
      <c r="GUJ38" s="127">
        <f>SUM(GUI38)</f>
        <v>40</v>
      </c>
      <c r="GUK38" s="129" t="s">
        <v>46</v>
      </c>
      <c r="GUL38" s="131" t="s">
        <v>44</v>
      </c>
      <c r="GUM38" s="133" t="s">
        <v>45</v>
      </c>
      <c r="GUN38" s="134"/>
      <c r="GUO38" s="135"/>
      <c r="GUP38" s="125">
        <v>0</v>
      </c>
      <c r="GUQ38" s="125">
        <v>40</v>
      </c>
      <c r="GUR38" s="127">
        <f>SUM(GUQ38)</f>
        <v>40</v>
      </c>
      <c r="GUS38" s="129" t="s">
        <v>46</v>
      </c>
      <c r="GUT38" s="131" t="s">
        <v>44</v>
      </c>
      <c r="GUU38" s="133" t="s">
        <v>45</v>
      </c>
      <c r="GUV38" s="134"/>
      <c r="GUW38" s="135"/>
      <c r="GUX38" s="125">
        <v>0</v>
      </c>
      <c r="GUY38" s="125">
        <v>40</v>
      </c>
      <c r="GUZ38" s="127">
        <f>SUM(GUY38)</f>
        <v>40</v>
      </c>
      <c r="GVA38" s="129" t="s">
        <v>46</v>
      </c>
      <c r="GVB38" s="131" t="s">
        <v>44</v>
      </c>
      <c r="GVC38" s="133" t="s">
        <v>45</v>
      </c>
      <c r="GVD38" s="134"/>
      <c r="GVE38" s="135"/>
      <c r="GVF38" s="125">
        <v>0</v>
      </c>
      <c r="GVG38" s="125">
        <v>40</v>
      </c>
      <c r="GVH38" s="127">
        <f>SUM(GVG38)</f>
        <v>40</v>
      </c>
      <c r="GVI38" s="129" t="s">
        <v>46</v>
      </c>
      <c r="GVJ38" s="131" t="s">
        <v>44</v>
      </c>
      <c r="GVK38" s="133" t="s">
        <v>45</v>
      </c>
      <c r="GVL38" s="134"/>
      <c r="GVM38" s="135"/>
      <c r="GVN38" s="125">
        <v>0</v>
      </c>
      <c r="GVO38" s="125">
        <v>40</v>
      </c>
      <c r="GVP38" s="127">
        <f>SUM(GVO38)</f>
        <v>40</v>
      </c>
      <c r="GVQ38" s="129" t="s">
        <v>46</v>
      </c>
      <c r="GVR38" s="131" t="s">
        <v>44</v>
      </c>
      <c r="GVS38" s="133" t="s">
        <v>45</v>
      </c>
      <c r="GVT38" s="134"/>
      <c r="GVU38" s="135"/>
      <c r="GVV38" s="125">
        <v>0</v>
      </c>
      <c r="GVW38" s="125">
        <v>40</v>
      </c>
      <c r="GVX38" s="127">
        <f>SUM(GVW38)</f>
        <v>40</v>
      </c>
      <c r="GVY38" s="129" t="s">
        <v>46</v>
      </c>
      <c r="GVZ38" s="131" t="s">
        <v>44</v>
      </c>
      <c r="GWA38" s="133" t="s">
        <v>45</v>
      </c>
      <c r="GWB38" s="134"/>
      <c r="GWC38" s="135"/>
      <c r="GWD38" s="125">
        <v>0</v>
      </c>
      <c r="GWE38" s="125">
        <v>40</v>
      </c>
      <c r="GWF38" s="127">
        <f>SUM(GWE38)</f>
        <v>40</v>
      </c>
      <c r="GWG38" s="129" t="s">
        <v>46</v>
      </c>
      <c r="GWH38" s="131" t="s">
        <v>44</v>
      </c>
      <c r="GWI38" s="133" t="s">
        <v>45</v>
      </c>
      <c r="GWJ38" s="134"/>
      <c r="GWK38" s="135"/>
      <c r="GWL38" s="125">
        <v>0</v>
      </c>
      <c r="GWM38" s="125">
        <v>40</v>
      </c>
      <c r="GWN38" s="127">
        <f>SUM(GWM38)</f>
        <v>40</v>
      </c>
      <c r="GWO38" s="129" t="s">
        <v>46</v>
      </c>
      <c r="GWP38" s="131" t="s">
        <v>44</v>
      </c>
      <c r="GWQ38" s="133" t="s">
        <v>45</v>
      </c>
      <c r="GWR38" s="134"/>
      <c r="GWS38" s="135"/>
      <c r="GWT38" s="125">
        <v>0</v>
      </c>
      <c r="GWU38" s="125">
        <v>40</v>
      </c>
      <c r="GWV38" s="127">
        <f>SUM(GWU38)</f>
        <v>40</v>
      </c>
      <c r="GWW38" s="129" t="s">
        <v>46</v>
      </c>
      <c r="GWX38" s="131" t="s">
        <v>44</v>
      </c>
      <c r="GWY38" s="133" t="s">
        <v>45</v>
      </c>
      <c r="GWZ38" s="134"/>
      <c r="GXA38" s="135"/>
      <c r="GXB38" s="125">
        <v>0</v>
      </c>
      <c r="GXC38" s="125">
        <v>40</v>
      </c>
      <c r="GXD38" s="127">
        <f>SUM(GXC38)</f>
        <v>40</v>
      </c>
      <c r="GXE38" s="129" t="s">
        <v>46</v>
      </c>
      <c r="GXF38" s="131" t="s">
        <v>44</v>
      </c>
      <c r="GXG38" s="133" t="s">
        <v>45</v>
      </c>
      <c r="GXH38" s="134"/>
      <c r="GXI38" s="135"/>
      <c r="GXJ38" s="125">
        <v>0</v>
      </c>
      <c r="GXK38" s="125">
        <v>40</v>
      </c>
      <c r="GXL38" s="127">
        <f>SUM(GXK38)</f>
        <v>40</v>
      </c>
      <c r="GXM38" s="129" t="s">
        <v>46</v>
      </c>
      <c r="GXN38" s="131" t="s">
        <v>44</v>
      </c>
      <c r="GXO38" s="133" t="s">
        <v>45</v>
      </c>
      <c r="GXP38" s="134"/>
      <c r="GXQ38" s="135"/>
      <c r="GXR38" s="125">
        <v>0</v>
      </c>
      <c r="GXS38" s="125">
        <v>40</v>
      </c>
      <c r="GXT38" s="127">
        <f>SUM(GXS38)</f>
        <v>40</v>
      </c>
      <c r="GXU38" s="129" t="s">
        <v>46</v>
      </c>
      <c r="GXV38" s="131" t="s">
        <v>44</v>
      </c>
      <c r="GXW38" s="133" t="s">
        <v>45</v>
      </c>
      <c r="GXX38" s="134"/>
      <c r="GXY38" s="135"/>
      <c r="GXZ38" s="125">
        <v>0</v>
      </c>
      <c r="GYA38" s="125">
        <v>40</v>
      </c>
      <c r="GYB38" s="127">
        <f>SUM(GYA38)</f>
        <v>40</v>
      </c>
      <c r="GYC38" s="129" t="s">
        <v>46</v>
      </c>
      <c r="GYD38" s="131" t="s">
        <v>44</v>
      </c>
      <c r="GYE38" s="133" t="s">
        <v>45</v>
      </c>
      <c r="GYF38" s="134"/>
      <c r="GYG38" s="135"/>
      <c r="GYH38" s="125">
        <v>0</v>
      </c>
      <c r="GYI38" s="125">
        <v>40</v>
      </c>
      <c r="GYJ38" s="127">
        <f>SUM(GYI38)</f>
        <v>40</v>
      </c>
      <c r="GYK38" s="129" t="s">
        <v>46</v>
      </c>
      <c r="GYL38" s="131" t="s">
        <v>44</v>
      </c>
      <c r="GYM38" s="133" t="s">
        <v>45</v>
      </c>
      <c r="GYN38" s="134"/>
      <c r="GYO38" s="135"/>
      <c r="GYP38" s="125">
        <v>0</v>
      </c>
      <c r="GYQ38" s="125">
        <v>40</v>
      </c>
      <c r="GYR38" s="127">
        <f>SUM(GYQ38)</f>
        <v>40</v>
      </c>
      <c r="GYS38" s="129" t="s">
        <v>46</v>
      </c>
      <c r="GYT38" s="131" t="s">
        <v>44</v>
      </c>
      <c r="GYU38" s="133" t="s">
        <v>45</v>
      </c>
      <c r="GYV38" s="134"/>
      <c r="GYW38" s="135"/>
      <c r="GYX38" s="125">
        <v>0</v>
      </c>
      <c r="GYY38" s="125">
        <v>40</v>
      </c>
      <c r="GYZ38" s="127">
        <f>SUM(GYY38)</f>
        <v>40</v>
      </c>
      <c r="GZA38" s="129" t="s">
        <v>46</v>
      </c>
      <c r="GZB38" s="131" t="s">
        <v>44</v>
      </c>
      <c r="GZC38" s="133" t="s">
        <v>45</v>
      </c>
      <c r="GZD38" s="134"/>
      <c r="GZE38" s="135"/>
      <c r="GZF38" s="125">
        <v>0</v>
      </c>
      <c r="GZG38" s="125">
        <v>40</v>
      </c>
      <c r="GZH38" s="127">
        <f>SUM(GZG38)</f>
        <v>40</v>
      </c>
      <c r="GZI38" s="129" t="s">
        <v>46</v>
      </c>
      <c r="GZJ38" s="131" t="s">
        <v>44</v>
      </c>
      <c r="GZK38" s="133" t="s">
        <v>45</v>
      </c>
      <c r="GZL38" s="134"/>
      <c r="GZM38" s="135"/>
      <c r="GZN38" s="125">
        <v>0</v>
      </c>
      <c r="GZO38" s="125">
        <v>40</v>
      </c>
      <c r="GZP38" s="127">
        <f>SUM(GZO38)</f>
        <v>40</v>
      </c>
      <c r="GZQ38" s="129" t="s">
        <v>46</v>
      </c>
      <c r="GZR38" s="131" t="s">
        <v>44</v>
      </c>
      <c r="GZS38" s="133" t="s">
        <v>45</v>
      </c>
      <c r="GZT38" s="134"/>
      <c r="GZU38" s="135"/>
      <c r="GZV38" s="125">
        <v>0</v>
      </c>
      <c r="GZW38" s="125">
        <v>40</v>
      </c>
      <c r="GZX38" s="127">
        <f>SUM(GZW38)</f>
        <v>40</v>
      </c>
      <c r="GZY38" s="129" t="s">
        <v>46</v>
      </c>
      <c r="GZZ38" s="131" t="s">
        <v>44</v>
      </c>
      <c r="HAA38" s="133" t="s">
        <v>45</v>
      </c>
      <c r="HAB38" s="134"/>
      <c r="HAC38" s="135"/>
      <c r="HAD38" s="125">
        <v>0</v>
      </c>
      <c r="HAE38" s="125">
        <v>40</v>
      </c>
      <c r="HAF38" s="127">
        <f>SUM(HAE38)</f>
        <v>40</v>
      </c>
      <c r="HAG38" s="129" t="s">
        <v>46</v>
      </c>
      <c r="HAH38" s="131" t="s">
        <v>44</v>
      </c>
      <c r="HAI38" s="133" t="s">
        <v>45</v>
      </c>
      <c r="HAJ38" s="134"/>
      <c r="HAK38" s="135"/>
      <c r="HAL38" s="125">
        <v>0</v>
      </c>
      <c r="HAM38" s="125">
        <v>40</v>
      </c>
      <c r="HAN38" s="127">
        <f>SUM(HAM38)</f>
        <v>40</v>
      </c>
      <c r="HAO38" s="129" t="s">
        <v>46</v>
      </c>
      <c r="HAP38" s="131" t="s">
        <v>44</v>
      </c>
      <c r="HAQ38" s="133" t="s">
        <v>45</v>
      </c>
      <c r="HAR38" s="134"/>
      <c r="HAS38" s="135"/>
      <c r="HAT38" s="125">
        <v>0</v>
      </c>
      <c r="HAU38" s="125">
        <v>40</v>
      </c>
      <c r="HAV38" s="127">
        <f>SUM(HAU38)</f>
        <v>40</v>
      </c>
      <c r="HAW38" s="129" t="s">
        <v>46</v>
      </c>
      <c r="HAX38" s="131" t="s">
        <v>44</v>
      </c>
      <c r="HAY38" s="133" t="s">
        <v>45</v>
      </c>
      <c r="HAZ38" s="134"/>
      <c r="HBA38" s="135"/>
      <c r="HBB38" s="125">
        <v>0</v>
      </c>
      <c r="HBC38" s="125">
        <v>40</v>
      </c>
      <c r="HBD38" s="127">
        <f>SUM(HBC38)</f>
        <v>40</v>
      </c>
      <c r="HBE38" s="129" t="s">
        <v>46</v>
      </c>
      <c r="HBF38" s="131" t="s">
        <v>44</v>
      </c>
      <c r="HBG38" s="133" t="s">
        <v>45</v>
      </c>
      <c r="HBH38" s="134"/>
      <c r="HBI38" s="135"/>
      <c r="HBJ38" s="125">
        <v>0</v>
      </c>
      <c r="HBK38" s="125">
        <v>40</v>
      </c>
      <c r="HBL38" s="127">
        <f>SUM(HBK38)</f>
        <v>40</v>
      </c>
      <c r="HBM38" s="129" t="s">
        <v>46</v>
      </c>
      <c r="HBN38" s="131" t="s">
        <v>44</v>
      </c>
      <c r="HBO38" s="133" t="s">
        <v>45</v>
      </c>
      <c r="HBP38" s="134"/>
      <c r="HBQ38" s="135"/>
      <c r="HBR38" s="125">
        <v>0</v>
      </c>
      <c r="HBS38" s="125">
        <v>40</v>
      </c>
      <c r="HBT38" s="127">
        <f>SUM(HBS38)</f>
        <v>40</v>
      </c>
      <c r="HBU38" s="129" t="s">
        <v>46</v>
      </c>
      <c r="HBV38" s="131" t="s">
        <v>44</v>
      </c>
      <c r="HBW38" s="133" t="s">
        <v>45</v>
      </c>
      <c r="HBX38" s="134"/>
      <c r="HBY38" s="135"/>
      <c r="HBZ38" s="125">
        <v>0</v>
      </c>
      <c r="HCA38" s="125">
        <v>40</v>
      </c>
      <c r="HCB38" s="127">
        <f>SUM(HCA38)</f>
        <v>40</v>
      </c>
      <c r="HCC38" s="129" t="s">
        <v>46</v>
      </c>
      <c r="HCD38" s="131" t="s">
        <v>44</v>
      </c>
      <c r="HCE38" s="133" t="s">
        <v>45</v>
      </c>
      <c r="HCF38" s="134"/>
      <c r="HCG38" s="135"/>
      <c r="HCH38" s="125">
        <v>0</v>
      </c>
      <c r="HCI38" s="125">
        <v>40</v>
      </c>
      <c r="HCJ38" s="127">
        <f>SUM(HCI38)</f>
        <v>40</v>
      </c>
      <c r="HCK38" s="129" t="s">
        <v>46</v>
      </c>
      <c r="HCL38" s="131" t="s">
        <v>44</v>
      </c>
      <c r="HCM38" s="133" t="s">
        <v>45</v>
      </c>
      <c r="HCN38" s="134"/>
      <c r="HCO38" s="135"/>
      <c r="HCP38" s="125">
        <v>0</v>
      </c>
      <c r="HCQ38" s="125">
        <v>40</v>
      </c>
      <c r="HCR38" s="127">
        <f>SUM(HCQ38)</f>
        <v>40</v>
      </c>
      <c r="HCS38" s="129" t="s">
        <v>46</v>
      </c>
      <c r="HCT38" s="131" t="s">
        <v>44</v>
      </c>
      <c r="HCU38" s="133" t="s">
        <v>45</v>
      </c>
      <c r="HCV38" s="134"/>
      <c r="HCW38" s="135"/>
      <c r="HCX38" s="125">
        <v>0</v>
      </c>
      <c r="HCY38" s="125">
        <v>40</v>
      </c>
      <c r="HCZ38" s="127">
        <f>SUM(HCY38)</f>
        <v>40</v>
      </c>
      <c r="HDA38" s="129" t="s">
        <v>46</v>
      </c>
      <c r="HDB38" s="131" t="s">
        <v>44</v>
      </c>
      <c r="HDC38" s="133" t="s">
        <v>45</v>
      </c>
      <c r="HDD38" s="134"/>
      <c r="HDE38" s="135"/>
      <c r="HDF38" s="125">
        <v>0</v>
      </c>
      <c r="HDG38" s="125">
        <v>40</v>
      </c>
      <c r="HDH38" s="127">
        <f>SUM(HDG38)</f>
        <v>40</v>
      </c>
      <c r="HDI38" s="129" t="s">
        <v>46</v>
      </c>
      <c r="HDJ38" s="131" t="s">
        <v>44</v>
      </c>
      <c r="HDK38" s="133" t="s">
        <v>45</v>
      </c>
      <c r="HDL38" s="134"/>
      <c r="HDM38" s="135"/>
      <c r="HDN38" s="125">
        <v>0</v>
      </c>
      <c r="HDO38" s="125">
        <v>40</v>
      </c>
      <c r="HDP38" s="127">
        <f>SUM(HDO38)</f>
        <v>40</v>
      </c>
      <c r="HDQ38" s="129" t="s">
        <v>46</v>
      </c>
      <c r="HDR38" s="131" t="s">
        <v>44</v>
      </c>
      <c r="HDS38" s="133" t="s">
        <v>45</v>
      </c>
      <c r="HDT38" s="134"/>
      <c r="HDU38" s="135"/>
      <c r="HDV38" s="125">
        <v>0</v>
      </c>
      <c r="HDW38" s="125">
        <v>40</v>
      </c>
      <c r="HDX38" s="127">
        <f>SUM(HDW38)</f>
        <v>40</v>
      </c>
      <c r="HDY38" s="129" t="s">
        <v>46</v>
      </c>
      <c r="HDZ38" s="131" t="s">
        <v>44</v>
      </c>
      <c r="HEA38" s="133" t="s">
        <v>45</v>
      </c>
      <c r="HEB38" s="134"/>
      <c r="HEC38" s="135"/>
      <c r="HED38" s="125">
        <v>0</v>
      </c>
      <c r="HEE38" s="125">
        <v>40</v>
      </c>
      <c r="HEF38" s="127">
        <f>SUM(HEE38)</f>
        <v>40</v>
      </c>
      <c r="HEG38" s="129" t="s">
        <v>46</v>
      </c>
      <c r="HEH38" s="131" t="s">
        <v>44</v>
      </c>
      <c r="HEI38" s="133" t="s">
        <v>45</v>
      </c>
      <c r="HEJ38" s="134"/>
      <c r="HEK38" s="135"/>
      <c r="HEL38" s="125">
        <v>0</v>
      </c>
      <c r="HEM38" s="125">
        <v>40</v>
      </c>
      <c r="HEN38" s="127">
        <f>SUM(HEM38)</f>
        <v>40</v>
      </c>
      <c r="HEO38" s="129" t="s">
        <v>46</v>
      </c>
      <c r="HEP38" s="131" t="s">
        <v>44</v>
      </c>
      <c r="HEQ38" s="133" t="s">
        <v>45</v>
      </c>
      <c r="HER38" s="134"/>
      <c r="HES38" s="135"/>
      <c r="HET38" s="125">
        <v>0</v>
      </c>
      <c r="HEU38" s="125">
        <v>40</v>
      </c>
      <c r="HEV38" s="127">
        <f>SUM(HEU38)</f>
        <v>40</v>
      </c>
      <c r="HEW38" s="129" t="s">
        <v>46</v>
      </c>
      <c r="HEX38" s="131" t="s">
        <v>44</v>
      </c>
      <c r="HEY38" s="133" t="s">
        <v>45</v>
      </c>
      <c r="HEZ38" s="134"/>
      <c r="HFA38" s="135"/>
      <c r="HFB38" s="125">
        <v>0</v>
      </c>
      <c r="HFC38" s="125">
        <v>40</v>
      </c>
      <c r="HFD38" s="127">
        <f>SUM(HFC38)</f>
        <v>40</v>
      </c>
      <c r="HFE38" s="129" t="s">
        <v>46</v>
      </c>
      <c r="HFF38" s="131" t="s">
        <v>44</v>
      </c>
      <c r="HFG38" s="133" t="s">
        <v>45</v>
      </c>
      <c r="HFH38" s="134"/>
      <c r="HFI38" s="135"/>
      <c r="HFJ38" s="125">
        <v>0</v>
      </c>
      <c r="HFK38" s="125">
        <v>40</v>
      </c>
      <c r="HFL38" s="127">
        <f>SUM(HFK38)</f>
        <v>40</v>
      </c>
      <c r="HFM38" s="129" t="s">
        <v>46</v>
      </c>
      <c r="HFN38" s="131" t="s">
        <v>44</v>
      </c>
      <c r="HFO38" s="133" t="s">
        <v>45</v>
      </c>
      <c r="HFP38" s="134"/>
      <c r="HFQ38" s="135"/>
      <c r="HFR38" s="125">
        <v>0</v>
      </c>
      <c r="HFS38" s="125">
        <v>40</v>
      </c>
      <c r="HFT38" s="127">
        <f>SUM(HFS38)</f>
        <v>40</v>
      </c>
      <c r="HFU38" s="129" t="s">
        <v>46</v>
      </c>
      <c r="HFV38" s="131" t="s">
        <v>44</v>
      </c>
      <c r="HFW38" s="133" t="s">
        <v>45</v>
      </c>
      <c r="HFX38" s="134"/>
      <c r="HFY38" s="135"/>
      <c r="HFZ38" s="125">
        <v>0</v>
      </c>
      <c r="HGA38" s="125">
        <v>40</v>
      </c>
      <c r="HGB38" s="127">
        <f>SUM(HGA38)</f>
        <v>40</v>
      </c>
      <c r="HGC38" s="129" t="s">
        <v>46</v>
      </c>
      <c r="HGD38" s="131" t="s">
        <v>44</v>
      </c>
      <c r="HGE38" s="133" t="s">
        <v>45</v>
      </c>
      <c r="HGF38" s="134"/>
      <c r="HGG38" s="135"/>
      <c r="HGH38" s="125">
        <v>0</v>
      </c>
      <c r="HGI38" s="125">
        <v>40</v>
      </c>
      <c r="HGJ38" s="127">
        <f>SUM(HGI38)</f>
        <v>40</v>
      </c>
      <c r="HGK38" s="129" t="s">
        <v>46</v>
      </c>
      <c r="HGL38" s="131" t="s">
        <v>44</v>
      </c>
      <c r="HGM38" s="133" t="s">
        <v>45</v>
      </c>
      <c r="HGN38" s="134"/>
      <c r="HGO38" s="135"/>
      <c r="HGP38" s="125">
        <v>0</v>
      </c>
      <c r="HGQ38" s="125">
        <v>40</v>
      </c>
      <c r="HGR38" s="127">
        <f>SUM(HGQ38)</f>
        <v>40</v>
      </c>
      <c r="HGS38" s="129" t="s">
        <v>46</v>
      </c>
      <c r="HGT38" s="131" t="s">
        <v>44</v>
      </c>
      <c r="HGU38" s="133" t="s">
        <v>45</v>
      </c>
      <c r="HGV38" s="134"/>
      <c r="HGW38" s="135"/>
      <c r="HGX38" s="125">
        <v>0</v>
      </c>
      <c r="HGY38" s="125">
        <v>40</v>
      </c>
      <c r="HGZ38" s="127">
        <f>SUM(HGY38)</f>
        <v>40</v>
      </c>
      <c r="HHA38" s="129" t="s">
        <v>46</v>
      </c>
      <c r="HHB38" s="131" t="s">
        <v>44</v>
      </c>
      <c r="HHC38" s="133" t="s">
        <v>45</v>
      </c>
      <c r="HHD38" s="134"/>
      <c r="HHE38" s="135"/>
      <c r="HHF38" s="125">
        <v>0</v>
      </c>
      <c r="HHG38" s="125">
        <v>40</v>
      </c>
      <c r="HHH38" s="127">
        <f>SUM(HHG38)</f>
        <v>40</v>
      </c>
      <c r="HHI38" s="129" t="s">
        <v>46</v>
      </c>
      <c r="HHJ38" s="131" t="s">
        <v>44</v>
      </c>
      <c r="HHK38" s="133" t="s">
        <v>45</v>
      </c>
      <c r="HHL38" s="134"/>
      <c r="HHM38" s="135"/>
      <c r="HHN38" s="125">
        <v>0</v>
      </c>
      <c r="HHO38" s="125">
        <v>40</v>
      </c>
      <c r="HHP38" s="127">
        <f>SUM(HHO38)</f>
        <v>40</v>
      </c>
      <c r="HHQ38" s="129" t="s">
        <v>46</v>
      </c>
      <c r="HHR38" s="131" t="s">
        <v>44</v>
      </c>
      <c r="HHS38" s="133" t="s">
        <v>45</v>
      </c>
      <c r="HHT38" s="134"/>
      <c r="HHU38" s="135"/>
      <c r="HHV38" s="125">
        <v>0</v>
      </c>
      <c r="HHW38" s="125">
        <v>40</v>
      </c>
      <c r="HHX38" s="127">
        <f>SUM(HHW38)</f>
        <v>40</v>
      </c>
      <c r="HHY38" s="129" t="s">
        <v>46</v>
      </c>
      <c r="HHZ38" s="131" t="s">
        <v>44</v>
      </c>
      <c r="HIA38" s="133" t="s">
        <v>45</v>
      </c>
      <c r="HIB38" s="134"/>
      <c r="HIC38" s="135"/>
      <c r="HID38" s="125">
        <v>0</v>
      </c>
      <c r="HIE38" s="125">
        <v>40</v>
      </c>
      <c r="HIF38" s="127">
        <f>SUM(HIE38)</f>
        <v>40</v>
      </c>
      <c r="HIG38" s="129" t="s">
        <v>46</v>
      </c>
      <c r="HIH38" s="131" t="s">
        <v>44</v>
      </c>
      <c r="HII38" s="133" t="s">
        <v>45</v>
      </c>
      <c r="HIJ38" s="134"/>
      <c r="HIK38" s="135"/>
      <c r="HIL38" s="125">
        <v>0</v>
      </c>
      <c r="HIM38" s="125">
        <v>40</v>
      </c>
      <c r="HIN38" s="127">
        <f>SUM(HIM38)</f>
        <v>40</v>
      </c>
      <c r="HIO38" s="129" t="s">
        <v>46</v>
      </c>
      <c r="HIP38" s="131" t="s">
        <v>44</v>
      </c>
      <c r="HIQ38" s="133" t="s">
        <v>45</v>
      </c>
      <c r="HIR38" s="134"/>
      <c r="HIS38" s="135"/>
      <c r="HIT38" s="125">
        <v>0</v>
      </c>
      <c r="HIU38" s="125">
        <v>40</v>
      </c>
      <c r="HIV38" s="127">
        <f>SUM(HIU38)</f>
        <v>40</v>
      </c>
      <c r="HIW38" s="129" t="s">
        <v>46</v>
      </c>
      <c r="HIX38" s="131" t="s">
        <v>44</v>
      </c>
      <c r="HIY38" s="133" t="s">
        <v>45</v>
      </c>
      <c r="HIZ38" s="134"/>
      <c r="HJA38" s="135"/>
      <c r="HJB38" s="125">
        <v>0</v>
      </c>
      <c r="HJC38" s="125">
        <v>40</v>
      </c>
      <c r="HJD38" s="127">
        <f>SUM(HJC38)</f>
        <v>40</v>
      </c>
      <c r="HJE38" s="129" t="s">
        <v>46</v>
      </c>
      <c r="HJF38" s="131" t="s">
        <v>44</v>
      </c>
      <c r="HJG38" s="133" t="s">
        <v>45</v>
      </c>
      <c r="HJH38" s="134"/>
      <c r="HJI38" s="135"/>
      <c r="HJJ38" s="125">
        <v>0</v>
      </c>
      <c r="HJK38" s="125">
        <v>40</v>
      </c>
      <c r="HJL38" s="127">
        <f>SUM(HJK38)</f>
        <v>40</v>
      </c>
      <c r="HJM38" s="129" t="s">
        <v>46</v>
      </c>
      <c r="HJN38" s="131" t="s">
        <v>44</v>
      </c>
      <c r="HJO38" s="133" t="s">
        <v>45</v>
      </c>
      <c r="HJP38" s="134"/>
      <c r="HJQ38" s="135"/>
      <c r="HJR38" s="125">
        <v>0</v>
      </c>
      <c r="HJS38" s="125">
        <v>40</v>
      </c>
      <c r="HJT38" s="127">
        <f>SUM(HJS38)</f>
        <v>40</v>
      </c>
      <c r="HJU38" s="129" t="s">
        <v>46</v>
      </c>
      <c r="HJV38" s="131" t="s">
        <v>44</v>
      </c>
      <c r="HJW38" s="133" t="s">
        <v>45</v>
      </c>
      <c r="HJX38" s="134"/>
      <c r="HJY38" s="135"/>
      <c r="HJZ38" s="125">
        <v>0</v>
      </c>
      <c r="HKA38" s="125">
        <v>40</v>
      </c>
      <c r="HKB38" s="127">
        <f>SUM(HKA38)</f>
        <v>40</v>
      </c>
      <c r="HKC38" s="129" t="s">
        <v>46</v>
      </c>
      <c r="HKD38" s="131" t="s">
        <v>44</v>
      </c>
      <c r="HKE38" s="133" t="s">
        <v>45</v>
      </c>
      <c r="HKF38" s="134"/>
      <c r="HKG38" s="135"/>
      <c r="HKH38" s="125">
        <v>0</v>
      </c>
      <c r="HKI38" s="125">
        <v>40</v>
      </c>
      <c r="HKJ38" s="127">
        <f>SUM(HKI38)</f>
        <v>40</v>
      </c>
      <c r="HKK38" s="129" t="s">
        <v>46</v>
      </c>
      <c r="HKL38" s="131" t="s">
        <v>44</v>
      </c>
      <c r="HKM38" s="133" t="s">
        <v>45</v>
      </c>
      <c r="HKN38" s="134"/>
      <c r="HKO38" s="135"/>
      <c r="HKP38" s="125">
        <v>0</v>
      </c>
      <c r="HKQ38" s="125">
        <v>40</v>
      </c>
      <c r="HKR38" s="127">
        <f>SUM(HKQ38)</f>
        <v>40</v>
      </c>
      <c r="HKS38" s="129" t="s">
        <v>46</v>
      </c>
      <c r="HKT38" s="131" t="s">
        <v>44</v>
      </c>
      <c r="HKU38" s="133" t="s">
        <v>45</v>
      </c>
      <c r="HKV38" s="134"/>
      <c r="HKW38" s="135"/>
      <c r="HKX38" s="125">
        <v>0</v>
      </c>
      <c r="HKY38" s="125">
        <v>40</v>
      </c>
      <c r="HKZ38" s="127">
        <f>SUM(HKY38)</f>
        <v>40</v>
      </c>
      <c r="HLA38" s="129" t="s">
        <v>46</v>
      </c>
      <c r="HLB38" s="131" t="s">
        <v>44</v>
      </c>
      <c r="HLC38" s="133" t="s">
        <v>45</v>
      </c>
      <c r="HLD38" s="134"/>
      <c r="HLE38" s="135"/>
      <c r="HLF38" s="125">
        <v>0</v>
      </c>
      <c r="HLG38" s="125">
        <v>40</v>
      </c>
      <c r="HLH38" s="127">
        <f>SUM(HLG38)</f>
        <v>40</v>
      </c>
      <c r="HLI38" s="129" t="s">
        <v>46</v>
      </c>
      <c r="HLJ38" s="131" t="s">
        <v>44</v>
      </c>
      <c r="HLK38" s="133" t="s">
        <v>45</v>
      </c>
      <c r="HLL38" s="134"/>
      <c r="HLM38" s="135"/>
      <c r="HLN38" s="125">
        <v>0</v>
      </c>
      <c r="HLO38" s="125">
        <v>40</v>
      </c>
      <c r="HLP38" s="127">
        <f>SUM(HLO38)</f>
        <v>40</v>
      </c>
      <c r="HLQ38" s="129" t="s">
        <v>46</v>
      </c>
      <c r="HLR38" s="131" t="s">
        <v>44</v>
      </c>
      <c r="HLS38" s="133" t="s">
        <v>45</v>
      </c>
      <c r="HLT38" s="134"/>
      <c r="HLU38" s="135"/>
      <c r="HLV38" s="125">
        <v>0</v>
      </c>
      <c r="HLW38" s="125">
        <v>40</v>
      </c>
      <c r="HLX38" s="127">
        <f>SUM(HLW38)</f>
        <v>40</v>
      </c>
      <c r="HLY38" s="129" t="s">
        <v>46</v>
      </c>
      <c r="HLZ38" s="131" t="s">
        <v>44</v>
      </c>
      <c r="HMA38" s="133" t="s">
        <v>45</v>
      </c>
      <c r="HMB38" s="134"/>
      <c r="HMC38" s="135"/>
      <c r="HMD38" s="125">
        <v>0</v>
      </c>
      <c r="HME38" s="125">
        <v>40</v>
      </c>
      <c r="HMF38" s="127">
        <f>SUM(HME38)</f>
        <v>40</v>
      </c>
      <c r="HMG38" s="129" t="s">
        <v>46</v>
      </c>
      <c r="HMH38" s="131" t="s">
        <v>44</v>
      </c>
      <c r="HMI38" s="133" t="s">
        <v>45</v>
      </c>
      <c r="HMJ38" s="134"/>
      <c r="HMK38" s="135"/>
      <c r="HML38" s="125">
        <v>0</v>
      </c>
      <c r="HMM38" s="125">
        <v>40</v>
      </c>
      <c r="HMN38" s="127">
        <f>SUM(HMM38)</f>
        <v>40</v>
      </c>
      <c r="HMO38" s="129" t="s">
        <v>46</v>
      </c>
      <c r="HMP38" s="131" t="s">
        <v>44</v>
      </c>
      <c r="HMQ38" s="133" t="s">
        <v>45</v>
      </c>
      <c r="HMR38" s="134"/>
      <c r="HMS38" s="135"/>
      <c r="HMT38" s="125">
        <v>0</v>
      </c>
      <c r="HMU38" s="125">
        <v>40</v>
      </c>
      <c r="HMV38" s="127">
        <f>SUM(HMU38)</f>
        <v>40</v>
      </c>
      <c r="HMW38" s="129" t="s">
        <v>46</v>
      </c>
      <c r="HMX38" s="131" t="s">
        <v>44</v>
      </c>
      <c r="HMY38" s="133" t="s">
        <v>45</v>
      </c>
      <c r="HMZ38" s="134"/>
      <c r="HNA38" s="135"/>
      <c r="HNB38" s="125">
        <v>0</v>
      </c>
      <c r="HNC38" s="125">
        <v>40</v>
      </c>
      <c r="HND38" s="127">
        <f>SUM(HNC38)</f>
        <v>40</v>
      </c>
      <c r="HNE38" s="129" t="s">
        <v>46</v>
      </c>
      <c r="HNF38" s="131" t="s">
        <v>44</v>
      </c>
      <c r="HNG38" s="133" t="s">
        <v>45</v>
      </c>
      <c r="HNH38" s="134"/>
      <c r="HNI38" s="135"/>
      <c r="HNJ38" s="125">
        <v>0</v>
      </c>
      <c r="HNK38" s="125">
        <v>40</v>
      </c>
      <c r="HNL38" s="127">
        <f>SUM(HNK38)</f>
        <v>40</v>
      </c>
      <c r="HNM38" s="129" t="s">
        <v>46</v>
      </c>
      <c r="HNN38" s="131" t="s">
        <v>44</v>
      </c>
      <c r="HNO38" s="133" t="s">
        <v>45</v>
      </c>
      <c r="HNP38" s="134"/>
      <c r="HNQ38" s="135"/>
      <c r="HNR38" s="125">
        <v>0</v>
      </c>
      <c r="HNS38" s="125">
        <v>40</v>
      </c>
      <c r="HNT38" s="127">
        <f>SUM(HNS38)</f>
        <v>40</v>
      </c>
      <c r="HNU38" s="129" t="s">
        <v>46</v>
      </c>
      <c r="HNV38" s="131" t="s">
        <v>44</v>
      </c>
      <c r="HNW38" s="133" t="s">
        <v>45</v>
      </c>
      <c r="HNX38" s="134"/>
      <c r="HNY38" s="135"/>
      <c r="HNZ38" s="125">
        <v>0</v>
      </c>
      <c r="HOA38" s="125">
        <v>40</v>
      </c>
      <c r="HOB38" s="127">
        <f>SUM(HOA38)</f>
        <v>40</v>
      </c>
      <c r="HOC38" s="129" t="s">
        <v>46</v>
      </c>
      <c r="HOD38" s="131" t="s">
        <v>44</v>
      </c>
      <c r="HOE38" s="133" t="s">
        <v>45</v>
      </c>
      <c r="HOF38" s="134"/>
      <c r="HOG38" s="135"/>
      <c r="HOH38" s="125">
        <v>0</v>
      </c>
      <c r="HOI38" s="125">
        <v>40</v>
      </c>
      <c r="HOJ38" s="127">
        <f>SUM(HOI38)</f>
        <v>40</v>
      </c>
      <c r="HOK38" s="129" t="s">
        <v>46</v>
      </c>
      <c r="HOL38" s="131" t="s">
        <v>44</v>
      </c>
      <c r="HOM38" s="133" t="s">
        <v>45</v>
      </c>
      <c r="HON38" s="134"/>
      <c r="HOO38" s="135"/>
      <c r="HOP38" s="125">
        <v>0</v>
      </c>
      <c r="HOQ38" s="125">
        <v>40</v>
      </c>
      <c r="HOR38" s="127">
        <f>SUM(HOQ38)</f>
        <v>40</v>
      </c>
      <c r="HOS38" s="129" t="s">
        <v>46</v>
      </c>
      <c r="HOT38" s="131" t="s">
        <v>44</v>
      </c>
      <c r="HOU38" s="133" t="s">
        <v>45</v>
      </c>
      <c r="HOV38" s="134"/>
      <c r="HOW38" s="135"/>
      <c r="HOX38" s="125">
        <v>0</v>
      </c>
      <c r="HOY38" s="125">
        <v>40</v>
      </c>
      <c r="HOZ38" s="127">
        <f>SUM(HOY38)</f>
        <v>40</v>
      </c>
      <c r="HPA38" s="129" t="s">
        <v>46</v>
      </c>
      <c r="HPB38" s="131" t="s">
        <v>44</v>
      </c>
      <c r="HPC38" s="133" t="s">
        <v>45</v>
      </c>
      <c r="HPD38" s="134"/>
      <c r="HPE38" s="135"/>
      <c r="HPF38" s="125">
        <v>0</v>
      </c>
      <c r="HPG38" s="125">
        <v>40</v>
      </c>
      <c r="HPH38" s="127">
        <f>SUM(HPG38)</f>
        <v>40</v>
      </c>
      <c r="HPI38" s="129" t="s">
        <v>46</v>
      </c>
      <c r="HPJ38" s="131" t="s">
        <v>44</v>
      </c>
      <c r="HPK38" s="133" t="s">
        <v>45</v>
      </c>
      <c r="HPL38" s="134"/>
      <c r="HPM38" s="135"/>
      <c r="HPN38" s="125">
        <v>0</v>
      </c>
      <c r="HPO38" s="125">
        <v>40</v>
      </c>
      <c r="HPP38" s="127">
        <f>SUM(HPO38)</f>
        <v>40</v>
      </c>
      <c r="HPQ38" s="129" t="s">
        <v>46</v>
      </c>
      <c r="HPR38" s="131" t="s">
        <v>44</v>
      </c>
      <c r="HPS38" s="133" t="s">
        <v>45</v>
      </c>
      <c r="HPT38" s="134"/>
      <c r="HPU38" s="135"/>
      <c r="HPV38" s="125">
        <v>0</v>
      </c>
      <c r="HPW38" s="125">
        <v>40</v>
      </c>
      <c r="HPX38" s="127">
        <f>SUM(HPW38)</f>
        <v>40</v>
      </c>
      <c r="HPY38" s="129" t="s">
        <v>46</v>
      </c>
      <c r="HPZ38" s="131" t="s">
        <v>44</v>
      </c>
      <c r="HQA38" s="133" t="s">
        <v>45</v>
      </c>
      <c r="HQB38" s="134"/>
      <c r="HQC38" s="135"/>
      <c r="HQD38" s="125">
        <v>0</v>
      </c>
      <c r="HQE38" s="125">
        <v>40</v>
      </c>
      <c r="HQF38" s="127">
        <f>SUM(HQE38)</f>
        <v>40</v>
      </c>
      <c r="HQG38" s="129" t="s">
        <v>46</v>
      </c>
      <c r="HQH38" s="131" t="s">
        <v>44</v>
      </c>
      <c r="HQI38" s="133" t="s">
        <v>45</v>
      </c>
      <c r="HQJ38" s="134"/>
      <c r="HQK38" s="135"/>
      <c r="HQL38" s="125">
        <v>0</v>
      </c>
      <c r="HQM38" s="125">
        <v>40</v>
      </c>
      <c r="HQN38" s="127">
        <f>SUM(HQM38)</f>
        <v>40</v>
      </c>
      <c r="HQO38" s="129" t="s">
        <v>46</v>
      </c>
      <c r="HQP38" s="131" t="s">
        <v>44</v>
      </c>
      <c r="HQQ38" s="133" t="s">
        <v>45</v>
      </c>
      <c r="HQR38" s="134"/>
      <c r="HQS38" s="135"/>
      <c r="HQT38" s="125">
        <v>0</v>
      </c>
      <c r="HQU38" s="125">
        <v>40</v>
      </c>
      <c r="HQV38" s="127">
        <f>SUM(HQU38)</f>
        <v>40</v>
      </c>
      <c r="HQW38" s="129" t="s">
        <v>46</v>
      </c>
      <c r="HQX38" s="131" t="s">
        <v>44</v>
      </c>
      <c r="HQY38" s="133" t="s">
        <v>45</v>
      </c>
      <c r="HQZ38" s="134"/>
      <c r="HRA38" s="135"/>
      <c r="HRB38" s="125">
        <v>0</v>
      </c>
      <c r="HRC38" s="125">
        <v>40</v>
      </c>
      <c r="HRD38" s="127">
        <f>SUM(HRC38)</f>
        <v>40</v>
      </c>
      <c r="HRE38" s="129" t="s">
        <v>46</v>
      </c>
      <c r="HRF38" s="131" t="s">
        <v>44</v>
      </c>
      <c r="HRG38" s="133" t="s">
        <v>45</v>
      </c>
      <c r="HRH38" s="134"/>
      <c r="HRI38" s="135"/>
      <c r="HRJ38" s="125">
        <v>0</v>
      </c>
      <c r="HRK38" s="125">
        <v>40</v>
      </c>
      <c r="HRL38" s="127">
        <f>SUM(HRK38)</f>
        <v>40</v>
      </c>
      <c r="HRM38" s="129" t="s">
        <v>46</v>
      </c>
      <c r="HRN38" s="131" t="s">
        <v>44</v>
      </c>
      <c r="HRO38" s="133" t="s">
        <v>45</v>
      </c>
      <c r="HRP38" s="134"/>
      <c r="HRQ38" s="135"/>
      <c r="HRR38" s="125">
        <v>0</v>
      </c>
      <c r="HRS38" s="125">
        <v>40</v>
      </c>
      <c r="HRT38" s="127">
        <f>SUM(HRS38)</f>
        <v>40</v>
      </c>
      <c r="HRU38" s="129" t="s">
        <v>46</v>
      </c>
      <c r="HRV38" s="131" t="s">
        <v>44</v>
      </c>
      <c r="HRW38" s="133" t="s">
        <v>45</v>
      </c>
      <c r="HRX38" s="134"/>
      <c r="HRY38" s="135"/>
      <c r="HRZ38" s="125">
        <v>0</v>
      </c>
      <c r="HSA38" s="125">
        <v>40</v>
      </c>
      <c r="HSB38" s="127">
        <f>SUM(HSA38)</f>
        <v>40</v>
      </c>
      <c r="HSC38" s="129" t="s">
        <v>46</v>
      </c>
      <c r="HSD38" s="131" t="s">
        <v>44</v>
      </c>
      <c r="HSE38" s="133" t="s">
        <v>45</v>
      </c>
      <c r="HSF38" s="134"/>
      <c r="HSG38" s="135"/>
      <c r="HSH38" s="125">
        <v>0</v>
      </c>
      <c r="HSI38" s="125">
        <v>40</v>
      </c>
      <c r="HSJ38" s="127">
        <f>SUM(HSI38)</f>
        <v>40</v>
      </c>
      <c r="HSK38" s="129" t="s">
        <v>46</v>
      </c>
      <c r="HSL38" s="131" t="s">
        <v>44</v>
      </c>
      <c r="HSM38" s="133" t="s">
        <v>45</v>
      </c>
      <c r="HSN38" s="134"/>
      <c r="HSO38" s="135"/>
      <c r="HSP38" s="125">
        <v>0</v>
      </c>
      <c r="HSQ38" s="125">
        <v>40</v>
      </c>
      <c r="HSR38" s="127">
        <f>SUM(HSQ38)</f>
        <v>40</v>
      </c>
      <c r="HSS38" s="129" t="s">
        <v>46</v>
      </c>
      <c r="HST38" s="131" t="s">
        <v>44</v>
      </c>
      <c r="HSU38" s="133" t="s">
        <v>45</v>
      </c>
      <c r="HSV38" s="134"/>
      <c r="HSW38" s="135"/>
      <c r="HSX38" s="125">
        <v>0</v>
      </c>
      <c r="HSY38" s="125">
        <v>40</v>
      </c>
      <c r="HSZ38" s="127">
        <f>SUM(HSY38)</f>
        <v>40</v>
      </c>
      <c r="HTA38" s="129" t="s">
        <v>46</v>
      </c>
      <c r="HTB38" s="131" t="s">
        <v>44</v>
      </c>
      <c r="HTC38" s="133" t="s">
        <v>45</v>
      </c>
      <c r="HTD38" s="134"/>
      <c r="HTE38" s="135"/>
      <c r="HTF38" s="125">
        <v>0</v>
      </c>
      <c r="HTG38" s="125">
        <v>40</v>
      </c>
      <c r="HTH38" s="127">
        <f>SUM(HTG38)</f>
        <v>40</v>
      </c>
      <c r="HTI38" s="129" t="s">
        <v>46</v>
      </c>
      <c r="HTJ38" s="131" t="s">
        <v>44</v>
      </c>
      <c r="HTK38" s="133" t="s">
        <v>45</v>
      </c>
      <c r="HTL38" s="134"/>
      <c r="HTM38" s="135"/>
      <c r="HTN38" s="125">
        <v>0</v>
      </c>
      <c r="HTO38" s="125">
        <v>40</v>
      </c>
      <c r="HTP38" s="127">
        <f>SUM(HTO38)</f>
        <v>40</v>
      </c>
      <c r="HTQ38" s="129" t="s">
        <v>46</v>
      </c>
      <c r="HTR38" s="131" t="s">
        <v>44</v>
      </c>
      <c r="HTS38" s="133" t="s">
        <v>45</v>
      </c>
      <c r="HTT38" s="134"/>
      <c r="HTU38" s="135"/>
      <c r="HTV38" s="125">
        <v>0</v>
      </c>
      <c r="HTW38" s="125">
        <v>40</v>
      </c>
      <c r="HTX38" s="127">
        <f>SUM(HTW38)</f>
        <v>40</v>
      </c>
      <c r="HTY38" s="129" t="s">
        <v>46</v>
      </c>
      <c r="HTZ38" s="131" t="s">
        <v>44</v>
      </c>
      <c r="HUA38" s="133" t="s">
        <v>45</v>
      </c>
      <c r="HUB38" s="134"/>
      <c r="HUC38" s="135"/>
      <c r="HUD38" s="125">
        <v>0</v>
      </c>
      <c r="HUE38" s="125">
        <v>40</v>
      </c>
      <c r="HUF38" s="127">
        <f>SUM(HUE38)</f>
        <v>40</v>
      </c>
      <c r="HUG38" s="129" t="s">
        <v>46</v>
      </c>
      <c r="HUH38" s="131" t="s">
        <v>44</v>
      </c>
      <c r="HUI38" s="133" t="s">
        <v>45</v>
      </c>
      <c r="HUJ38" s="134"/>
      <c r="HUK38" s="135"/>
      <c r="HUL38" s="125">
        <v>0</v>
      </c>
      <c r="HUM38" s="125">
        <v>40</v>
      </c>
      <c r="HUN38" s="127">
        <f>SUM(HUM38)</f>
        <v>40</v>
      </c>
      <c r="HUO38" s="129" t="s">
        <v>46</v>
      </c>
      <c r="HUP38" s="131" t="s">
        <v>44</v>
      </c>
      <c r="HUQ38" s="133" t="s">
        <v>45</v>
      </c>
      <c r="HUR38" s="134"/>
      <c r="HUS38" s="135"/>
      <c r="HUT38" s="125">
        <v>0</v>
      </c>
      <c r="HUU38" s="125">
        <v>40</v>
      </c>
      <c r="HUV38" s="127">
        <f>SUM(HUU38)</f>
        <v>40</v>
      </c>
      <c r="HUW38" s="129" t="s">
        <v>46</v>
      </c>
      <c r="HUX38" s="131" t="s">
        <v>44</v>
      </c>
      <c r="HUY38" s="133" t="s">
        <v>45</v>
      </c>
      <c r="HUZ38" s="134"/>
      <c r="HVA38" s="135"/>
      <c r="HVB38" s="125">
        <v>0</v>
      </c>
      <c r="HVC38" s="125">
        <v>40</v>
      </c>
      <c r="HVD38" s="127">
        <f>SUM(HVC38)</f>
        <v>40</v>
      </c>
      <c r="HVE38" s="129" t="s">
        <v>46</v>
      </c>
      <c r="HVF38" s="131" t="s">
        <v>44</v>
      </c>
      <c r="HVG38" s="133" t="s">
        <v>45</v>
      </c>
      <c r="HVH38" s="134"/>
      <c r="HVI38" s="135"/>
      <c r="HVJ38" s="125">
        <v>0</v>
      </c>
      <c r="HVK38" s="125">
        <v>40</v>
      </c>
      <c r="HVL38" s="127">
        <f>SUM(HVK38)</f>
        <v>40</v>
      </c>
      <c r="HVM38" s="129" t="s">
        <v>46</v>
      </c>
      <c r="HVN38" s="131" t="s">
        <v>44</v>
      </c>
      <c r="HVO38" s="133" t="s">
        <v>45</v>
      </c>
      <c r="HVP38" s="134"/>
      <c r="HVQ38" s="135"/>
      <c r="HVR38" s="125">
        <v>0</v>
      </c>
      <c r="HVS38" s="125">
        <v>40</v>
      </c>
      <c r="HVT38" s="127">
        <f>SUM(HVS38)</f>
        <v>40</v>
      </c>
      <c r="HVU38" s="129" t="s">
        <v>46</v>
      </c>
      <c r="HVV38" s="131" t="s">
        <v>44</v>
      </c>
      <c r="HVW38" s="133" t="s">
        <v>45</v>
      </c>
      <c r="HVX38" s="134"/>
      <c r="HVY38" s="135"/>
      <c r="HVZ38" s="125">
        <v>0</v>
      </c>
      <c r="HWA38" s="125">
        <v>40</v>
      </c>
      <c r="HWB38" s="127">
        <f>SUM(HWA38)</f>
        <v>40</v>
      </c>
      <c r="HWC38" s="129" t="s">
        <v>46</v>
      </c>
      <c r="HWD38" s="131" t="s">
        <v>44</v>
      </c>
      <c r="HWE38" s="133" t="s">
        <v>45</v>
      </c>
      <c r="HWF38" s="134"/>
      <c r="HWG38" s="135"/>
      <c r="HWH38" s="125">
        <v>0</v>
      </c>
      <c r="HWI38" s="125">
        <v>40</v>
      </c>
      <c r="HWJ38" s="127">
        <f>SUM(HWI38)</f>
        <v>40</v>
      </c>
      <c r="HWK38" s="129" t="s">
        <v>46</v>
      </c>
      <c r="HWL38" s="131" t="s">
        <v>44</v>
      </c>
      <c r="HWM38" s="133" t="s">
        <v>45</v>
      </c>
      <c r="HWN38" s="134"/>
      <c r="HWO38" s="135"/>
      <c r="HWP38" s="125">
        <v>0</v>
      </c>
      <c r="HWQ38" s="125">
        <v>40</v>
      </c>
      <c r="HWR38" s="127">
        <f>SUM(HWQ38)</f>
        <v>40</v>
      </c>
      <c r="HWS38" s="129" t="s">
        <v>46</v>
      </c>
      <c r="HWT38" s="131" t="s">
        <v>44</v>
      </c>
      <c r="HWU38" s="133" t="s">
        <v>45</v>
      </c>
      <c r="HWV38" s="134"/>
      <c r="HWW38" s="135"/>
      <c r="HWX38" s="125">
        <v>0</v>
      </c>
      <c r="HWY38" s="125">
        <v>40</v>
      </c>
      <c r="HWZ38" s="127">
        <f>SUM(HWY38)</f>
        <v>40</v>
      </c>
      <c r="HXA38" s="129" t="s">
        <v>46</v>
      </c>
      <c r="HXB38" s="131" t="s">
        <v>44</v>
      </c>
      <c r="HXC38" s="133" t="s">
        <v>45</v>
      </c>
      <c r="HXD38" s="134"/>
      <c r="HXE38" s="135"/>
      <c r="HXF38" s="125">
        <v>0</v>
      </c>
      <c r="HXG38" s="125">
        <v>40</v>
      </c>
      <c r="HXH38" s="127">
        <f>SUM(HXG38)</f>
        <v>40</v>
      </c>
      <c r="HXI38" s="129" t="s">
        <v>46</v>
      </c>
      <c r="HXJ38" s="131" t="s">
        <v>44</v>
      </c>
      <c r="HXK38" s="133" t="s">
        <v>45</v>
      </c>
      <c r="HXL38" s="134"/>
      <c r="HXM38" s="135"/>
      <c r="HXN38" s="125">
        <v>0</v>
      </c>
      <c r="HXO38" s="125">
        <v>40</v>
      </c>
      <c r="HXP38" s="127">
        <f>SUM(HXO38)</f>
        <v>40</v>
      </c>
      <c r="HXQ38" s="129" t="s">
        <v>46</v>
      </c>
      <c r="HXR38" s="131" t="s">
        <v>44</v>
      </c>
      <c r="HXS38" s="133" t="s">
        <v>45</v>
      </c>
      <c r="HXT38" s="134"/>
      <c r="HXU38" s="135"/>
      <c r="HXV38" s="125">
        <v>0</v>
      </c>
      <c r="HXW38" s="125">
        <v>40</v>
      </c>
      <c r="HXX38" s="127">
        <f>SUM(HXW38)</f>
        <v>40</v>
      </c>
      <c r="HXY38" s="129" t="s">
        <v>46</v>
      </c>
      <c r="HXZ38" s="131" t="s">
        <v>44</v>
      </c>
      <c r="HYA38" s="133" t="s">
        <v>45</v>
      </c>
      <c r="HYB38" s="134"/>
      <c r="HYC38" s="135"/>
      <c r="HYD38" s="125">
        <v>0</v>
      </c>
      <c r="HYE38" s="125">
        <v>40</v>
      </c>
      <c r="HYF38" s="127">
        <f>SUM(HYE38)</f>
        <v>40</v>
      </c>
      <c r="HYG38" s="129" t="s">
        <v>46</v>
      </c>
      <c r="HYH38" s="131" t="s">
        <v>44</v>
      </c>
      <c r="HYI38" s="133" t="s">
        <v>45</v>
      </c>
      <c r="HYJ38" s="134"/>
      <c r="HYK38" s="135"/>
      <c r="HYL38" s="125">
        <v>0</v>
      </c>
      <c r="HYM38" s="125">
        <v>40</v>
      </c>
      <c r="HYN38" s="127">
        <f>SUM(HYM38)</f>
        <v>40</v>
      </c>
      <c r="HYO38" s="129" t="s">
        <v>46</v>
      </c>
      <c r="HYP38" s="131" t="s">
        <v>44</v>
      </c>
      <c r="HYQ38" s="133" t="s">
        <v>45</v>
      </c>
      <c r="HYR38" s="134"/>
      <c r="HYS38" s="135"/>
      <c r="HYT38" s="125">
        <v>0</v>
      </c>
      <c r="HYU38" s="125">
        <v>40</v>
      </c>
      <c r="HYV38" s="127">
        <f>SUM(HYU38)</f>
        <v>40</v>
      </c>
      <c r="HYW38" s="129" t="s">
        <v>46</v>
      </c>
      <c r="HYX38" s="131" t="s">
        <v>44</v>
      </c>
      <c r="HYY38" s="133" t="s">
        <v>45</v>
      </c>
      <c r="HYZ38" s="134"/>
      <c r="HZA38" s="135"/>
      <c r="HZB38" s="125">
        <v>0</v>
      </c>
      <c r="HZC38" s="125">
        <v>40</v>
      </c>
      <c r="HZD38" s="127">
        <f>SUM(HZC38)</f>
        <v>40</v>
      </c>
      <c r="HZE38" s="129" t="s">
        <v>46</v>
      </c>
      <c r="HZF38" s="131" t="s">
        <v>44</v>
      </c>
      <c r="HZG38" s="133" t="s">
        <v>45</v>
      </c>
      <c r="HZH38" s="134"/>
      <c r="HZI38" s="135"/>
      <c r="HZJ38" s="125">
        <v>0</v>
      </c>
      <c r="HZK38" s="125">
        <v>40</v>
      </c>
      <c r="HZL38" s="127">
        <f>SUM(HZK38)</f>
        <v>40</v>
      </c>
      <c r="HZM38" s="129" t="s">
        <v>46</v>
      </c>
      <c r="HZN38" s="131" t="s">
        <v>44</v>
      </c>
      <c r="HZO38" s="133" t="s">
        <v>45</v>
      </c>
      <c r="HZP38" s="134"/>
      <c r="HZQ38" s="135"/>
      <c r="HZR38" s="125">
        <v>0</v>
      </c>
      <c r="HZS38" s="125">
        <v>40</v>
      </c>
      <c r="HZT38" s="127">
        <f>SUM(HZS38)</f>
        <v>40</v>
      </c>
      <c r="HZU38" s="129" t="s">
        <v>46</v>
      </c>
      <c r="HZV38" s="131" t="s">
        <v>44</v>
      </c>
      <c r="HZW38" s="133" t="s">
        <v>45</v>
      </c>
      <c r="HZX38" s="134"/>
      <c r="HZY38" s="135"/>
      <c r="HZZ38" s="125">
        <v>0</v>
      </c>
      <c r="IAA38" s="125">
        <v>40</v>
      </c>
      <c r="IAB38" s="127">
        <f>SUM(IAA38)</f>
        <v>40</v>
      </c>
      <c r="IAC38" s="129" t="s">
        <v>46</v>
      </c>
      <c r="IAD38" s="131" t="s">
        <v>44</v>
      </c>
      <c r="IAE38" s="133" t="s">
        <v>45</v>
      </c>
      <c r="IAF38" s="134"/>
      <c r="IAG38" s="135"/>
      <c r="IAH38" s="125">
        <v>0</v>
      </c>
      <c r="IAI38" s="125">
        <v>40</v>
      </c>
      <c r="IAJ38" s="127">
        <f>SUM(IAI38)</f>
        <v>40</v>
      </c>
      <c r="IAK38" s="129" t="s">
        <v>46</v>
      </c>
      <c r="IAL38" s="131" t="s">
        <v>44</v>
      </c>
      <c r="IAM38" s="133" t="s">
        <v>45</v>
      </c>
      <c r="IAN38" s="134"/>
      <c r="IAO38" s="135"/>
      <c r="IAP38" s="125">
        <v>0</v>
      </c>
      <c r="IAQ38" s="125">
        <v>40</v>
      </c>
      <c r="IAR38" s="127">
        <f>SUM(IAQ38)</f>
        <v>40</v>
      </c>
      <c r="IAS38" s="129" t="s">
        <v>46</v>
      </c>
      <c r="IAT38" s="131" t="s">
        <v>44</v>
      </c>
      <c r="IAU38" s="133" t="s">
        <v>45</v>
      </c>
      <c r="IAV38" s="134"/>
      <c r="IAW38" s="135"/>
      <c r="IAX38" s="125">
        <v>0</v>
      </c>
      <c r="IAY38" s="125">
        <v>40</v>
      </c>
      <c r="IAZ38" s="127">
        <f>SUM(IAY38)</f>
        <v>40</v>
      </c>
      <c r="IBA38" s="129" t="s">
        <v>46</v>
      </c>
      <c r="IBB38" s="131" t="s">
        <v>44</v>
      </c>
      <c r="IBC38" s="133" t="s">
        <v>45</v>
      </c>
      <c r="IBD38" s="134"/>
      <c r="IBE38" s="135"/>
      <c r="IBF38" s="125">
        <v>0</v>
      </c>
      <c r="IBG38" s="125">
        <v>40</v>
      </c>
      <c r="IBH38" s="127">
        <f>SUM(IBG38)</f>
        <v>40</v>
      </c>
      <c r="IBI38" s="129" t="s">
        <v>46</v>
      </c>
      <c r="IBJ38" s="131" t="s">
        <v>44</v>
      </c>
      <c r="IBK38" s="133" t="s">
        <v>45</v>
      </c>
      <c r="IBL38" s="134"/>
      <c r="IBM38" s="135"/>
      <c r="IBN38" s="125">
        <v>0</v>
      </c>
      <c r="IBO38" s="125">
        <v>40</v>
      </c>
      <c r="IBP38" s="127">
        <f>SUM(IBO38)</f>
        <v>40</v>
      </c>
      <c r="IBQ38" s="129" t="s">
        <v>46</v>
      </c>
      <c r="IBR38" s="131" t="s">
        <v>44</v>
      </c>
      <c r="IBS38" s="133" t="s">
        <v>45</v>
      </c>
      <c r="IBT38" s="134"/>
      <c r="IBU38" s="135"/>
      <c r="IBV38" s="125">
        <v>0</v>
      </c>
      <c r="IBW38" s="125">
        <v>40</v>
      </c>
      <c r="IBX38" s="127">
        <f>SUM(IBW38)</f>
        <v>40</v>
      </c>
      <c r="IBY38" s="129" t="s">
        <v>46</v>
      </c>
      <c r="IBZ38" s="131" t="s">
        <v>44</v>
      </c>
      <c r="ICA38" s="133" t="s">
        <v>45</v>
      </c>
      <c r="ICB38" s="134"/>
      <c r="ICC38" s="135"/>
      <c r="ICD38" s="125">
        <v>0</v>
      </c>
      <c r="ICE38" s="125">
        <v>40</v>
      </c>
      <c r="ICF38" s="127">
        <f>SUM(ICE38)</f>
        <v>40</v>
      </c>
      <c r="ICG38" s="129" t="s">
        <v>46</v>
      </c>
      <c r="ICH38" s="131" t="s">
        <v>44</v>
      </c>
      <c r="ICI38" s="133" t="s">
        <v>45</v>
      </c>
      <c r="ICJ38" s="134"/>
      <c r="ICK38" s="135"/>
      <c r="ICL38" s="125">
        <v>0</v>
      </c>
      <c r="ICM38" s="125">
        <v>40</v>
      </c>
      <c r="ICN38" s="127">
        <f>SUM(ICM38)</f>
        <v>40</v>
      </c>
      <c r="ICO38" s="129" t="s">
        <v>46</v>
      </c>
      <c r="ICP38" s="131" t="s">
        <v>44</v>
      </c>
      <c r="ICQ38" s="133" t="s">
        <v>45</v>
      </c>
      <c r="ICR38" s="134"/>
      <c r="ICS38" s="135"/>
      <c r="ICT38" s="125">
        <v>0</v>
      </c>
      <c r="ICU38" s="125">
        <v>40</v>
      </c>
      <c r="ICV38" s="127">
        <f>SUM(ICU38)</f>
        <v>40</v>
      </c>
      <c r="ICW38" s="129" t="s">
        <v>46</v>
      </c>
      <c r="ICX38" s="131" t="s">
        <v>44</v>
      </c>
      <c r="ICY38" s="133" t="s">
        <v>45</v>
      </c>
      <c r="ICZ38" s="134"/>
      <c r="IDA38" s="135"/>
      <c r="IDB38" s="125">
        <v>0</v>
      </c>
      <c r="IDC38" s="125">
        <v>40</v>
      </c>
      <c r="IDD38" s="127">
        <f>SUM(IDC38)</f>
        <v>40</v>
      </c>
      <c r="IDE38" s="129" t="s">
        <v>46</v>
      </c>
      <c r="IDF38" s="131" t="s">
        <v>44</v>
      </c>
      <c r="IDG38" s="133" t="s">
        <v>45</v>
      </c>
      <c r="IDH38" s="134"/>
      <c r="IDI38" s="135"/>
      <c r="IDJ38" s="125">
        <v>0</v>
      </c>
      <c r="IDK38" s="125">
        <v>40</v>
      </c>
      <c r="IDL38" s="127">
        <f>SUM(IDK38)</f>
        <v>40</v>
      </c>
      <c r="IDM38" s="129" t="s">
        <v>46</v>
      </c>
      <c r="IDN38" s="131" t="s">
        <v>44</v>
      </c>
      <c r="IDO38" s="133" t="s">
        <v>45</v>
      </c>
      <c r="IDP38" s="134"/>
      <c r="IDQ38" s="135"/>
      <c r="IDR38" s="125">
        <v>0</v>
      </c>
      <c r="IDS38" s="125">
        <v>40</v>
      </c>
      <c r="IDT38" s="127">
        <f>SUM(IDS38)</f>
        <v>40</v>
      </c>
      <c r="IDU38" s="129" t="s">
        <v>46</v>
      </c>
      <c r="IDV38" s="131" t="s">
        <v>44</v>
      </c>
      <c r="IDW38" s="133" t="s">
        <v>45</v>
      </c>
      <c r="IDX38" s="134"/>
      <c r="IDY38" s="135"/>
      <c r="IDZ38" s="125">
        <v>0</v>
      </c>
      <c r="IEA38" s="125">
        <v>40</v>
      </c>
      <c r="IEB38" s="127">
        <f>SUM(IEA38)</f>
        <v>40</v>
      </c>
      <c r="IEC38" s="129" t="s">
        <v>46</v>
      </c>
      <c r="IED38" s="131" t="s">
        <v>44</v>
      </c>
      <c r="IEE38" s="133" t="s">
        <v>45</v>
      </c>
      <c r="IEF38" s="134"/>
      <c r="IEG38" s="135"/>
      <c r="IEH38" s="125">
        <v>0</v>
      </c>
      <c r="IEI38" s="125">
        <v>40</v>
      </c>
      <c r="IEJ38" s="127">
        <f>SUM(IEI38)</f>
        <v>40</v>
      </c>
      <c r="IEK38" s="129" t="s">
        <v>46</v>
      </c>
      <c r="IEL38" s="131" t="s">
        <v>44</v>
      </c>
      <c r="IEM38" s="133" t="s">
        <v>45</v>
      </c>
      <c r="IEN38" s="134"/>
      <c r="IEO38" s="135"/>
      <c r="IEP38" s="125">
        <v>0</v>
      </c>
      <c r="IEQ38" s="125">
        <v>40</v>
      </c>
      <c r="IER38" s="127">
        <f>SUM(IEQ38)</f>
        <v>40</v>
      </c>
      <c r="IES38" s="129" t="s">
        <v>46</v>
      </c>
      <c r="IET38" s="131" t="s">
        <v>44</v>
      </c>
      <c r="IEU38" s="133" t="s">
        <v>45</v>
      </c>
      <c r="IEV38" s="134"/>
      <c r="IEW38" s="135"/>
      <c r="IEX38" s="125">
        <v>0</v>
      </c>
      <c r="IEY38" s="125">
        <v>40</v>
      </c>
      <c r="IEZ38" s="127">
        <f>SUM(IEY38)</f>
        <v>40</v>
      </c>
      <c r="IFA38" s="129" t="s">
        <v>46</v>
      </c>
      <c r="IFB38" s="131" t="s">
        <v>44</v>
      </c>
      <c r="IFC38" s="133" t="s">
        <v>45</v>
      </c>
      <c r="IFD38" s="134"/>
      <c r="IFE38" s="135"/>
      <c r="IFF38" s="125">
        <v>0</v>
      </c>
      <c r="IFG38" s="125">
        <v>40</v>
      </c>
      <c r="IFH38" s="127">
        <f>SUM(IFG38)</f>
        <v>40</v>
      </c>
      <c r="IFI38" s="129" t="s">
        <v>46</v>
      </c>
      <c r="IFJ38" s="131" t="s">
        <v>44</v>
      </c>
      <c r="IFK38" s="133" t="s">
        <v>45</v>
      </c>
      <c r="IFL38" s="134"/>
      <c r="IFM38" s="135"/>
      <c r="IFN38" s="125">
        <v>0</v>
      </c>
      <c r="IFO38" s="125">
        <v>40</v>
      </c>
      <c r="IFP38" s="127">
        <f>SUM(IFO38)</f>
        <v>40</v>
      </c>
      <c r="IFQ38" s="129" t="s">
        <v>46</v>
      </c>
      <c r="IFR38" s="131" t="s">
        <v>44</v>
      </c>
      <c r="IFS38" s="133" t="s">
        <v>45</v>
      </c>
      <c r="IFT38" s="134"/>
      <c r="IFU38" s="135"/>
      <c r="IFV38" s="125">
        <v>0</v>
      </c>
      <c r="IFW38" s="125">
        <v>40</v>
      </c>
      <c r="IFX38" s="127">
        <f>SUM(IFW38)</f>
        <v>40</v>
      </c>
      <c r="IFY38" s="129" t="s">
        <v>46</v>
      </c>
      <c r="IFZ38" s="131" t="s">
        <v>44</v>
      </c>
      <c r="IGA38" s="133" t="s">
        <v>45</v>
      </c>
      <c r="IGB38" s="134"/>
      <c r="IGC38" s="135"/>
      <c r="IGD38" s="125">
        <v>0</v>
      </c>
      <c r="IGE38" s="125">
        <v>40</v>
      </c>
      <c r="IGF38" s="127">
        <f>SUM(IGE38)</f>
        <v>40</v>
      </c>
      <c r="IGG38" s="129" t="s">
        <v>46</v>
      </c>
      <c r="IGH38" s="131" t="s">
        <v>44</v>
      </c>
      <c r="IGI38" s="133" t="s">
        <v>45</v>
      </c>
      <c r="IGJ38" s="134"/>
      <c r="IGK38" s="135"/>
      <c r="IGL38" s="125">
        <v>0</v>
      </c>
      <c r="IGM38" s="125">
        <v>40</v>
      </c>
      <c r="IGN38" s="127">
        <f>SUM(IGM38)</f>
        <v>40</v>
      </c>
      <c r="IGO38" s="129" t="s">
        <v>46</v>
      </c>
      <c r="IGP38" s="131" t="s">
        <v>44</v>
      </c>
      <c r="IGQ38" s="133" t="s">
        <v>45</v>
      </c>
      <c r="IGR38" s="134"/>
      <c r="IGS38" s="135"/>
      <c r="IGT38" s="125">
        <v>0</v>
      </c>
      <c r="IGU38" s="125">
        <v>40</v>
      </c>
      <c r="IGV38" s="127">
        <f>SUM(IGU38)</f>
        <v>40</v>
      </c>
      <c r="IGW38" s="129" t="s">
        <v>46</v>
      </c>
      <c r="IGX38" s="131" t="s">
        <v>44</v>
      </c>
      <c r="IGY38" s="133" t="s">
        <v>45</v>
      </c>
      <c r="IGZ38" s="134"/>
      <c r="IHA38" s="135"/>
      <c r="IHB38" s="125">
        <v>0</v>
      </c>
      <c r="IHC38" s="125">
        <v>40</v>
      </c>
      <c r="IHD38" s="127">
        <f>SUM(IHC38)</f>
        <v>40</v>
      </c>
      <c r="IHE38" s="129" t="s">
        <v>46</v>
      </c>
      <c r="IHF38" s="131" t="s">
        <v>44</v>
      </c>
      <c r="IHG38" s="133" t="s">
        <v>45</v>
      </c>
      <c r="IHH38" s="134"/>
      <c r="IHI38" s="135"/>
      <c r="IHJ38" s="125">
        <v>0</v>
      </c>
      <c r="IHK38" s="125">
        <v>40</v>
      </c>
      <c r="IHL38" s="127">
        <f>SUM(IHK38)</f>
        <v>40</v>
      </c>
      <c r="IHM38" s="129" t="s">
        <v>46</v>
      </c>
      <c r="IHN38" s="131" t="s">
        <v>44</v>
      </c>
      <c r="IHO38" s="133" t="s">
        <v>45</v>
      </c>
      <c r="IHP38" s="134"/>
      <c r="IHQ38" s="135"/>
      <c r="IHR38" s="125">
        <v>0</v>
      </c>
      <c r="IHS38" s="125">
        <v>40</v>
      </c>
      <c r="IHT38" s="127">
        <f>SUM(IHS38)</f>
        <v>40</v>
      </c>
      <c r="IHU38" s="129" t="s">
        <v>46</v>
      </c>
      <c r="IHV38" s="131" t="s">
        <v>44</v>
      </c>
      <c r="IHW38" s="133" t="s">
        <v>45</v>
      </c>
      <c r="IHX38" s="134"/>
      <c r="IHY38" s="135"/>
      <c r="IHZ38" s="125">
        <v>0</v>
      </c>
      <c r="IIA38" s="125">
        <v>40</v>
      </c>
      <c r="IIB38" s="127">
        <f>SUM(IIA38)</f>
        <v>40</v>
      </c>
      <c r="IIC38" s="129" t="s">
        <v>46</v>
      </c>
      <c r="IID38" s="131" t="s">
        <v>44</v>
      </c>
      <c r="IIE38" s="133" t="s">
        <v>45</v>
      </c>
      <c r="IIF38" s="134"/>
      <c r="IIG38" s="135"/>
      <c r="IIH38" s="125">
        <v>0</v>
      </c>
      <c r="III38" s="125">
        <v>40</v>
      </c>
      <c r="IIJ38" s="127">
        <f>SUM(III38)</f>
        <v>40</v>
      </c>
      <c r="IIK38" s="129" t="s">
        <v>46</v>
      </c>
      <c r="IIL38" s="131" t="s">
        <v>44</v>
      </c>
      <c r="IIM38" s="133" t="s">
        <v>45</v>
      </c>
      <c r="IIN38" s="134"/>
      <c r="IIO38" s="135"/>
      <c r="IIP38" s="125">
        <v>0</v>
      </c>
      <c r="IIQ38" s="125">
        <v>40</v>
      </c>
      <c r="IIR38" s="127">
        <f>SUM(IIQ38)</f>
        <v>40</v>
      </c>
      <c r="IIS38" s="129" t="s">
        <v>46</v>
      </c>
      <c r="IIT38" s="131" t="s">
        <v>44</v>
      </c>
      <c r="IIU38" s="133" t="s">
        <v>45</v>
      </c>
      <c r="IIV38" s="134"/>
      <c r="IIW38" s="135"/>
      <c r="IIX38" s="125">
        <v>0</v>
      </c>
      <c r="IIY38" s="125">
        <v>40</v>
      </c>
      <c r="IIZ38" s="127">
        <f>SUM(IIY38)</f>
        <v>40</v>
      </c>
      <c r="IJA38" s="129" t="s">
        <v>46</v>
      </c>
      <c r="IJB38" s="131" t="s">
        <v>44</v>
      </c>
      <c r="IJC38" s="133" t="s">
        <v>45</v>
      </c>
      <c r="IJD38" s="134"/>
      <c r="IJE38" s="135"/>
      <c r="IJF38" s="125">
        <v>0</v>
      </c>
      <c r="IJG38" s="125">
        <v>40</v>
      </c>
      <c r="IJH38" s="127">
        <f>SUM(IJG38)</f>
        <v>40</v>
      </c>
      <c r="IJI38" s="129" t="s">
        <v>46</v>
      </c>
      <c r="IJJ38" s="131" t="s">
        <v>44</v>
      </c>
      <c r="IJK38" s="133" t="s">
        <v>45</v>
      </c>
      <c r="IJL38" s="134"/>
      <c r="IJM38" s="135"/>
      <c r="IJN38" s="125">
        <v>0</v>
      </c>
      <c r="IJO38" s="125">
        <v>40</v>
      </c>
      <c r="IJP38" s="127">
        <f>SUM(IJO38)</f>
        <v>40</v>
      </c>
      <c r="IJQ38" s="129" t="s">
        <v>46</v>
      </c>
      <c r="IJR38" s="131" t="s">
        <v>44</v>
      </c>
      <c r="IJS38" s="133" t="s">
        <v>45</v>
      </c>
      <c r="IJT38" s="134"/>
      <c r="IJU38" s="135"/>
      <c r="IJV38" s="125">
        <v>0</v>
      </c>
      <c r="IJW38" s="125">
        <v>40</v>
      </c>
      <c r="IJX38" s="127">
        <f>SUM(IJW38)</f>
        <v>40</v>
      </c>
      <c r="IJY38" s="129" t="s">
        <v>46</v>
      </c>
      <c r="IJZ38" s="131" t="s">
        <v>44</v>
      </c>
      <c r="IKA38" s="133" t="s">
        <v>45</v>
      </c>
      <c r="IKB38" s="134"/>
      <c r="IKC38" s="135"/>
      <c r="IKD38" s="125">
        <v>0</v>
      </c>
      <c r="IKE38" s="125">
        <v>40</v>
      </c>
      <c r="IKF38" s="127">
        <f>SUM(IKE38)</f>
        <v>40</v>
      </c>
      <c r="IKG38" s="129" t="s">
        <v>46</v>
      </c>
      <c r="IKH38" s="131" t="s">
        <v>44</v>
      </c>
      <c r="IKI38" s="133" t="s">
        <v>45</v>
      </c>
      <c r="IKJ38" s="134"/>
      <c r="IKK38" s="135"/>
      <c r="IKL38" s="125">
        <v>0</v>
      </c>
      <c r="IKM38" s="125">
        <v>40</v>
      </c>
      <c r="IKN38" s="127">
        <f>SUM(IKM38)</f>
        <v>40</v>
      </c>
      <c r="IKO38" s="129" t="s">
        <v>46</v>
      </c>
      <c r="IKP38" s="131" t="s">
        <v>44</v>
      </c>
      <c r="IKQ38" s="133" t="s">
        <v>45</v>
      </c>
      <c r="IKR38" s="134"/>
      <c r="IKS38" s="135"/>
      <c r="IKT38" s="125">
        <v>0</v>
      </c>
      <c r="IKU38" s="125">
        <v>40</v>
      </c>
      <c r="IKV38" s="127">
        <f>SUM(IKU38)</f>
        <v>40</v>
      </c>
      <c r="IKW38" s="129" t="s">
        <v>46</v>
      </c>
      <c r="IKX38" s="131" t="s">
        <v>44</v>
      </c>
      <c r="IKY38" s="133" t="s">
        <v>45</v>
      </c>
      <c r="IKZ38" s="134"/>
      <c r="ILA38" s="135"/>
      <c r="ILB38" s="125">
        <v>0</v>
      </c>
      <c r="ILC38" s="125">
        <v>40</v>
      </c>
      <c r="ILD38" s="127">
        <f>SUM(ILC38)</f>
        <v>40</v>
      </c>
      <c r="ILE38" s="129" t="s">
        <v>46</v>
      </c>
      <c r="ILF38" s="131" t="s">
        <v>44</v>
      </c>
      <c r="ILG38" s="133" t="s">
        <v>45</v>
      </c>
      <c r="ILH38" s="134"/>
      <c r="ILI38" s="135"/>
      <c r="ILJ38" s="125">
        <v>0</v>
      </c>
      <c r="ILK38" s="125">
        <v>40</v>
      </c>
      <c r="ILL38" s="127">
        <f>SUM(ILK38)</f>
        <v>40</v>
      </c>
      <c r="ILM38" s="129" t="s">
        <v>46</v>
      </c>
      <c r="ILN38" s="131" t="s">
        <v>44</v>
      </c>
      <c r="ILO38" s="133" t="s">
        <v>45</v>
      </c>
      <c r="ILP38" s="134"/>
      <c r="ILQ38" s="135"/>
      <c r="ILR38" s="125">
        <v>0</v>
      </c>
      <c r="ILS38" s="125">
        <v>40</v>
      </c>
      <c r="ILT38" s="127">
        <f>SUM(ILS38)</f>
        <v>40</v>
      </c>
      <c r="ILU38" s="129" t="s">
        <v>46</v>
      </c>
      <c r="ILV38" s="131" t="s">
        <v>44</v>
      </c>
      <c r="ILW38" s="133" t="s">
        <v>45</v>
      </c>
      <c r="ILX38" s="134"/>
      <c r="ILY38" s="135"/>
      <c r="ILZ38" s="125">
        <v>0</v>
      </c>
      <c r="IMA38" s="125">
        <v>40</v>
      </c>
      <c r="IMB38" s="127">
        <f>SUM(IMA38)</f>
        <v>40</v>
      </c>
      <c r="IMC38" s="129" t="s">
        <v>46</v>
      </c>
      <c r="IMD38" s="131" t="s">
        <v>44</v>
      </c>
      <c r="IME38" s="133" t="s">
        <v>45</v>
      </c>
      <c r="IMF38" s="134"/>
      <c r="IMG38" s="135"/>
      <c r="IMH38" s="125">
        <v>0</v>
      </c>
      <c r="IMI38" s="125">
        <v>40</v>
      </c>
      <c r="IMJ38" s="127">
        <f>SUM(IMI38)</f>
        <v>40</v>
      </c>
      <c r="IMK38" s="129" t="s">
        <v>46</v>
      </c>
      <c r="IML38" s="131" t="s">
        <v>44</v>
      </c>
      <c r="IMM38" s="133" t="s">
        <v>45</v>
      </c>
      <c r="IMN38" s="134"/>
      <c r="IMO38" s="135"/>
      <c r="IMP38" s="125">
        <v>0</v>
      </c>
      <c r="IMQ38" s="125">
        <v>40</v>
      </c>
      <c r="IMR38" s="127">
        <f>SUM(IMQ38)</f>
        <v>40</v>
      </c>
      <c r="IMS38" s="129" t="s">
        <v>46</v>
      </c>
      <c r="IMT38" s="131" t="s">
        <v>44</v>
      </c>
      <c r="IMU38" s="133" t="s">
        <v>45</v>
      </c>
      <c r="IMV38" s="134"/>
      <c r="IMW38" s="135"/>
      <c r="IMX38" s="125">
        <v>0</v>
      </c>
      <c r="IMY38" s="125">
        <v>40</v>
      </c>
      <c r="IMZ38" s="127">
        <f>SUM(IMY38)</f>
        <v>40</v>
      </c>
      <c r="INA38" s="129" t="s">
        <v>46</v>
      </c>
      <c r="INB38" s="131" t="s">
        <v>44</v>
      </c>
      <c r="INC38" s="133" t="s">
        <v>45</v>
      </c>
      <c r="IND38" s="134"/>
      <c r="INE38" s="135"/>
      <c r="INF38" s="125">
        <v>0</v>
      </c>
      <c r="ING38" s="125">
        <v>40</v>
      </c>
      <c r="INH38" s="127">
        <f>SUM(ING38)</f>
        <v>40</v>
      </c>
      <c r="INI38" s="129" t="s">
        <v>46</v>
      </c>
      <c r="INJ38" s="131" t="s">
        <v>44</v>
      </c>
      <c r="INK38" s="133" t="s">
        <v>45</v>
      </c>
      <c r="INL38" s="134"/>
      <c r="INM38" s="135"/>
      <c r="INN38" s="125">
        <v>0</v>
      </c>
      <c r="INO38" s="125">
        <v>40</v>
      </c>
      <c r="INP38" s="127">
        <f>SUM(INO38)</f>
        <v>40</v>
      </c>
      <c r="INQ38" s="129" t="s">
        <v>46</v>
      </c>
      <c r="INR38" s="131" t="s">
        <v>44</v>
      </c>
      <c r="INS38" s="133" t="s">
        <v>45</v>
      </c>
      <c r="INT38" s="134"/>
      <c r="INU38" s="135"/>
      <c r="INV38" s="125">
        <v>0</v>
      </c>
      <c r="INW38" s="125">
        <v>40</v>
      </c>
      <c r="INX38" s="127">
        <f>SUM(INW38)</f>
        <v>40</v>
      </c>
      <c r="INY38" s="129" t="s">
        <v>46</v>
      </c>
      <c r="INZ38" s="131" t="s">
        <v>44</v>
      </c>
      <c r="IOA38" s="133" t="s">
        <v>45</v>
      </c>
      <c r="IOB38" s="134"/>
      <c r="IOC38" s="135"/>
      <c r="IOD38" s="125">
        <v>0</v>
      </c>
      <c r="IOE38" s="125">
        <v>40</v>
      </c>
      <c r="IOF38" s="127">
        <f>SUM(IOE38)</f>
        <v>40</v>
      </c>
      <c r="IOG38" s="129" t="s">
        <v>46</v>
      </c>
      <c r="IOH38" s="131" t="s">
        <v>44</v>
      </c>
      <c r="IOI38" s="133" t="s">
        <v>45</v>
      </c>
      <c r="IOJ38" s="134"/>
      <c r="IOK38" s="135"/>
      <c r="IOL38" s="125">
        <v>0</v>
      </c>
      <c r="IOM38" s="125">
        <v>40</v>
      </c>
      <c r="ION38" s="127">
        <f>SUM(IOM38)</f>
        <v>40</v>
      </c>
      <c r="IOO38" s="129" t="s">
        <v>46</v>
      </c>
      <c r="IOP38" s="131" t="s">
        <v>44</v>
      </c>
      <c r="IOQ38" s="133" t="s">
        <v>45</v>
      </c>
      <c r="IOR38" s="134"/>
      <c r="IOS38" s="135"/>
      <c r="IOT38" s="125">
        <v>0</v>
      </c>
      <c r="IOU38" s="125">
        <v>40</v>
      </c>
      <c r="IOV38" s="127">
        <f>SUM(IOU38)</f>
        <v>40</v>
      </c>
      <c r="IOW38" s="129" t="s">
        <v>46</v>
      </c>
      <c r="IOX38" s="131" t="s">
        <v>44</v>
      </c>
      <c r="IOY38" s="133" t="s">
        <v>45</v>
      </c>
      <c r="IOZ38" s="134"/>
      <c r="IPA38" s="135"/>
      <c r="IPB38" s="125">
        <v>0</v>
      </c>
      <c r="IPC38" s="125">
        <v>40</v>
      </c>
      <c r="IPD38" s="127">
        <f>SUM(IPC38)</f>
        <v>40</v>
      </c>
      <c r="IPE38" s="129" t="s">
        <v>46</v>
      </c>
      <c r="IPF38" s="131" t="s">
        <v>44</v>
      </c>
      <c r="IPG38" s="133" t="s">
        <v>45</v>
      </c>
      <c r="IPH38" s="134"/>
      <c r="IPI38" s="135"/>
      <c r="IPJ38" s="125">
        <v>0</v>
      </c>
      <c r="IPK38" s="125">
        <v>40</v>
      </c>
      <c r="IPL38" s="127">
        <f>SUM(IPK38)</f>
        <v>40</v>
      </c>
      <c r="IPM38" s="129" t="s">
        <v>46</v>
      </c>
      <c r="IPN38" s="131" t="s">
        <v>44</v>
      </c>
      <c r="IPO38" s="133" t="s">
        <v>45</v>
      </c>
      <c r="IPP38" s="134"/>
      <c r="IPQ38" s="135"/>
      <c r="IPR38" s="125">
        <v>0</v>
      </c>
      <c r="IPS38" s="125">
        <v>40</v>
      </c>
      <c r="IPT38" s="127">
        <f>SUM(IPS38)</f>
        <v>40</v>
      </c>
      <c r="IPU38" s="129" t="s">
        <v>46</v>
      </c>
      <c r="IPV38" s="131" t="s">
        <v>44</v>
      </c>
      <c r="IPW38" s="133" t="s">
        <v>45</v>
      </c>
      <c r="IPX38" s="134"/>
      <c r="IPY38" s="135"/>
      <c r="IPZ38" s="125">
        <v>0</v>
      </c>
      <c r="IQA38" s="125">
        <v>40</v>
      </c>
      <c r="IQB38" s="127">
        <f>SUM(IQA38)</f>
        <v>40</v>
      </c>
      <c r="IQC38" s="129" t="s">
        <v>46</v>
      </c>
      <c r="IQD38" s="131" t="s">
        <v>44</v>
      </c>
      <c r="IQE38" s="133" t="s">
        <v>45</v>
      </c>
      <c r="IQF38" s="134"/>
      <c r="IQG38" s="135"/>
      <c r="IQH38" s="125">
        <v>0</v>
      </c>
      <c r="IQI38" s="125">
        <v>40</v>
      </c>
      <c r="IQJ38" s="127">
        <f>SUM(IQI38)</f>
        <v>40</v>
      </c>
      <c r="IQK38" s="129" t="s">
        <v>46</v>
      </c>
      <c r="IQL38" s="131" t="s">
        <v>44</v>
      </c>
      <c r="IQM38" s="133" t="s">
        <v>45</v>
      </c>
      <c r="IQN38" s="134"/>
      <c r="IQO38" s="135"/>
      <c r="IQP38" s="125">
        <v>0</v>
      </c>
      <c r="IQQ38" s="125">
        <v>40</v>
      </c>
      <c r="IQR38" s="127">
        <f>SUM(IQQ38)</f>
        <v>40</v>
      </c>
      <c r="IQS38" s="129" t="s">
        <v>46</v>
      </c>
      <c r="IQT38" s="131" t="s">
        <v>44</v>
      </c>
      <c r="IQU38" s="133" t="s">
        <v>45</v>
      </c>
      <c r="IQV38" s="134"/>
      <c r="IQW38" s="135"/>
      <c r="IQX38" s="125">
        <v>0</v>
      </c>
      <c r="IQY38" s="125">
        <v>40</v>
      </c>
      <c r="IQZ38" s="127">
        <f>SUM(IQY38)</f>
        <v>40</v>
      </c>
      <c r="IRA38" s="129" t="s">
        <v>46</v>
      </c>
      <c r="IRB38" s="131" t="s">
        <v>44</v>
      </c>
      <c r="IRC38" s="133" t="s">
        <v>45</v>
      </c>
      <c r="IRD38" s="134"/>
      <c r="IRE38" s="135"/>
      <c r="IRF38" s="125">
        <v>0</v>
      </c>
      <c r="IRG38" s="125">
        <v>40</v>
      </c>
      <c r="IRH38" s="127">
        <f>SUM(IRG38)</f>
        <v>40</v>
      </c>
      <c r="IRI38" s="129" t="s">
        <v>46</v>
      </c>
      <c r="IRJ38" s="131" t="s">
        <v>44</v>
      </c>
      <c r="IRK38" s="133" t="s">
        <v>45</v>
      </c>
      <c r="IRL38" s="134"/>
      <c r="IRM38" s="135"/>
      <c r="IRN38" s="125">
        <v>0</v>
      </c>
      <c r="IRO38" s="125">
        <v>40</v>
      </c>
      <c r="IRP38" s="127">
        <f>SUM(IRO38)</f>
        <v>40</v>
      </c>
      <c r="IRQ38" s="129" t="s">
        <v>46</v>
      </c>
      <c r="IRR38" s="131" t="s">
        <v>44</v>
      </c>
      <c r="IRS38" s="133" t="s">
        <v>45</v>
      </c>
      <c r="IRT38" s="134"/>
      <c r="IRU38" s="135"/>
      <c r="IRV38" s="125">
        <v>0</v>
      </c>
      <c r="IRW38" s="125">
        <v>40</v>
      </c>
      <c r="IRX38" s="127">
        <f>SUM(IRW38)</f>
        <v>40</v>
      </c>
      <c r="IRY38" s="129" t="s">
        <v>46</v>
      </c>
      <c r="IRZ38" s="131" t="s">
        <v>44</v>
      </c>
      <c r="ISA38" s="133" t="s">
        <v>45</v>
      </c>
      <c r="ISB38" s="134"/>
      <c r="ISC38" s="135"/>
      <c r="ISD38" s="125">
        <v>0</v>
      </c>
      <c r="ISE38" s="125">
        <v>40</v>
      </c>
      <c r="ISF38" s="127">
        <f>SUM(ISE38)</f>
        <v>40</v>
      </c>
      <c r="ISG38" s="129" t="s">
        <v>46</v>
      </c>
      <c r="ISH38" s="131" t="s">
        <v>44</v>
      </c>
      <c r="ISI38" s="133" t="s">
        <v>45</v>
      </c>
      <c r="ISJ38" s="134"/>
      <c r="ISK38" s="135"/>
      <c r="ISL38" s="125">
        <v>0</v>
      </c>
      <c r="ISM38" s="125">
        <v>40</v>
      </c>
      <c r="ISN38" s="127">
        <f>SUM(ISM38)</f>
        <v>40</v>
      </c>
      <c r="ISO38" s="129" t="s">
        <v>46</v>
      </c>
      <c r="ISP38" s="131" t="s">
        <v>44</v>
      </c>
      <c r="ISQ38" s="133" t="s">
        <v>45</v>
      </c>
      <c r="ISR38" s="134"/>
      <c r="ISS38" s="135"/>
      <c r="IST38" s="125">
        <v>0</v>
      </c>
      <c r="ISU38" s="125">
        <v>40</v>
      </c>
      <c r="ISV38" s="127">
        <f>SUM(ISU38)</f>
        <v>40</v>
      </c>
      <c r="ISW38" s="129" t="s">
        <v>46</v>
      </c>
      <c r="ISX38" s="131" t="s">
        <v>44</v>
      </c>
      <c r="ISY38" s="133" t="s">
        <v>45</v>
      </c>
      <c r="ISZ38" s="134"/>
      <c r="ITA38" s="135"/>
      <c r="ITB38" s="125">
        <v>0</v>
      </c>
      <c r="ITC38" s="125">
        <v>40</v>
      </c>
      <c r="ITD38" s="127">
        <f>SUM(ITC38)</f>
        <v>40</v>
      </c>
      <c r="ITE38" s="129" t="s">
        <v>46</v>
      </c>
      <c r="ITF38" s="131" t="s">
        <v>44</v>
      </c>
      <c r="ITG38" s="133" t="s">
        <v>45</v>
      </c>
      <c r="ITH38" s="134"/>
      <c r="ITI38" s="135"/>
      <c r="ITJ38" s="125">
        <v>0</v>
      </c>
      <c r="ITK38" s="125">
        <v>40</v>
      </c>
      <c r="ITL38" s="127">
        <f>SUM(ITK38)</f>
        <v>40</v>
      </c>
      <c r="ITM38" s="129" t="s">
        <v>46</v>
      </c>
      <c r="ITN38" s="131" t="s">
        <v>44</v>
      </c>
      <c r="ITO38" s="133" t="s">
        <v>45</v>
      </c>
      <c r="ITP38" s="134"/>
      <c r="ITQ38" s="135"/>
      <c r="ITR38" s="125">
        <v>0</v>
      </c>
      <c r="ITS38" s="125">
        <v>40</v>
      </c>
      <c r="ITT38" s="127">
        <f>SUM(ITS38)</f>
        <v>40</v>
      </c>
      <c r="ITU38" s="129" t="s">
        <v>46</v>
      </c>
      <c r="ITV38" s="131" t="s">
        <v>44</v>
      </c>
      <c r="ITW38" s="133" t="s">
        <v>45</v>
      </c>
      <c r="ITX38" s="134"/>
      <c r="ITY38" s="135"/>
      <c r="ITZ38" s="125">
        <v>0</v>
      </c>
      <c r="IUA38" s="125">
        <v>40</v>
      </c>
      <c r="IUB38" s="127">
        <f>SUM(IUA38)</f>
        <v>40</v>
      </c>
      <c r="IUC38" s="129" t="s">
        <v>46</v>
      </c>
      <c r="IUD38" s="131" t="s">
        <v>44</v>
      </c>
      <c r="IUE38" s="133" t="s">
        <v>45</v>
      </c>
      <c r="IUF38" s="134"/>
      <c r="IUG38" s="135"/>
      <c r="IUH38" s="125">
        <v>0</v>
      </c>
      <c r="IUI38" s="125">
        <v>40</v>
      </c>
      <c r="IUJ38" s="127">
        <f>SUM(IUI38)</f>
        <v>40</v>
      </c>
      <c r="IUK38" s="129" t="s">
        <v>46</v>
      </c>
      <c r="IUL38" s="131" t="s">
        <v>44</v>
      </c>
      <c r="IUM38" s="133" t="s">
        <v>45</v>
      </c>
      <c r="IUN38" s="134"/>
      <c r="IUO38" s="135"/>
      <c r="IUP38" s="125">
        <v>0</v>
      </c>
      <c r="IUQ38" s="125">
        <v>40</v>
      </c>
      <c r="IUR38" s="127">
        <f>SUM(IUQ38)</f>
        <v>40</v>
      </c>
      <c r="IUS38" s="129" t="s">
        <v>46</v>
      </c>
      <c r="IUT38" s="131" t="s">
        <v>44</v>
      </c>
      <c r="IUU38" s="133" t="s">
        <v>45</v>
      </c>
      <c r="IUV38" s="134"/>
      <c r="IUW38" s="135"/>
      <c r="IUX38" s="125">
        <v>0</v>
      </c>
      <c r="IUY38" s="125">
        <v>40</v>
      </c>
      <c r="IUZ38" s="127">
        <f>SUM(IUY38)</f>
        <v>40</v>
      </c>
      <c r="IVA38" s="129" t="s">
        <v>46</v>
      </c>
      <c r="IVB38" s="131" t="s">
        <v>44</v>
      </c>
      <c r="IVC38" s="133" t="s">
        <v>45</v>
      </c>
      <c r="IVD38" s="134"/>
      <c r="IVE38" s="135"/>
      <c r="IVF38" s="125">
        <v>0</v>
      </c>
      <c r="IVG38" s="125">
        <v>40</v>
      </c>
      <c r="IVH38" s="127">
        <f>SUM(IVG38)</f>
        <v>40</v>
      </c>
      <c r="IVI38" s="129" t="s">
        <v>46</v>
      </c>
      <c r="IVJ38" s="131" t="s">
        <v>44</v>
      </c>
      <c r="IVK38" s="133" t="s">
        <v>45</v>
      </c>
      <c r="IVL38" s="134"/>
      <c r="IVM38" s="135"/>
      <c r="IVN38" s="125">
        <v>0</v>
      </c>
      <c r="IVO38" s="125">
        <v>40</v>
      </c>
      <c r="IVP38" s="127">
        <f>SUM(IVO38)</f>
        <v>40</v>
      </c>
      <c r="IVQ38" s="129" t="s">
        <v>46</v>
      </c>
      <c r="IVR38" s="131" t="s">
        <v>44</v>
      </c>
      <c r="IVS38" s="133" t="s">
        <v>45</v>
      </c>
      <c r="IVT38" s="134"/>
      <c r="IVU38" s="135"/>
      <c r="IVV38" s="125">
        <v>0</v>
      </c>
      <c r="IVW38" s="125">
        <v>40</v>
      </c>
      <c r="IVX38" s="127">
        <f>SUM(IVW38)</f>
        <v>40</v>
      </c>
      <c r="IVY38" s="129" t="s">
        <v>46</v>
      </c>
      <c r="IVZ38" s="131" t="s">
        <v>44</v>
      </c>
      <c r="IWA38" s="133" t="s">
        <v>45</v>
      </c>
      <c r="IWB38" s="134"/>
      <c r="IWC38" s="135"/>
      <c r="IWD38" s="125">
        <v>0</v>
      </c>
      <c r="IWE38" s="125">
        <v>40</v>
      </c>
      <c r="IWF38" s="127">
        <f>SUM(IWE38)</f>
        <v>40</v>
      </c>
      <c r="IWG38" s="129" t="s">
        <v>46</v>
      </c>
      <c r="IWH38" s="131" t="s">
        <v>44</v>
      </c>
      <c r="IWI38" s="133" t="s">
        <v>45</v>
      </c>
      <c r="IWJ38" s="134"/>
      <c r="IWK38" s="135"/>
      <c r="IWL38" s="125">
        <v>0</v>
      </c>
      <c r="IWM38" s="125">
        <v>40</v>
      </c>
      <c r="IWN38" s="127">
        <f>SUM(IWM38)</f>
        <v>40</v>
      </c>
      <c r="IWO38" s="129" t="s">
        <v>46</v>
      </c>
      <c r="IWP38" s="131" t="s">
        <v>44</v>
      </c>
      <c r="IWQ38" s="133" t="s">
        <v>45</v>
      </c>
      <c r="IWR38" s="134"/>
      <c r="IWS38" s="135"/>
      <c r="IWT38" s="125">
        <v>0</v>
      </c>
      <c r="IWU38" s="125">
        <v>40</v>
      </c>
      <c r="IWV38" s="127">
        <f>SUM(IWU38)</f>
        <v>40</v>
      </c>
      <c r="IWW38" s="129" t="s">
        <v>46</v>
      </c>
      <c r="IWX38" s="131" t="s">
        <v>44</v>
      </c>
      <c r="IWY38" s="133" t="s">
        <v>45</v>
      </c>
      <c r="IWZ38" s="134"/>
      <c r="IXA38" s="135"/>
      <c r="IXB38" s="125">
        <v>0</v>
      </c>
      <c r="IXC38" s="125">
        <v>40</v>
      </c>
      <c r="IXD38" s="127">
        <f>SUM(IXC38)</f>
        <v>40</v>
      </c>
      <c r="IXE38" s="129" t="s">
        <v>46</v>
      </c>
      <c r="IXF38" s="131" t="s">
        <v>44</v>
      </c>
      <c r="IXG38" s="133" t="s">
        <v>45</v>
      </c>
      <c r="IXH38" s="134"/>
      <c r="IXI38" s="135"/>
      <c r="IXJ38" s="125">
        <v>0</v>
      </c>
      <c r="IXK38" s="125">
        <v>40</v>
      </c>
      <c r="IXL38" s="127">
        <f>SUM(IXK38)</f>
        <v>40</v>
      </c>
      <c r="IXM38" s="129" t="s">
        <v>46</v>
      </c>
      <c r="IXN38" s="131" t="s">
        <v>44</v>
      </c>
      <c r="IXO38" s="133" t="s">
        <v>45</v>
      </c>
      <c r="IXP38" s="134"/>
      <c r="IXQ38" s="135"/>
      <c r="IXR38" s="125">
        <v>0</v>
      </c>
      <c r="IXS38" s="125">
        <v>40</v>
      </c>
      <c r="IXT38" s="127">
        <f>SUM(IXS38)</f>
        <v>40</v>
      </c>
      <c r="IXU38" s="129" t="s">
        <v>46</v>
      </c>
      <c r="IXV38" s="131" t="s">
        <v>44</v>
      </c>
      <c r="IXW38" s="133" t="s">
        <v>45</v>
      </c>
      <c r="IXX38" s="134"/>
      <c r="IXY38" s="135"/>
      <c r="IXZ38" s="125">
        <v>0</v>
      </c>
      <c r="IYA38" s="125">
        <v>40</v>
      </c>
      <c r="IYB38" s="127">
        <f>SUM(IYA38)</f>
        <v>40</v>
      </c>
      <c r="IYC38" s="129" t="s">
        <v>46</v>
      </c>
      <c r="IYD38" s="131" t="s">
        <v>44</v>
      </c>
      <c r="IYE38" s="133" t="s">
        <v>45</v>
      </c>
      <c r="IYF38" s="134"/>
      <c r="IYG38" s="135"/>
      <c r="IYH38" s="125">
        <v>0</v>
      </c>
      <c r="IYI38" s="125">
        <v>40</v>
      </c>
      <c r="IYJ38" s="127">
        <f>SUM(IYI38)</f>
        <v>40</v>
      </c>
      <c r="IYK38" s="129" t="s">
        <v>46</v>
      </c>
      <c r="IYL38" s="131" t="s">
        <v>44</v>
      </c>
      <c r="IYM38" s="133" t="s">
        <v>45</v>
      </c>
      <c r="IYN38" s="134"/>
      <c r="IYO38" s="135"/>
      <c r="IYP38" s="125">
        <v>0</v>
      </c>
      <c r="IYQ38" s="125">
        <v>40</v>
      </c>
      <c r="IYR38" s="127">
        <f>SUM(IYQ38)</f>
        <v>40</v>
      </c>
      <c r="IYS38" s="129" t="s">
        <v>46</v>
      </c>
      <c r="IYT38" s="131" t="s">
        <v>44</v>
      </c>
      <c r="IYU38" s="133" t="s">
        <v>45</v>
      </c>
      <c r="IYV38" s="134"/>
      <c r="IYW38" s="135"/>
      <c r="IYX38" s="125">
        <v>0</v>
      </c>
      <c r="IYY38" s="125">
        <v>40</v>
      </c>
      <c r="IYZ38" s="127">
        <f>SUM(IYY38)</f>
        <v>40</v>
      </c>
      <c r="IZA38" s="129" t="s">
        <v>46</v>
      </c>
      <c r="IZB38" s="131" t="s">
        <v>44</v>
      </c>
      <c r="IZC38" s="133" t="s">
        <v>45</v>
      </c>
      <c r="IZD38" s="134"/>
      <c r="IZE38" s="135"/>
      <c r="IZF38" s="125">
        <v>0</v>
      </c>
      <c r="IZG38" s="125">
        <v>40</v>
      </c>
      <c r="IZH38" s="127">
        <f>SUM(IZG38)</f>
        <v>40</v>
      </c>
      <c r="IZI38" s="129" t="s">
        <v>46</v>
      </c>
      <c r="IZJ38" s="131" t="s">
        <v>44</v>
      </c>
      <c r="IZK38" s="133" t="s">
        <v>45</v>
      </c>
      <c r="IZL38" s="134"/>
      <c r="IZM38" s="135"/>
      <c r="IZN38" s="125">
        <v>0</v>
      </c>
      <c r="IZO38" s="125">
        <v>40</v>
      </c>
      <c r="IZP38" s="127">
        <f>SUM(IZO38)</f>
        <v>40</v>
      </c>
      <c r="IZQ38" s="129" t="s">
        <v>46</v>
      </c>
      <c r="IZR38" s="131" t="s">
        <v>44</v>
      </c>
      <c r="IZS38" s="133" t="s">
        <v>45</v>
      </c>
      <c r="IZT38" s="134"/>
      <c r="IZU38" s="135"/>
      <c r="IZV38" s="125">
        <v>0</v>
      </c>
      <c r="IZW38" s="125">
        <v>40</v>
      </c>
      <c r="IZX38" s="127">
        <f>SUM(IZW38)</f>
        <v>40</v>
      </c>
      <c r="IZY38" s="129" t="s">
        <v>46</v>
      </c>
      <c r="IZZ38" s="131" t="s">
        <v>44</v>
      </c>
      <c r="JAA38" s="133" t="s">
        <v>45</v>
      </c>
      <c r="JAB38" s="134"/>
      <c r="JAC38" s="135"/>
      <c r="JAD38" s="125">
        <v>0</v>
      </c>
      <c r="JAE38" s="125">
        <v>40</v>
      </c>
      <c r="JAF38" s="127">
        <f>SUM(JAE38)</f>
        <v>40</v>
      </c>
      <c r="JAG38" s="129" t="s">
        <v>46</v>
      </c>
      <c r="JAH38" s="131" t="s">
        <v>44</v>
      </c>
      <c r="JAI38" s="133" t="s">
        <v>45</v>
      </c>
      <c r="JAJ38" s="134"/>
      <c r="JAK38" s="135"/>
      <c r="JAL38" s="125">
        <v>0</v>
      </c>
      <c r="JAM38" s="125">
        <v>40</v>
      </c>
      <c r="JAN38" s="127">
        <f>SUM(JAM38)</f>
        <v>40</v>
      </c>
      <c r="JAO38" s="129" t="s">
        <v>46</v>
      </c>
      <c r="JAP38" s="131" t="s">
        <v>44</v>
      </c>
      <c r="JAQ38" s="133" t="s">
        <v>45</v>
      </c>
      <c r="JAR38" s="134"/>
      <c r="JAS38" s="135"/>
      <c r="JAT38" s="125">
        <v>0</v>
      </c>
      <c r="JAU38" s="125">
        <v>40</v>
      </c>
      <c r="JAV38" s="127">
        <f>SUM(JAU38)</f>
        <v>40</v>
      </c>
      <c r="JAW38" s="129" t="s">
        <v>46</v>
      </c>
      <c r="JAX38" s="131" t="s">
        <v>44</v>
      </c>
      <c r="JAY38" s="133" t="s">
        <v>45</v>
      </c>
      <c r="JAZ38" s="134"/>
      <c r="JBA38" s="135"/>
      <c r="JBB38" s="125">
        <v>0</v>
      </c>
      <c r="JBC38" s="125">
        <v>40</v>
      </c>
      <c r="JBD38" s="127">
        <f>SUM(JBC38)</f>
        <v>40</v>
      </c>
      <c r="JBE38" s="129" t="s">
        <v>46</v>
      </c>
      <c r="JBF38" s="131" t="s">
        <v>44</v>
      </c>
      <c r="JBG38" s="133" t="s">
        <v>45</v>
      </c>
      <c r="JBH38" s="134"/>
      <c r="JBI38" s="135"/>
      <c r="JBJ38" s="125">
        <v>0</v>
      </c>
      <c r="JBK38" s="125">
        <v>40</v>
      </c>
      <c r="JBL38" s="127">
        <f>SUM(JBK38)</f>
        <v>40</v>
      </c>
      <c r="JBM38" s="129" t="s">
        <v>46</v>
      </c>
      <c r="JBN38" s="131" t="s">
        <v>44</v>
      </c>
      <c r="JBO38" s="133" t="s">
        <v>45</v>
      </c>
      <c r="JBP38" s="134"/>
      <c r="JBQ38" s="135"/>
      <c r="JBR38" s="125">
        <v>0</v>
      </c>
      <c r="JBS38" s="125">
        <v>40</v>
      </c>
      <c r="JBT38" s="127">
        <f>SUM(JBS38)</f>
        <v>40</v>
      </c>
      <c r="JBU38" s="129" t="s">
        <v>46</v>
      </c>
      <c r="JBV38" s="131" t="s">
        <v>44</v>
      </c>
      <c r="JBW38" s="133" t="s">
        <v>45</v>
      </c>
      <c r="JBX38" s="134"/>
      <c r="JBY38" s="135"/>
      <c r="JBZ38" s="125">
        <v>0</v>
      </c>
      <c r="JCA38" s="125">
        <v>40</v>
      </c>
      <c r="JCB38" s="127">
        <f>SUM(JCA38)</f>
        <v>40</v>
      </c>
      <c r="JCC38" s="129" t="s">
        <v>46</v>
      </c>
      <c r="JCD38" s="131" t="s">
        <v>44</v>
      </c>
      <c r="JCE38" s="133" t="s">
        <v>45</v>
      </c>
      <c r="JCF38" s="134"/>
      <c r="JCG38" s="135"/>
      <c r="JCH38" s="125">
        <v>0</v>
      </c>
      <c r="JCI38" s="125">
        <v>40</v>
      </c>
      <c r="JCJ38" s="127">
        <f>SUM(JCI38)</f>
        <v>40</v>
      </c>
      <c r="JCK38" s="129" t="s">
        <v>46</v>
      </c>
      <c r="JCL38" s="131" t="s">
        <v>44</v>
      </c>
      <c r="JCM38" s="133" t="s">
        <v>45</v>
      </c>
      <c r="JCN38" s="134"/>
      <c r="JCO38" s="135"/>
      <c r="JCP38" s="125">
        <v>0</v>
      </c>
      <c r="JCQ38" s="125">
        <v>40</v>
      </c>
      <c r="JCR38" s="127">
        <f>SUM(JCQ38)</f>
        <v>40</v>
      </c>
      <c r="JCS38" s="129" t="s">
        <v>46</v>
      </c>
      <c r="JCT38" s="131" t="s">
        <v>44</v>
      </c>
      <c r="JCU38" s="133" t="s">
        <v>45</v>
      </c>
      <c r="JCV38" s="134"/>
      <c r="JCW38" s="135"/>
      <c r="JCX38" s="125">
        <v>0</v>
      </c>
      <c r="JCY38" s="125">
        <v>40</v>
      </c>
      <c r="JCZ38" s="127">
        <f>SUM(JCY38)</f>
        <v>40</v>
      </c>
      <c r="JDA38" s="129" t="s">
        <v>46</v>
      </c>
      <c r="JDB38" s="131" t="s">
        <v>44</v>
      </c>
      <c r="JDC38" s="133" t="s">
        <v>45</v>
      </c>
      <c r="JDD38" s="134"/>
      <c r="JDE38" s="135"/>
      <c r="JDF38" s="125">
        <v>0</v>
      </c>
      <c r="JDG38" s="125">
        <v>40</v>
      </c>
      <c r="JDH38" s="127">
        <f>SUM(JDG38)</f>
        <v>40</v>
      </c>
      <c r="JDI38" s="129" t="s">
        <v>46</v>
      </c>
      <c r="JDJ38" s="131" t="s">
        <v>44</v>
      </c>
      <c r="JDK38" s="133" t="s">
        <v>45</v>
      </c>
      <c r="JDL38" s="134"/>
      <c r="JDM38" s="135"/>
      <c r="JDN38" s="125">
        <v>0</v>
      </c>
      <c r="JDO38" s="125">
        <v>40</v>
      </c>
      <c r="JDP38" s="127">
        <f>SUM(JDO38)</f>
        <v>40</v>
      </c>
      <c r="JDQ38" s="129" t="s">
        <v>46</v>
      </c>
      <c r="JDR38" s="131" t="s">
        <v>44</v>
      </c>
      <c r="JDS38" s="133" t="s">
        <v>45</v>
      </c>
      <c r="JDT38" s="134"/>
      <c r="JDU38" s="135"/>
      <c r="JDV38" s="125">
        <v>0</v>
      </c>
      <c r="JDW38" s="125">
        <v>40</v>
      </c>
      <c r="JDX38" s="127">
        <f>SUM(JDW38)</f>
        <v>40</v>
      </c>
      <c r="JDY38" s="129" t="s">
        <v>46</v>
      </c>
      <c r="JDZ38" s="131" t="s">
        <v>44</v>
      </c>
      <c r="JEA38" s="133" t="s">
        <v>45</v>
      </c>
      <c r="JEB38" s="134"/>
      <c r="JEC38" s="135"/>
      <c r="JED38" s="125">
        <v>0</v>
      </c>
      <c r="JEE38" s="125">
        <v>40</v>
      </c>
      <c r="JEF38" s="127">
        <f>SUM(JEE38)</f>
        <v>40</v>
      </c>
      <c r="JEG38" s="129" t="s">
        <v>46</v>
      </c>
      <c r="JEH38" s="131" t="s">
        <v>44</v>
      </c>
      <c r="JEI38" s="133" t="s">
        <v>45</v>
      </c>
      <c r="JEJ38" s="134"/>
      <c r="JEK38" s="135"/>
      <c r="JEL38" s="125">
        <v>0</v>
      </c>
      <c r="JEM38" s="125">
        <v>40</v>
      </c>
      <c r="JEN38" s="127">
        <f>SUM(JEM38)</f>
        <v>40</v>
      </c>
      <c r="JEO38" s="129" t="s">
        <v>46</v>
      </c>
      <c r="JEP38" s="131" t="s">
        <v>44</v>
      </c>
      <c r="JEQ38" s="133" t="s">
        <v>45</v>
      </c>
      <c r="JER38" s="134"/>
      <c r="JES38" s="135"/>
      <c r="JET38" s="125">
        <v>0</v>
      </c>
      <c r="JEU38" s="125">
        <v>40</v>
      </c>
      <c r="JEV38" s="127">
        <f>SUM(JEU38)</f>
        <v>40</v>
      </c>
      <c r="JEW38" s="129" t="s">
        <v>46</v>
      </c>
      <c r="JEX38" s="131" t="s">
        <v>44</v>
      </c>
      <c r="JEY38" s="133" t="s">
        <v>45</v>
      </c>
      <c r="JEZ38" s="134"/>
      <c r="JFA38" s="135"/>
      <c r="JFB38" s="125">
        <v>0</v>
      </c>
      <c r="JFC38" s="125">
        <v>40</v>
      </c>
      <c r="JFD38" s="127">
        <f>SUM(JFC38)</f>
        <v>40</v>
      </c>
      <c r="JFE38" s="129" t="s">
        <v>46</v>
      </c>
      <c r="JFF38" s="131" t="s">
        <v>44</v>
      </c>
      <c r="JFG38" s="133" t="s">
        <v>45</v>
      </c>
      <c r="JFH38" s="134"/>
      <c r="JFI38" s="135"/>
      <c r="JFJ38" s="125">
        <v>0</v>
      </c>
      <c r="JFK38" s="125">
        <v>40</v>
      </c>
      <c r="JFL38" s="127">
        <f>SUM(JFK38)</f>
        <v>40</v>
      </c>
      <c r="JFM38" s="129" t="s">
        <v>46</v>
      </c>
      <c r="JFN38" s="131" t="s">
        <v>44</v>
      </c>
      <c r="JFO38" s="133" t="s">
        <v>45</v>
      </c>
      <c r="JFP38" s="134"/>
      <c r="JFQ38" s="135"/>
      <c r="JFR38" s="125">
        <v>0</v>
      </c>
      <c r="JFS38" s="125">
        <v>40</v>
      </c>
      <c r="JFT38" s="127">
        <f>SUM(JFS38)</f>
        <v>40</v>
      </c>
      <c r="JFU38" s="129" t="s">
        <v>46</v>
      </c>
      <c r="JFV38" s="131" t="s">
        <v>44</v>
      </c>
      <c r="JFW38" s="133" t="s">
        <v>45</v>
      </c>
      <c r="JFX38" s="134"/>
      <c r="JFY38" s="135"/>
      <c r="JFZ38" s="125">
        <v>0</v>
      </c>
      <c r="JGA38" s="125">
        <v>40</v>
      </c>
      <c r="JGB38" s="127">
        <f>SUM(JGA38)</f>
        <v>40</v>
      </c>
      <c r="JGC38" s="129" t="s">
        <v>46</v>
      </c>
      <c r="JGD38" s="131" t="s">
        <v>44</v>
      </c>
      <c r="JGE38" s="133" t="s">
        <v>45</v>
      </c>
      <c r="JGF38" s="134"/>
      <c r="JGG38" s="135"/>
      <c r="JGH38" s="125">
        <v>0</v>
      </c>
      <c r="JGI38" s="125">
        <v>40</v>
      </c>
      <c r="JGJ38" s="127">
        <f>SUM(JGI38)</f>
        <v>40</v>
      </c>
      <c r="JGK38" s="129" t="s">
        <v>46</v>
      </c>
      <c r="JGL38" s="131" t="s">
        <v>44</v>
      </c>
      <c r="JGM38" s="133" t="s">
        <v>45</v>
      </c>
      <c r="JGN38" s="134"/>
      <c r="JGO38" s="135"/>
      <c r="JGP38" s="125">
        <v>0</v>
      </c>
      <c r="JGQ38" s="125">
        <v>40</v>
      </c>
      <c r="JGR38" s="127">
        <f>SUM(JGQ38)</f>
        <v>40</v>
      </c>
      <c r="JGS38" s="129" t="s">
        <v>46</v>
      </c>
      <c r="JGT38" s="131" t="s">
        <v>44</v>
      </c>
      <c r="JGU38" s="133" t="s">
        <v>45</v>
      </c>
      <c r="JGV38" s="134"/>
      <c r="JGW38" s="135"/>
      <c r="JGX38" s="125">
        <v>0</v>
      </c>
      <c r="JGY38" s="125">
        <v>40</v>
      </c>
      <c r="JGZ38" s="127">
        <f>SUM(JGY38)</f>
        <v>40</v>
      </c>
      <c r="JHA38" s="129" t="s">
        <v>46</v>
      </c>
      <c r="JHB38" s="131" t="s">
        <v>44</v>
      </c>
      <c r="JHC38" s="133" t="s">
        <v>45</v>
      </c>
      <c r="JHD38" s="134"/>
      <c r="JHE38" s="135"/>
      <c r="JHF38" s="125">
        <v>0</v>
      </c>
      <c r="JHG38" s="125">
        <v>40</v>
      </c>
      <c r="JHH38" s="127">
        <f>SUM(JHG38)</f>
        <v>40</v>
      </c>
      <c r="JHI38" s="129" t="s">
        <v>46</v>
      </c>
      <c r="JHJ38" s="131" t="s">
        <v>44</v>
      </c>
      <c r="JHK38" s="133" t="s">
        <v>45</v>
      </c>
      <c r="JHL38" s="134"/>
      <c r="JHM38" s="135"/>
      <c r="JHN38" s="125">
        <v>0</v>
      </c>
      <c r="JHO38" s="125">
        <v>40</v>
      </c>
      <c r="JHP38" s="127">
        <f>SUM(JHO38)</f>
        <v>40</v>
      </c>
      <c r="JHQ38" s="129" t="s">
        <v>46</v>
      </c>
      <c r="JHR38" s="131" t="s">
        <v>44</v>
      </c>
      <c r="JHS38" s="133" t="s">
        <v>45</v>
      </c>
      <c r="JHT38" s="134"/>
      <c r="JHU38" s="135"/>
      <c r="JHV38" s="125">
        <v>0</v>
      </c>
      <c r="JHW38" s="125">
        <v>40</v>
      </c>
      <c r="JHX38" s="127">
        <f>SUM(JHW38)</f>
        <v>40</v>
      </c>
      <c r="JHY38" s="129" t="s">
        <v>46</v>
      </c>
      <c r="JHZ38" s="131" t="s">
        <v>44</v>
      </c>
      <c r="JIA38" s="133" t="s">
        <v>45</v>
      </c>
      <c r="JIB38" s="134"/>
      <c r="JIC38" s="135"/>
      <c r="JID38" s="125">
        <v>0</v>
      </c>
      <c r="JIE38" s="125">
        <v>40</v>
      </c>
      <c r="JIF38" s="127">
        <f>SUM(JIE38)</f>
        <v>40</v>
      </c>
      <c r="JIG38" s="129" t="s">
        <v>46</v>
      </c>
      <c r="JIH38" s="131" t="s">
        <v>44</v>
      </c>
      <c r="JII38" s="133" t="s">
        <v>45</v>
      </c>
      <c r="JIJ38" s="134"/>
      <c r="JIK38" s="135"/>
      <c r="JIL38" s="125">
        <v>0</v>
      </c>
      <c r="JIM38" s="125">
        <v>40</v>
      </c>
      <c r="JIN38" s="127">
        <f>SUM(JIM38)</f>
        <v>40</v>
      </c>
      <c r="JIO38" s="129" t="s">
        <v>46</v>
      </c>
      <c r="JIP38" s="131" t="s">
        <v>44</v>
      </c>
      <c r="JIQ38" s="133" t="s">
        <v>45</v>
      </c>
      <c r="JIR38" s="134"/>
      <c r="JIS38" s="135"/>
      <c r="JIT38" s="125">
        <v>0</v>
      </c>
      <c r="JIU38" s="125">
        <v>40</v>
      </c>
      <c r="JIV38" s="127">
        <f>SUM(JIU38)</f>
        <v>40</v>
      </c>
      <c r="JIW38" s="129" t="s">
        <v>46</v>
      </c>
      <c r="JIX38" s="131" t="s">
        <v>44</v>
      </c>
      <c r="JIY38" s="133" t="s">
        <v>45</v>
      </c>
      <c r="JIZ38" s="134"/>
      <c r="JJA38" s="135"/>
      <c r="JJB38" s="125">
        <v>0</v>
      </c>
      <c r="JJC38" s="125">
        <v>40</v>
      </c>
      <c r="JJD38" s="127">
        <f>SUM(JJC38)</f>
        <v>40</v>
      </c>
      <c r="JJE38" s="129" t="s">
        <v>46</v>
      </c>
      <c r="JJF38" s="131" t="s">
        <v>44</v>
      </c>
      <c r="JJG38" s="133" t="s">
        <v>45</v>
      </c>
      <c r="JJH38" s="134"/>
      <c r="JJI38" s="135"/>
      <c r="JJJ38" s="125">
        <v>0</v>
      </c>
      <c r="JJK38" s="125">
        <v>40</v>
      </c>
      <c r="JJL38" s="127">
        <f>SUM(JJK38)</f>
        <v>40</v>
      </c>
      <c r="JJM38" s="129" t="s">
        <v>46</v>
      </c>
      <c r="JJN38" s="131" t="s">
        <v>44</v>
      </c>
      <c r="JJO38" s="133" t="s">
        <v>45</v>
      </c>
      <c r="JJP38" s="134"/>
      <c r="JJQ38" s="135"/>
      <c r="JJR38" s="125">
        <v>0</v>
      </c>
      <c r="JJS38" s="125">
        <v>40</v>
      </c>
      <c r="JJT38" s="127">
        <f>SUM(JJS38)</f>
        <v>40</v>
      </c>
      <c r="JJU38" s="129" t="s">
        <v>46</v>
      </c>
      <c r="JJV38" s="131" t="s">
        <v>44</v>
      </c>
      <c r="JJW38" s="133" t="s">
        <v>45</v>
      </c>
      <c r="JJX38" s="134"/>
      <c r="JJY38" s="135"/>
      <c r="JJZ38" s="125">
        <v>0</v>
      </c>
      <c r="JKA38" s="125">
        <v>40</v>
      </c>
      <c r="JKB38" s="127">
        <f>SUM(JKA38)</f>
        <v>40</v>
      </c>
      <c r="JKC38" s="129" t="s">
        <v>46</v>
      </c>
      <c r="JKD38" s="131" t="s">
        <v>44</v>
      </c>
      <c r="JKE38" s="133" t="s">
        <v>45</v>
      </c>
      <c r="JKF38" s="134"/>
      <c r="JKG38" s="135"/>
      <c r="JKH38" s="125">
        <v>0</v>
      </c>
      <c r="JKI38" s="125">
        <v>40</v>
      </c>
      <c r="JKJ38" s="127">
        <f>SUM(JKI38)</f>
        <v>40</v>
      </c>
      <c r="JKK38" s="129" t="s">
        <v>46</v>
      </c>
      <c r="JKL38" s="131" t="s">
        <v>44</v>
      </c>
      <c r="JKM38" s="133" t="s">
        <v>45</v>
      </c>
      <c r="JKN38" s="134"/>
      <c r="JKO38" s="135"/>
      <c r="JKP38" s="125">
        <v>0</v>
      </c>
      <c r="JKQ38" s="125">
        <v>40</v>
      </c>
      <c r="JKR38" s="127">
        <f>SUM(JKQ38)</f>
        <v>40</v>
      </c>
      <c r="JKS38" s="129" t="s">
        <v>46</v>
      </c>
      <c r="JKT38" s="131" t="s">
        <v>44</v>
      </c>
      <c r="JKU38" s="133" t="s">
        <v>45</v>
      </c>
      <c r="JKV38" s="134"/>
      <c r="JKW38" s="135"/>
      <c r="JKX38" s="125">
        <v>0</v>
      </c>
      <c r="JKY38" s="125">
        <v>40</v>
      </c>
      <c r="JKZ38" s="127">
        <f>SUM(JKY38)</f>
        <v>40</v>
      </c>
      <c r="JLA38" s="129" t="s">
        <v>46</v>
      </c>
      <c r="JLB38" s="131" t="s">
        <v>44</v>
      </c>
      <c r="JLC38" s="133" t="s">
        <v>45</v>
      </c>
      <c r="JLD38" s="134"/>
      <c r="JLE38" s="135"/>
      <c r="JLF38" s="125">
        <v>0</v>
      </c>
      <c r="JLG38" s="125">
        <v>40</v>
      </c>
      <c r="JLH38" s="127">
        <f>SUM(JLG38)</f>
        <v>40</v>
      </c>
      <c r="JLI38" s="129" t="s">
        <v>46</v>
      </c>
      <c r="JLJ38" s="131" t="s">
        <v>44</v>
      </c>
      <c r="JLK38" s="133" t="s">
        <v>45</v>
      </c>
      <c r="JLL38" s="134"/>
      <c r="JLM38" s="135"/>
      <c r="JLN38" s="125">
        <v>0</v>
      </c>
      <c r="JLO38" s="125">
        <v>40</v>
      </c>
      <c r="JLP38" s="127">
        <f>SUM(JLO38)</f>
        <v>40</v>
      </c>
      <c r="JLQ38" s="129" t="s">
        <v>46</v>
      </c>
      <c r="JLR38" s="131" t="s">
        <v>44</v>
      </c>
      <c r="JLS38" s="133" t="s">
        <v>45</v>
      </c>
      <c r="JLT38" s="134"/>
      <c r="JLU38" s="135"/>
      <c r="JLV38" s="125">
        <v>0</v>
      </c>
      <c r="JLW38" s="125">
        <v>40</v>
      </c>
      <c r="JLX38" s="127">
        <f>SUM(JLW38)</f>
        <v>40</v>
      </c>
      <c r="JLY38" s="129" t="s">
        <v>46</v>
      </c>
      <c r="JLZ38" s="131" t="s">
        <v>44</v>
      </c>
      <c r="JMA38" s="133" t="s">
        <v>45</v>
      </c>
      <c r="JMB38" s="134"/>
      <c r="JMC38" s="135"/>
      <c r="JMD38" s="125">
        <v>0</v>
      </c>
      <c r="JME38" s="125">
        <v>40</v>
      </c>
      <c r="JMF38" s="127">
        <f>SUM(JME38)</f>
        <v>40</v>
      </c>
      <c r="JMG38" s="129" t="s">
        <v>46</v>
      </c>
      <c r="JMH38" s="131" t="s">
        <v>44</v>
      </c>
      <c r="JMI38" s="133" t="s">
        <v>45</v>
      </c>
      <c r="JMJ38" s="134"/>
      <c r="JMK38" s="135"/>
      <c r="JML38" s="125">
        <v>0</v>
      </c>
      <c r="JMM38" s="125">
        <v>40</v>
      </c>
      <c r="JMN38" s="127">
        <f>SUM(JMM38)</f>
        <v>40</v>
      </c>
      <c r="JMO38" s="129" t="s">
        <v>46</v>
      </c>
      <c r="JMP38" s="131" t="s">
        <v>44</v>
      </c>
      <c r="JMQ38" s="133" t="s">
        <v>45</v>
      </c>
      <c r="JMR38" s="134"/>
      <c r="JMS38" s="135"/>
      <c r="JMT38" s="125">
        <v>0</v>
      </c>
      <c r="JMU38" s="125">
        <v>40</v>
      </c>
      <c r="JMV38" s="127">
        <f>SUM(JMU38)</f>
        <v>40</v>
      </c>
      <c r="JMW38" s="129" t="s">
        <v>46</v>
      </c>
      <c r="JMX38" s="131" t="s">
        <v>44</v>
      </c>
      <c r="JMY38" s="133" t="s">
        <v>45</v>
      </c>
      <c r="JMZ38" s="134"/>
      <c r="JNA38" s="135"/>
      <c r="JNB38" s="125">
        <v>0</v>
      </c>
      <c r="JNC38" s="125">
        <v>40</v>
      </c>
      <c r="JND38" s="127">
        <f>SUM(JNC38)</f>
        <v>40</v>
      </c>
      <c r="JNE38" s="129" t="s">
        <v>46</v>
      </c>
      <c r="JNF38" s="131" t="s">
        <v>44</v>
      </c>
      <c r="JNG38" s="133" t="s">
        <v>45</v>
      </c>
      <c r="JNH38" s="134"/>
      <c r="JNI38" s="135"/>
      <c r="JNJ38" s="125">
        <v>0</v>
      </c>
      <c r="JNK38" s="125">
        <v>40</v>
      </c>
      <c r="JNL38" s="127">
        <f>SUM(JNK38)</f>
        <v>40</v>
      </c>
      <c r="JNM38" s="129" t="s">
        <v>46</v>
      </c>
      <c r="JNN38" s="131" t="s">
        <v>44</v>
      </c>
      <c r="JNO38" s="133" t="s">
        <v>45</v>
      </c>
      <c r="JNP38" s="134"/>
      <c r="JNQ38" s="135"/>
      <c r="JNR38" s="125">
        <v>0</v>
      </c>
      <c r="JNS38" s="125">
        <v>40</v>
      </c>
      <c r="JNT38" s="127">
        <f>SUM(JNS38)</f>
        <v>40</v>
      </c>
      <c r="JNU38" s="129" t="s">
        <v>46</v>
      </c>
      <c r="JNV38" s="131" t="s">
        <v>44</v>
      </c>
      <c r="JNW38" s="133" t="s">
        <v>45</v>
      </c>
      <c r="JNX38" s="134"/>
      <c r="JNY38" s="135"/>
      <c r="JNZ38" s="125">
        <v>0</v>
      </c>
      <c r="JOA38" s="125">
        <v>40</v>
      </c>
      <c r="JOB38" s="127">
        <f>SUM(JOA38)</f>
        <v>40</v>
      </c>
      <c r="JOC38" s="129" t="s">
        <v>46</v>
      </c>
      <c r="JOD38" s="131" t="s">
        <v>44</v>
      </c>
      <c r="JOE38" s="133" t="s">
        <v>45</v>
      </c>
      <c r="JOF38" s="134"/>
      <c r="JOG38" s="135"/>
      <c r="JOH38" s="125">
        <v>0</v>
      </c>
      <c r="JOI38" s="125">
        <v>40</v>
      </c>
      <c r="JOJ38" s="127">
        <f>SUM(JOI38)</f>
        <v>40</v>
      </c>
      <c r="JOK38" s="129" t="s">
        <v>46</v>
      </c>
      <c r="JOL38" s="131" t="s">
        <v>44</v>
      </c>
      <c r="JOM38" s="133" t="s">
        <v>45</v>
      </c>
      <c r="JON38" s="134"/>
      <c r="JOO38" s="135"/>
      <c r="JOP38" s="125">
        <v>0</v>
      </c>
      <c r="JOQ38" s="125">
        <v>40</v>
      </c>
      <c r="JOR38" s="127">
        <f>SUM(JOQ38)</f>
        <v>40</v>
      </c>
      <c r="JOS38" s="129" t="s">
        <v>46</v>
      </c>
      <c r="JOT38" s="131" t="s">
        <v>44</v>
      </c>
      <c r="JOU38" s="133" t="s">
        <v>45</v>
      </c>
      <c r="JOV38" s="134"/>
      <c r="JOW38" s="135"/>
      <c r="JOX38" s="125">
        <v>0</v>
      </c>
      <c r="JOY38" s="125">
        <v>40</v>
      </c>
      <c r="JOZ38" s="127">
        <f>SUM(JOY38)</f>
        <v>40</v>
      </c>
      <c r="JPA38" s="129" t="s">
        <v>46</v>
      </c>
      <c r="JPB38" s="131" t="s">
        <v>44</v>
      </c>
      <c r="JPC38" s="133" t="s">
        <v>45</v>
      </c>
      <c r="JPD38" s="134"/>
      <c r="JPE38" s="135"/>
      <c r="JPF38" s="125">
        <v>0</v>
      </c>
      <c r="JPG38" s="125">
        <v>40</v>
      </c>
      <c r="JPH38" s="127">
        <f>SUM(JPG38)</f>
        <v>40</v>
      </c>
      <c r="JPI38" s="129" t="s">
        <v>46</v>
      </c>
      <c r="JPJ38" s="131" t="s">
        <v>44</v>
      </c>
      <c r="JPK38" s="133" t="s">
        <v>45</v>
      </c>
      <c r="JPL38" s="134"/>
      <c r="JPM38" s="135"/>
      <c r="JPN38" s="125">
        <v>0</v>
      </c>
      <c r="JPO38" s="125">
        <v>40</v>
      </c>
      <c r="JPP38" s="127">
        <f>SUM(JPO38)</f>
        <v>40</v>
      </c>
      <c r="JPQ38" s="129" t="s">
        <v>46</v>
      </c>
      <c r="JPR38" s="131" t="s">
        <v>44</v>
      </c>
      <c r="JPS38" s="133" t="s">
        <v>45</v>
      </c>
      <c r="JPT38" s="134"/>
      <c r="JPU38" s="135"/>
      <c r="JPV38" s="125">
        <v>0</v>
      </c>
      <c r="JPW38" s="125">
        <v>40</v>
      </c>
      <c r="JPX38" s="127">
        <f>SUM(JPW38)</f>
        <v>40</v>
      </c>
      <c r="JPY38" s="129" t="s">
        <v>46</v>
      </c>
      <c r="JPZ38" s="131" t="s">
        <v>44</v>
      </c>
      <c r="JQA38" s="133" t="s">
        <v>45</v>
      </c>
      <c r="JQB38" s="134"/>
      <c r="JQC38" s="135"/>
      <c r="JQD38" s="125">
        <v>0</v>
      </c>
      <c r="JQE38" s="125">
        <v>40</v>
      </c>
      <c r="JQF38" s="127">
        <f>SUM(JQE38)</f>
        <v>40</v>
      </c>
      <c r="JQG38" s="129" t="s">
        <v>46</v>
      </c>
      <c r="JQH38" s="131" t="s">
        <v>44</v>
      </c>
      <c r="JQI38" s="133" t="s">
        <v>45</v>
      </c>
      <c r="JQJ38" s="134"/>
      <c r="JQK38" s="135"/>
      <c r="JQL38" s="125">
        <v>0</v>
      </c>
      <c r="JQM38" s="125">
        <v>40</v>
      </c>
      <c r="JQN38" s="127">
        <f>SUM(JQM38)</f>
        <v>40</v>
      </c>
      <c r="JQO38" s="129" t="s">
        <v>46</v>
      </c>
      <c r="JQP38" s="131" t="s">
        <v>44</v>
      </c>
      <c r="JQQ38" s="133" t="s">
        <v>45</v>
      </c>
      <c r="JQR38" s="134"/>
      <c r="JQS38" s="135"/>
      <c r="JQT38" s="125">
        <v>0</v>
      </c>
      <c r="JQU38" s="125">
        <v>40</v>
      </c>
      <c r="JQV38" s="127">
        <f>SUM(JQU38)</f>
        <v>40</v>
      </c>
      <c r="JQW38" s="129" t="s">
        <v>46</v>
      </c>
      <c r="JQX38" s="131" t="s">
        <v>44</v>
      </c>
      <c r="JQY38" s="133" t="s">
        <v>45</v>
      </c>
      <c r="JQZ38" s="134"/>
      <c r="JRA38" s="135"/>
      <c r="JRB38" s="125">
        <v>0</v>
      </c>
      <c r="JRC38" s="125">
        <v>40</v>
      </c>
      <c r="JRD38" s="127">
        <f>SUM(JRC38)</f>
        <v>40</v>
      </c>
      <c r="JRE38" s="129" t="s">
        <v>46</v>
      </c>
      <c r="JRF38" s="131" t="s">
        <v>44</v>
      </c>
      <c r="JRG38" s="133" t="s">
        <v>45</v>
      </c>
      <c r="JRH38" s="134"/>
      <c r="JRI38" s="135"/>
      <c r="JRJ38" s="125">
        <v>0</v>
      </c>
      <c r="JRK38" s="125">
        <v>40</v>
      </c>
      <c r="JRL38" s="127">
        <f>SUM(JRK38)</f>
        <v>40</v>
      </c>
      <c r="JRM38" s="129" t="s">
        <v>46</v>
      </c>
      <c r="JRN38" s="131" t="s">
        <v>44</v>
      </c>
      <c r="JRO38" s="133" t="s">
        <v>45</v>
      </c>
      <c r="JRP38" s="134"/>
      <c r="JRQ38" s="135"/>
      <c r="JRR38" s="125">
        <v>0</v>
      </c>
      <c r="JRS38" s="125">
        <v>40</v>
      </c>
      <c r="JRT38" s="127">
        <f>SUM(JRS38)</f>
        <v>40</v>
      </c>
      <c r="JRU38" s="129" t="s">
        <v>46</v>
      </c>
      <c r="JRV38" s="131" t="s">
        <v>44</v>
      </c>
      <c r="JRW38" s="133" t="s">
        <v>45</v>
      </c>
      <c r="JRX38" s="134"/>
      <c r="JRY38" s="135"/>
      <c r="JRZ38" s="125">
        <v>0</v>
      </c>
      <c r="JSA38" s="125">
        <v>40</v>
      </c>
      <c r="JSB38" s="127">
        <f>SUM(JSA38)</f>
        <v>40</v>
      </c>
      <c r="JSC38" s="129" t="s">
        <v>46</v>
      </c>
      <c r="JSD38" s="131" t="s">
        <v>44</v>
      </c>
      <c r="JSE38" s="133" t="s">
        <v>45</v>
      </c>
      <c r="JSF38" s="134"/>
      <c r="JSG38" s="135"/>
      <c r="JSH38" s="125">
        <v>0</v>
      </c>
      <c r="JSI38" s="125">
        <v>40</v>
      </c>
      <c r="JSJ38" s="127">
        <f>SUM(JSI38)</f>
        <v>40</v>
      </c>
      <c r="JSK38" s="129" t="s">
        <v>46</v>
      </c>
      <c r="JSL38" s="131" t="s">
        <v>44</v>
      </c>
      <c r="JSM38" s="133" t="s">
        <v>45</v>
      </c>
      <c r="JSN38" s="134"/>
      <c r="JSO38" s="135"/>
      <c r="JSP38" s="125">
        <v>0</v>
      </c>
      <c r="JSQ38" s="125">
        <v>40</v>
      </c>
      <c r="JSR38" s="127">
        <f>SUM(JSQ38)</f>
        <v>40</v>
      </c>
      <c r="JSS38" s="129" t="s">
        <v>46</v>
      </c>
      <c r="JST38" s="131" t="s">
        <v>44</v>
      </c>
      <c r="JSU38" s="133" t="s">
        <v>45</v>
      </c>
      <c r="JSV38" s="134"/>
      <c r="JSW38" s="135"/>
      <c r="JSX38" s="125">
        <v>0</v>
      </c>
      <c r="JSY38" s="125">
        <v>40</v>
      </c>
      <c r="JSZ38" s="127">
        <f>SUM(JSY38)</f>
        <v>40</v>
      </c>
      <c r="JTA38" s="129" t="s">
        <v>46</v>
      </c>
      <c r="JTB38" s="131" t="s">
        <v>44</v>
      </c>
      <c r="JTC38" s="133" t="s">
        <v>45</v>
      </c>
      <c r="JTD38" s="134"/>
      <c r="JTE38" s="135"/>
      <c r="JTF38" s="125">
        <v>0</v>
      </c>
      <c r="JTG38" s="125">
        <v>40</v>
      </c>
      <c r="JTH38" s="127">
        <f>SUM(JTG38)</f>
        <v>40</v>
      </c>
      <c r="JTI38" s="129" t="s">
        <v>46</v>
      </c>
      <c r="JTJ38" s="131" t="s">
        <v>44</v>
      </c>
      <c r="JTK38" s="133" t="s">
        <v>45</v>
      </c>
      <c r="JTL38" s="134"/>
      <c r="JTM38" s="135"/>
      <c r="JTN38" s="125">
        <v>0</v>
      </c>
      <c r="JTO38" s="125">
        <v>40</v>
      </c>
      <c r="JTP38" s="127">
        <f>SUM(JTO38)</f>
        <v>40</v>
      </c>
      <c r="JTQ38" s="129" t="s">
        <v>46</v>
      </c>
      <c r="JTR38" s="131" t="s">
        <v>44</v>
      </c>
      <c r="JTS38" s="133" t="s">
        <v>45</v>
      </c>
      <c r="JTT38" s="134"/>
      <c r="JTU38" s="135"/>
      <c r="JTV38" s="125">
        <v>0</v>
      </c>
      <c r="JTW38" s="125">
        <v>40</v>
      </c>
      <c r="JTX38" s="127">
        <f>SUM(JTW38)</f>
        <v>40</v>
      </c>
      <c r="JTY38" s="129" t="s">
        <v>46</v>
      </c>
      <c r="JTZ38" s="131" t="s">
        <v>44</v>
      </c>
      <c r="JUA38" s="133" t="s">
        <v>45</v>
      </c>
      <c r="JUB38" s="134"/>
      <c r="JUC38" s="135"/>
      <c r="JUD38" s="125">
        <v>0</v>
      </c>
      <c r="JUE38" s="125">
        <v>40</v>
      </c>
      <c r="JUF38" s="127">
        <f>SUM(JUE38)</f>
        <v>40</v>
      </c>
      <c r="JUG38" s="129" t="s">
        <v>46</v>
      </c>
      <c r="JUH38" s="131" t="s">
        <v>44</v>
      </c>
      <c r="JUI38" s="133" t="s">
        <v>45</v>
      </c>
      <c r="JUJ38" s="134"/>
      <c r="JUK38" s="135"/>
      <c r="JUL38" s="125">
        <v>0</v>
      </c>
      <c r="JUM38" s="125">
        <v>40</v>
      </c>
      <c r="JUN38" s="127">
        <f>SUM(JUM38)</f>
        <v>40</v>
      </c>
      <c r="JUO38" s="129" t="s">
        <v>46</v>
      </c>
      <c r="JUP38" s="131" t="s">
        <v>44</v>
      </c>
      <c r="JUQ38" s="133" t="s">
        <v>45</v>
      </c>
      <c r="JUR38" s="134"/>
      <c r="JUS38" s="135"/>
      <c r="JUT38" s="125">
        <v>0</v>
      </c>
      <c r="JUU38" s="125">
        <v>40</v>
      </c>
      <c r="JUV38" s="127">
        <f>SUM(JUU38)</f>
        <v>40</v>
      </c>
      <c r="JUW38" s="129" t="s">
        <v>46</v>
      </c>
      <c r="JUX38" s="131" t="s">
        <v>44</v>
      </c>
      <c r="JUY38" s="133" t="s">
        <v>45</v>
      </c>
      <c r="JUZ38" s="134"/>
      <c r="JVA38" s="135"/>
      <c r="JVB38" s="125">
        <v>0</v>
      </c>
      <c r="JVC38" s="125">
        <v>40</v>
      </c>
      <c r="JVD38" s="127">
        <f>SUM(JVC38)</f>
        <v>40</v>
      </c>
      <c r="JVE38" s="129" t="s">
        <v>46</v>
      </c>
      <c r="JVF38" s="131" t="s">
        <v>44</v>
      </c>
      <c r="JVG38" s="133" t="s">
        <v>45</v>
      </c>
      <c r="JVH38" s="134"/>
      <c r="JVI38" s="135"/>
      <c r="JVJ38" s="125">
        <v>0</v>
      </c>
      <c r="JVK38" s="125">
        <v>40</v>
      </c>
      <c r="JVL38" s="127">
        <f>SUM(JVK38)</f>
        <v>40</v>
      </c>
      <c r="JVM38" s="129" t="s">
        <v>46</v>
      </c>
      <c r="JVN38" s="131" t="s">
        <v>44</v>
      </c>
      <c r="JVO38" s="133" t="s">
        <v>45</v>
      </c>
      <c r="JVP38" s="134"/>
      <c r="JVQ38" s="135"/>
      <c r="JVR38" s="125">
        <v>0</v>
      </c>
      <c r="JVS38" s="125">
        <v>40</v>
      </c>
      <c r="JVT38" s="127">
        <f>SUM(JVS38)</f>
        <v>40</v>
      </c>
      <c r="JVU38" s="129" t="s">
        <v>46</v>
      </c>
      <c r="JVV38" s="131" t="s">
        <v>44</v>
      </c>
      <c r="JVW38" s="133" t="s">
        <v>45</v>
      </c>
      <c r="JVX38" s="134"/>
      <c r="JVY38" s="135"/>
      <c r="JVZ38" s="125">
        <v>0</v>
      </c>
      <c r="JWA38" s="125">
        <v>40</v>
      </c>
      <c r="JWB38" s="127">
        <f>SUM(JWA38)</f>
        <v>40</v>
      </c>
      <c r="JWC38" s="129" t="s">
        <v>46</v>
      </c>
      <c r="JWD38" s="131" t="s">
        <v>44</v>
      </c>
      <c r="JWE38" s="133" t="s">
        <v>45</v>
      </c>
      <c r="JWF38" s="134"/>
      <c r="JWG38" s="135"/>
      <c r="JWH38" s="125">
        <v>0</v>
      </c>
      <c r="JWI38" s="125">
        <v>40</v>
      </c>
      <c r="JWJ38" s="127">
        <f>SUM(JWI38)</f>
        <v>40</v>
      </c>
      <c r="JWK38" s="129" t="s">
        <v>46</v>
      </c>
      <c r="JWL38" s="131" t="s">
        <v>44</v>
      </c>
      <c r="JWM38" s="133" t="s">
        <v>45</v>
      </c>
      <c r="JWN38" s="134"/>
      <c r="JWO38" s="135"/>
      <c r="JWP38" s="125">
        <v>0</v>
      </c>
      <c r="JWQ38" s="125">
        <v>40</v>
      </c>
      <c r="JWR38" s="127">
        <f>SUM(JWQ38)</f>
        <v>40</v>
      </c>
      <c r="JWS38" s="129" t="s">
        <v>46</v>
      </c>
      <c r="JWT38" s="131" t="s">
        <v>44</v>
      </c>
      <c r="JWU38" s="133" t="s">
        <v>45</v>
      </c>
      <c r="JWV38" s="134"/>
      <c r="JWW38" s="135"/>
      <c r="JWX38" s="125">
        <v>0</v>
      </c>
      <c r="JWY38" s="125">
        <v>40</v>
      </c>
      <c r="JWZ38" s="127">
        <f>SUM(JWY38)</f>
        <v>40</v>
      </c>
      <c r="JXA38" s="129" t="s">
        <v>46</v>
      </c>
      <c r="JXB38" s="131" t="s">
        <v>44</v>
      </c>
      <c r="JXC38" s="133" t="s">
        <v>45</v>
      </c>
      <c r="JXD38" s="134"/>
      <c r="JXE38" s="135"/>
      <c r="JXF38" s="125">
        <v>0</v>
      </c>
      <c r="JXG38" s="125">
        <v>40</v>
      </c>
      <c r="JXH38" s="127">
        <f>SUM(JXG38)</f>
        <v>40</v>
      </c>
      <c r="JXI38" s="129" t="s">
        <v>46</v>
      </c>
      <c r="JXJ38" s="131" t="s">
        <v>44</v>
      </c>
      <c r="JXK38" s="133" t="s">
        <v>45</v>
      </c>
      <c r="JXL38" s="134"/>
      <c r="JXM38" s="135"/>
      <c r="JXN38" s="125">
        <v>0</v>
      </c>
      <c r="JXO38" s="125">
        <v>40</v>
      </c>
      <c r="JXP38" s="127">
        <f>SUM(JXO38)</f>
        <v>40</v>
      </c>
      <c r="JXQ38" s="129" t="s">
        <v>46</v>
      </c>
      <c r="JXR38" s="131" t="s">
        <v>44</v>
      </c>
      <c r="JXS38" s="133" t="s">
        <v>45</v>
      </c>
      <c r="JXT38" s="134"/>
      <c r="JXU38" s="135"/>
      <c r="JXV38" s="125">
        <v>0</v>
      </c>
      <c r="JXW38" s="125">
        <v>40</v>
      </c>
      <c r="JXX38" s="127">
        <f>SUM(JXW38)</f>
        <v>40</v>
      </c>
      <c r="JXY38" s="129" t="s">
        <v>46</v>
      </c>
      <c r="JXZ38" s="131" t="s">
        <v>44</v>
      </c>
      <c r="JYA38" s="133" t="s">
        <v>45</v>
      </c>
      <c r="JYB38" s="134"/>
      <c r="JYC38" s="135"/>
      <c r="JYD38" s="125">
        <v>0</v>
      </c>
      <c r="JYE38" s="125">
        <v>40</v>
      </c>
      <c r="JYF38" s="127">
        <f>SUM(JYE38)</f>
        <v>40</v>
      </c>
      <c r="JYG38" s="129" t="s">
        <v>46</v>
      </c>
      <c r="JYH38" s="131" t="s">
        <v>44</v>
      </c>
      <c r="JYI38" s="133" t="s">
        <v>45</v>
      </c>
      <c r="JYJ38" s="134"/>
      <c r="JYK38" s="135"/>
      <c r="JYL38" s="125">
        <v>0</v>
      </c>
      <c r="JYM38" s="125">
        <v>40</v>
      </c>
      <c r="JYN38" s="127">
        <f>SUM(JYM38)</f>
        <v>40</v>
      </c>
      <c r="JYO38" s="129" t="s">
        <v>46</v>
      </c>
      <c r="JYP38" s="131" t="s">
        <v>44</v>
      </c>
      <c r="JYQ38" s="133" t="s">
        <v>45</v>
      </c>
      <c r="JYR38" s="134"/>
      <c r="JYS38" s="135"/>
      <c r="JYT38" s="125">
        <v>0</v>
      </c>
      <c r="JYU38" s="125">
        <v>40</v>
      </c>
      <c r="JYV38" s="127">
        <f>SUM(JYU38)</f>
        <v>40</v>
      </c>
      <c r="JYW38" s="129" t="s">
        <v>46</v>
      </c>
      <c r="JYX38" s="131" t="s">
        <v>44</v>
      </c>
      <c r="JYY38" s="133" t="s">
        <v>45</v>
      </c>
      <c r="JYZ38" s="134"/>
      <c r="JZA38" s="135"/>
      <c r="JZB38" s="125">
        <v>0</v>
      </c>
      <c r="JZC38" s="125">
        <v>40</v>
      </c>
      <c r="JZD38" s="127">
        <f>SUM(JZC38)</f>
        <v>40</v>
      </c>
      <c r="JZE38" s="129" t="s">
        <v>46</v>
      </c>
      <c r="JZF38" s="131" t="s">
        <v>44</v>
      </c>
      <c r="JZG38" s="133" t="s">
        <v>45</v>
      </c>
      <c r="JZH38" s="134"/>
      <c r="JZI38" s="135"/>
      <c r="JZJ38" s="125">
        <v>0</v>
      </c>
      <c r="JZK38" s="125">
        <v>40</v>
      </c>
      <c r="JZL38" s="127">
        <f>SUM(JZK38)</f>
        <v>40</v>
      </c>
      <c r="JZM38" s="129" t="s">
        <v>46</v>
      </c>
      <c r="JZN38" s="131" t="s">
        <v>44</v>
      </c>
      <c r="JZO38" s="133" t="s">
        <v>45</v>
      </c>
      <c r="JZP38" s="134"/>
      <c r="JZQ38" s="135"/>
      <c r="JZR38" s="125">
        <v>0</v>
      </c>
      <c r="JZS38" s="125">
        <v>40</v>
      </c>
      <c r="JZT38" s="127">
        <f>SUM(JZS38)</f>
        <v>40</v>
      </c>
      <c r="JZU38" s="129" t="s">
        <v>46</v>
      </c>
      <c r="JZV38" s="131" t="s">
        <v>44</v>
      </c>
      <c r="JZW38" s="133" t="s">
        <v>45</v>
      </c>
      <c r="JZX38" s="134"/>
      <c r="JZY38" s="135"/>
      <c r="JZZ38" s="125">
        <v>0</v>
      </c>
      <c r="KAA38" s="125">
        <v>40</v>
      </c>
      <c r="KAB38" s="127">
        <f>SUM(KAA38)</f>
        <v>40</v>
      </c>
      <c r="KAC38" s="129" t="s">
        <v>46</v>
      </c>
      <c r="KAD38" s="131" t="s">
        <v>44</v>
      </c>
      <c r="KAE38" s="133" t="s">
        <v>45</v>
      </c>
      <c r="KAF38" s="134"/>
      <c r="KAG38" s="135"/>
      <c r="KAH38" s="125">
        <v>0</v>
      </c>
      <c r="KAI38" s="125">
        <v>40</v>
      </c>
      <c r="KAJ38" s="127">
        <f>SUM(KAI38)</f>
        <v>40</v>
      </c>
      <c r="KAK38" s="129" t="s">
        <v>46</v>
      </c>
      <c r="KAL38" s="131" t="s">
        <v>44</v>
      </c>
      <c r="KAM38" s="133" t="s">
        <v>45</v>
      </c>
      <c r="KAN38" s="134"/>
      <c r="KAO38" s="135"/>
      <c r="KAP38" s="125">
        <v>0</v>
      </c>
      <c r="KAQ38" s="125">
        <v>40</v>
      </c>
      <c r="KAR38" s="127">
        <f>SUM(KAQ38)</f>
        <v>40</v>
      </c>
      <c r="KAS38" s="129" t="s">
        <v>46</v>
      </c>
      <c r="KAT38" s="131" t="s">
        <v>44</v>
      </c>
      <c r="KAU38" s="133" t="s">
        <v>45</v>
      </c>
      <c r="KAV38" s="134"/>
      <c r="KAW38" s="135"/>
      <c r="KAX38" s="125">
        <v>0</v>
      </c>
      <c r="KAY38" s="125">
        <v>40</v>
      </c>
      <c r="KAZ38" s="127">
        <f>SUM(KAY38)</f>
        <v>40</v>
      </c>
      <c r="KBA38" s="129" t="s">
        <v>46</v>
      </c>
      <c r="KBB38" s="131" t="s">
        <v>44</v>
      </c>
      <c r="KBC38" s="133" t="s">
        <v>45</v>
      </c>
      <c r="KBD38" s="134"/>
      <c r="KBE38" s="135"/>
      <c r="KBF38" s="125">
        <v>0</v>
      </c>
      <c r="KBG38" s="125">
        <v>40</v>
      </c>
      <c r="KBH38" s="127">
        <f>SUM(KBG38)</f>
        <v>40</v>
      </c>
      <c r="KBI38" s="129" t="s">
        <v>46</v>
      </c>
      <c r="KBJ38" s="131" t="s">
        <v>44</v>
      </c>
      <c r="KBK38" s="133" t="s">
        <v>45</v>
      </c>
      <c r="KBL38" s="134"/>
      <c r="KBM38" s="135"/>
      <c r="KBN38" s="125">
        <v>0</v>
      </c>
      <c r="KBO38" s="125">
        <v>40</v>
      </c>
      <c r="KBP38" s="127">
        <f>SUM(KBO38)</f>
        <v>40</v>
      </c>
      <c r="KBQ38" s="129" t="s">
        <v>46</v>
      </c>
      <c r="KBR38" s="131" t="s">
        <v>44</v>
      </c>
      <c r="KBS38" s="133" t="s">
        <v>45</v>
      </c>
      <c r="KBT38" s="134"/>
      <c r="KBU38" s="135"/>
      <c r="KBV38" s="125">
        <v>0</v>
      </c>
      <c r="KBW38" s="125">
        <v>40</v>
      </c>
      <c r="KBX38" s="127">
        <f>SUM(KBW38)</f>
        <v>40</v>
      </c>
      <c r="KBY38" s="129" t="s">
        <v>46</v>
      </c>
      <c r="KBZ38" s="131" t="s">
        <v>44</v>
      </c>
      <c r="KCA38" s="133" t="s">
        <v>45</v>
      </c>
      <c r="KCB38" s="134"/>
      <c r="KCC38" s="135"/>
      <c r="KCD38" s="125">
        <v>0</v>
      </c>
      <c r="KCE38" s="125">
        <v>40</v>
      </c>
      <c r="KCF38" s="127">
        <f>SUM(KCE38)</f>
        <v>40</v>
      </c>
      <c r="KCG38" s="129" t="s">
        <v>46</v>
      </c>
      <c r="KCH38" s="131" t="s">
        <v>44</v>
      </c>
      <c r="KCI38" s="133" t="s">
        <v>45</v>
      </c>
      <c r="KCJ38" s="134"/>
      <c r="KCK38" s="135"/>
      <c r="KCL38" s="125">
        <v>0</v>
      </c>
      <c r="KCM38" s="125">
        <v>40</v>
      </c>
      <c r="KCN38" s="127">
        <f>SUM(KCM38)</f>
        <v>40</v>
      </c>
      <c r="KCO38" s="129" t="s">
        <v>46</v>
      </c>
      <c r="KCP38" s="131" t="s">
        <v>44</v>
      </c>
      <c r="KCQ38" s="133" t="s">
        <v>45</v>
      </c>
      <c r="KCR38" s="134"/>
      <c r="KCS38" s="135"/>
      <c r="KCT38" s="125">
        <v>0</v>
      </c>
      <c r="KCU38" s="125">
        <v>40</v>
      </c>
      <c r="KCV38" s="127">
        <f>SUM(KCU38)</f>
        <v>40</v>
      </c>
      <c r="KCW38" s="129" t="s">
        <v>46</v>
      </c>
      <c r="KCX38" s="131" t="s">
        <v>44</v>
      </c>
      <c r="KCY38" s="133" t="s">
        <v>45</v>
      </c>
      <c r="KCZ38" s="134"/>
      <c r="KDA38" s="135"/>
      <c r="KDB38" s="125">
        <v>0</v>
      </c>
      <c r="KDC38" s="125">
        <v>40</v>
      </c>
      <c r="KDD38" s="127">
        <f>SUM(KDC38)</f>
        <v>40</v>
      </c>
      <c r="KDE38" s="129" t="s">
        <v>46</v>
      </c>
      <c r="KDF38" s="131" t="s">
        <v>44</v>
      </c>
      <c r="KDG38" s="133" t="s">
        <v>45</v>
      </c>
      <c r="KDH38" s="134"/>
      <c r="KDI38" s="135"/>
      <c r="KDJ38" s="125">
        <v>0</v>
      </c>
      <c r="KDK38" s="125">
        <v>40</v>
      </c>
      <c r="KDL38" s="127">
        <f>SUM(KDK38)</f>
        <v>40</v>
      </c>
      <c r="KDM38" s="129" t="s">
        <v>46</v>
      </c>
      <c r="KDN38" s="131" t="s">
        <v>44</v>
      </c>
      <c r="KDO38" s="133" t="s">
        <v>45</v>
      </c>
      <c r="KDP38" s="134"/>
      <c r="KDQ38" s="135"/>
      <c r="KDR38" s="125">
        <v>0</v>
      </c>
      <c r="KDS38" s="125">
        <v>40</v>
      </c>
      <c r="KDT38" s="127">
        <f>SUM(KDS38)</f>
        <v>40</v>
      </c>
      <c r="KDU38" s="129" t="s">
        <v>46</v>
      </c>
      <c r="KDV38" s="131" t="s">
        <v>44</v>
      </c>
      <c r="KDW38" s="133" t="s">
        <v>45</v>
      </c>
      <c r="KDX38" s="134"/>
      <c r="KDY38" s="135"/>
      <c r="KDZ38" s="125">
        <v>0</v>
      </c>
      <c r="KEA38" s="125">
        <v>40</v>
      </c>
      <c r="KEB38" s="127">
        <f>SUM(KEA38)</f>
        <v>40</v>
      </c>
      <c r="KEC38" s="129" t="s">
        <v>46</v>
      </c>
      <c r="KED38" s="131" t="s">
        <v>44</v>
      </c>
      <c r="KEE38" s="133" t="s">
        <v>45</v>
      </c>
      <c r="KEF38" s="134"/>
      <c r="KEG38" s="135"/>
      <c r="KEH38" s="125">
        <v>0</v>
      </c>
      <c r="KEI38" s="125">
        <v>40</v>
      </c>
      <c r="KEJ38" s="127">
        <f>SUM(KEI38)</f>
        <v>40</v>
      </c>
      <c r="KEK38" s="129" t="s">
        <v>46</v>
      </c>
      <c r="KEL38" s="131" t="s">
        <v>44</v>
      </c>
      <c r="KEM38" s="133" t="s">
        <v>45</v>
      </c>
      <c r="KEN38" s="134"/>
      <c r="KEO38" s="135"/>
      <c r="KEP38" s="125">
        <v>0</v>
      </c>
      <c r="KEQ38" s="125">
        <v>40</v>
      </c>
      <c r="KER38" s="127">
        <f>SUM(KEQ38)</f>
        <v>40</v>
      </c>
      <c r="KES38" s="129" t="s">
        <v>46</v>
      </c>
      <c r="KET38" s="131" t="s">
        <v>44</v>
      </c>
      <c r="KEU38" s="133" t="s">
        <v>45</v>
      </c>
      <c r="KEV38" s="134"/>
      <c r="KEW38" s="135"/>
      <c r="KEX38" s="125">
        <v>0</v>
      </c>
      <c r="KEY38" s="125">
        <v>40</v>
      </c>
      <c r="KEZ38" s="127">
        <f>SUM(KEY38)</f>
        <v>40</v>
      </c>
      <c r="KFA38" s="129" t="s">
        <v>46</v>
      </c>
      <c r="KFB38" s="131" t="s">
        <v>44</v>
      </c>
      <c r="KFC38" s="133" t="s">
        <v>45</v>
      </c>
      <c r="KFD38" s="134"/>
      <c r="KFE38" s="135"/>
      <c r="KFF38" s="125">
        <v>0</v>
      </c>
      <c r="KFG38" s="125">
        <v>40</v>
      </c>
      <c r="KFH38" s="127">
        <f>SUM(KFG38)</f>
        <v>40</v>
      </c>
      <c r="KFI38" s="129" t="s">
        <v>46</v>
      </c>
      <c r="KFJ38" s="131" t="s">
        <v>44</v>
      </c>
      <c r="KFK38" s="133" t="s">
        <v>45</v>
      </c>
      <c r="KFL38" s="134"/>
      <c r="KFM38" s="135"/>
      <c r="KFN38" s="125">
        <v>0</v>
      </c>
      <c r="KFO38" s="125">
        <v>40</v>
      </c>
      <c r="KFP38" s="127">
        <f>SUM(KFO38)</f>
        <v>40</v>
      </c>
      <c r="KFQ38" s="129" t="s">
        <v>46</v>
      </c>
      <c r="KFR38" s="131" t="s">
        <v>44</v>
      </c>
      <c r="KFS38" s="133" t="s">
        <v>45</v>
      </c>
      <c r="KFT38" s="134"/>
      <c r="KFU38" s="135"/>
      <c r="KFV38" s="125">
        <v>0</v>
      </c>
      <c r="KFW38" s="125">
        <v>40</v>
      </c>
      <c r="KFX38" s="127">
        <f>SUM(KFW38)</f>
        <v>40</v>
      </c>
      <c r="KFY38" s="129" t="s">
        <v>46</v>
      </c>
      <c r="KFZ38" s="131" t="s">
        <v>44</v>
      </c>
      <c r="KGA38" s="133" t="s">
        <v>45</v>
      </c>
      <c r="KGB38" s="134"/>
      <c r="KGC38" s="135"/>
      <c r="KGD38" s="125">
        <v>0</v>
      </c>
      <c r="KGE38" s="125">
        <v>40</v>
      </c>
      <c r="KGF38" s="127">
        <f>SUM(KGE38)</f>
        <v>40</v>
      </c>
      <c r="KGG38" s="129" t="s">
        <v>46</v>
      </c>
      <c r="KGH38" s="131" t="s">
        <v>44</v>
      </c>
      <c r="KGI38" s="133" t="s">
        <v>45</v>
      </c>
      <c r="KGJ38" s="134"/>
      <c r="KGK38" s="135"/>
      <c r="KGL38" s="125">
        <v>0</v>
      </c>
      <c r="KGM38" s="125">
        <v>40</v>
      </c>
      <c r="KGN38" s="127">
        <f>SUM(KGM38)</f>
        <v>40</v>
      </c>
      <c r="KGO38" s="129" t="s">
        <v>46</v>
      </c>
      <c r="KGP38" s="131" t="s">
        <v>44</v>
      </c>
      <c r="KGQ38" s="133" t="s">
        <v>45</v>
      </c>
      <c r="KGR38" s="134"/>
      <c r="KGS38" s="135"/>
      <c r="KGT38" s="125">
        <v>0</v>
      </c>
      <c r="KGU38" s="125">
        <v>40</v>
      </c>
      <c r="KGV38" s="127">
        <f>SUM(KGU38)</f>
        <v>40</v>
      </c>
      <c r="KGW38" s="129" t="s">
        <v>46</v>
      </c>
      <c r="KGX38" s="131" t="s">
        <v>44</v>
      </c>
      <c r="KGY38" s="133" t="s">
        <v>45</v>
      </c>
      <c r="KGZ38" s="134"/>
      <c r="KHA38" s="135"/>
      <c r="KHB38" s="125">
        <v>0</v>
      </c>
      <c r="KHC38" s="125">
        <v>40</v>
      </c>
      <c r="KHD38" s="127">
        <f>SUM(KHC38)</f>
        <v>40</v>
      </c>
      <c r="KHE38" s="129" t="s">
        <v>46</v>
      </c>
      <c r="KHF38" s="131" t="s">
        <v>44</v>
      </c>
      <c r="KHG38" s="133" t="s">
        <v>45</v>
      </c>
      <c r="KHH38" s="134"/>
      <c r="KHI38" s="135"/>
      <c r="KHJ38" s="125">
        <v>0</v>
      </c>
      <c r="KHK38" s="125">
        <v>40</v>
      </c>
      <c r="KHL38" s="127">
        <f>SUM(KHK38)</f>
        <v>40</v>
      </c>
      <c r="KHM38" s="129" t="s">
        <v>46</v>
      </c>
      <c r="KHN38" s="131" t="s">
        <v>44</v>
      </c>
      <c r="KHO38" s="133" t="s">
        <v>45</v>
      </c>
      <c r="KHP38" s="134"/>
      <c r="KHQ38" s="135"/>
      <c r="KHR38" s="125">
        <v>0</v>
      </c>
      <c r="KHS38" s="125">
        <v>40</v>
      </c>
      <c r="KHT38" s="127">
        <f>SUM(KHS38)</f>
        <v>40</v>
      </c>
      <c r="KHU38" s="129" t="s">
        <v>46</v>
      </c>
      <c r="KHV38" s="131" t="s">
        <v>44</v>
      </c>
      <c r="KHW38" s="133" t="s">
        <v>45</v>
      </c>
      <c r="KHX38" s="134"/>
      <c r="KHY38" s="135"/>
      <c r="KHZ38" s="125">
        <v>0</v>
      </c>
      <c r="KIA38" s="125">
        <v>40</v>
      </c>
      <c r="KIB38" s="127">
        <f>SUM(KIA38)</f>
        <v>40</v>
      </c>
      <c r="KIC38" s="129" t="s">
        <v>46</v>
      </c>
      <c r="KID38" s="131" t="s">
        <v>44</v>
      </c>
      <c r="KIE38" s="133" t="s">
        <v>45</v>
      </c>
      <c r="KIF38" s="134"/>
      <c r="KIG38" s="135"/>
      <c r="KIH38" s="125">
        <v>0</v>
      </c>
      <c r="KII38" s="125">
        <v>40</v>
      </c>
      <c r="KIJ38" s="127">
        <f>SUM(KII38)</f>
        <v>40</v>
      </c>
      <c r="KIK38" s="129" t="s">
        <v>46</v>
      </c>
      <c r="KIL38" s="131" t="s">
        <v>44</v>
      </c>
      <c r="KIM38" s="133" t="s">
        <v>45</v>
      </c>
      <c r="KIN38" s="134"/>
      <c r="KIO38" s="135"/>
      <c r="KIP38" s="125">
        <v>0</v>
      </c>
      <c r="KIQ38" s="125">
        <v>40</v>
      </c>
      <c r="KIR38" s="127">
        <f>SUM(KIQ38)</f>
        <v>40</v>
      </c>
      <c r="KIS38" s="129" t="s">
        <v>46</v>
      </c>
      <c r="KIT38" s="131" t="s">
        <v>44</v>
      </c>
      <c r="KIU38" s="133" t="s">
        <v>45</v>
      </c>
      <c r="KIV38" s="134"/>
      <c r="KIW38" s="135"/>
      <c r="KIX38" s="125">
        <v>0</v>
      </c>
      <c r="KIY38" s="125">
        <v>40</v>
      </c>
      <c r="KIZ38" s="127">
        <f>SUM(KIY38)</f>
        <v>40</v>
      </c>
      <c r="KJA38" s="129" t="s">
        <v>46</v>
      </c>
      <c r="KJB38" s="131" t="s">
        <v>44</v>
      </c>
      <c r="KJC38" s="133" t="s">
        <v>45</v>
      </c>
      <c r="KJD38" s="134"/>
      <c r="KJE38" s="135"/>
      <c r="KJF38" s="125">
        <v>0</v>
      </c>
      <c r="KJG38" s="125">
        <v>40</v>
      </c>
      <c r="KJH38" s="127">
        <f>SUM(KJG38)</f>
        <v>40</v>
      </c>
      <c r="KJI38" s="129" t="s">
        <v>46</v>
      </c>
      <c r="KJJ38" s="131" t="s">
        <v>44</v>
      </c>
      <c r="KJK38" s="133" t="s">
        <v>45</v>
      </c>
      <c r="KJL38" s="134"/>
      <c r="KJM38" s="135"/>
      <c r="KJN38" s="125">
        <v>0</v>
      </c>
      <c r="KJO38" s="125">
        <v>40</v>
      </c>
      <c r="KJP38" s="127">
        <f>SUM(KJO38)</f>
        <v>40</v>
      </c>
      <c r="KJQ38" s="129" t="s">
        <v>46</v>
      </c>
      <c r="KJR38" s="131" t="s">
        <v>44</v>
      </c>
      <c r="KJS38" s="133" t="s">
        <v>45</v>
      </c>
      <c r="KJT38" s="134"/>
      <c r="KJU38" s="135"/>
      <c r="KJV38" s="125">
        <v>0</v>
      </c>
      <c r="KJW38" s="125">
        <v>40</v>
      </c>
      <c r="KJX38" s="127">
        <f>SUM(KJW38)</f>
        <v>40</v>
      </c>
      <c r="KJY38" s="129" t="s">
        <v>46</v>
      </c>
      <c r="KJZ38" s="131" t="s">
        <v>44</v>
      </c>
      <c r="KKA38" s="133" t="s">
        <v>45</v>
      </c>
      <c r="KKB38" s="134"/>
      <c r="KKC38" s="135"/>
      <c r="KKD38" s="125">
        <v>0</v>
      </c>
      <c r="KKE38" s="125">
        <v>40</v>
      </c>
      <c r="KKF38" s="127">
        <f>SUM(KKE38)</f>
        <v>40</v>
      </c>
      <c r="KKG38" s="129" t="s">
        <v>46</v>
      </c>
      <c r="KKH38" s="131" t="s">
        <v>44</v>
      </c>
      <c r="KKI38" s="133" t="s">
        <v>45</v>
      </c>
      <c r="KKJ38" s="134"/>
      <c r="KKK38" s="135"/>
      <c r="KKL38" s="125">
        <v>0</v>
      </c>
      <c r="KKM38" s="125">
        <v>40</v>
      </c>
      <c r="KKN38" s="127">
        <f>SUM(KKM38)</f>
        <v>40</v>
      </c>
      <c r="KKO38" s="129" t="s">
        <v>46</v>
      </c>
      <c r="KKP38" s="131" t="s">
        <v>44</v>
      </c>
      <c r="KKQ38" s="133" t="s">
        <v>45</v>
      </c>
      <c r="KKR38" s="134"/>
      <c r="KKS38" s="135"/>
      <c r="KKT38" s="125">
        <v>0</v>
      </c>
      <c r="KKU38" s="125">
        <v>40</v>
      </c>
      <c r="KKV38" s="127">
        <f>SUM(KKU38)</f>
        <v>40</v>
      </c>
      <c r="KKW38" s="129" t="s">
        <v>46</v>
      </c>
      <c r="KKX38" s="131" t="s">
        <v>44</v>
      </c>
      <c r="KKY38" s="133" t="s">
        <v>45</v>
      </c>
      <c r="KKZ38" s="134"/>
      <c r="KLA38" s="135"/>
      <c r="KLB38" s="125">
        <v>0</v>
      </c>
      <c r="KLC38" s="125">
        <v>40</v>
      </c>
      <c r="KLD38" s="127">
        <f>SUM(KLC38)</f>
        <v>40</v>
      </c>
      <c r="KLE38" s="129" t="s">
        <v>46</v>
      </c>
      <c r="KLF38" s="131" t="s">
        <v>44</v>
      </c>
      <c r="KLG38" s="133" t="s">
        <v>45</v>
      </c>
      <c r="KLH38" s="134"/>
      <c r="KLI38" s="135"/>
      <c r="KLJ38" s="125">
        <v>0</v>
      </c>
      <c r="KLK38" s="125">
        <v>40</v>
      </c>
      <c r="KLL38" s="127">
        <f>SUM(KLK38)</f>
        <v>40</v>
      </c>
      <c r="KLM38" s="129" t="s">
        <v>46</v>
      </c>
      <c r="KLN38" s="131" t="s">
        <v>44</v>
      </c>
      <c r="KLO38" s="133" t="s">
        <v>45</v>
      </c>
      <c r="KLP38" s="134"/>
      <c r="KLQ38" s="135"/>
      <c r="KLR38" s="125">
        <v>0</v>
      </c>
      <c r="KLS38" s="125">
        <v>40</v>
      </c>
      <c r="KLT38" s="127">
        <f>SUM(KLS38)</f>
        <v>40</v>
      </c>
      <c r="KLU38" s="129" t="s">
        <v>46</v>
      </c>
      <c r="KLV38" s="131" t="s">
        <v>44</v>
      </c>
      <c r="KLW38" s="133" t="s">
        <v>45</v>
      </c>
      <c r="KLX38" s="134"/>
      <c r="KLY38" s="135"/>
      <c r="KLZ38" s="125">
        <v>0</v>
      </c>
      <c r="KMA38" s="125">
        <v>40</v>
      </c>
      <c r="KMB38" s="127">
        <f>SUM(KMA38)</f>
        <v>40</v>
      </c>
      <c r="KMC38" s="129" t="s">
        <v>46</v>
      </c>
      <c r="KMD38" s="131" t="s">
        <v>44</v>
      </c>
      <c r="KME38" s="133" t="s">
        <v>45</v>
      </c>
      <c r="KMF38" s="134"/>
      <c r="KMG38" s="135"/>
      <c r="KMH38" s="125">
        <v>0</v>
      </c>
      <c r="KMI38" s="125">
        <v>40</v>
      </c>
      <c r="KMJ38" s="127">
        <f>SUM(KMI38)</f>
        <v>40</v>
      </c>
      <c r="KMK38" s="129" t="s">
        <v>46</v>
      </c>
      <c r="KML38" s="131" t="s">
        <v>44</v>
      </c>
      <c r="KMM38" s="133" t="s">
        <v>45</v>
      </c>
      <c r="KMN38" s="134"/>
      <c r="KMO38" s="135"/>
      <c r="KMP38" s="125">
        <v>0</v>
      </c>
      <c r="KMQ38" s="125">
        <v>40</v>
      </c>
      <c r="KMR38" s="127">
        <f>SUM(KMQ38)</f>
        <v>40</v>
      </c>
      <c r="KMS38" s="129" t="s">
        <v>46</v>
      </c>
      <c r="KMT38" s="131" t="s">
        <v>44</v>
      </c>
      <c r="KMU38" s="133" t="s">
        <v>45</v>
      </c>
      <c r="KMV38" s="134"/>
      <c r="KMW38" s="135"/>
      <c r="KMX38" s="125">
        <v>0</v>
      </c>
      <c r="KMY38" s="125">
        <v>40</v>
      </c>
      <c r="KMZ38" s="127">
        <f>SUM(KMY38)</f>
        <v>40</v>
      </c>
      <c r="KNA38" s="129" t="s">
        <v>46</v>
      </c>
      <c r="KNB38" s="131" t="s">
        <v>44</v>
      </c>
      <c r="KNC38" s="133" t="s">
        <v>45</v>
      </c>
      <c r="KND38" s="134"/>
      <c r="KNE38" s="135"/>
      <c r="KNF38" s="125">
        <v>0</v>
      </c>
      <c r="KNG38" s="125">
        <v>40</v>
      </c>
      <c r="KNH38" s="127">
        <f>SUM(KNG38)</f>
        <v>40</v>
      </c>
      <c r="KNI38" s="129" t="s">
        <v>46</v>
      </c>
      <c r="KNJ38" s="131" t="s">
        <v>44</v>
      </c>
      <c r="KNK38" s="133" t="s">
        <v>45</v>
      </c>
      <c r="KNL38" s="134"/>
      <c r="KNM38" s="135"/>
      <c r="KNN38" s="125">
        <v>0</v>
      </c>
      <c r="KNO38" s="125">
        <v>40</v>
      </c>
      <c r="KNP38" s="127">
        <f>SUM(KNO38)</f>
        <v>40</v>
      </c>
      <c r="KNQ38" s="129" t="s">
        <v>46</v>
      </c>
      <c r="KNR38" s="131" t="s">
        <v>44</v>
      </c>
      <c r="KNS38" s="133" t="s">
        <v>45</v>
      </c>
      <c r="KNT38" s="134"/>
      <c r="KNU38" s="135"/>
      <c r="KNV38" s="125">
        <v>0</v>
      </c>
      <c r="KNW38" s="125">
        <v>40</v>
      </c>
      <c r="KNX38" s="127">
        <f>SUM(KNW38)</f>
        <v>40</v>
      </c>
      <c r="KNY38" s="129" t="s">
        <v>46</v>
      </c>
      <c r="KNZ38" s="131" t="s">
        <v>44</v>
      </c>
      <c r="KOA38" s="133" t="s">
        <v>45</v>
      </c>
      <c r="KOB38" s="134"/>
      <c r="KOC38" s="135"/>
      <c r="KOD38" s="125">
        <v>0</v>
      </c>
      <c r="KOE38" s="125">
        <v>40</v>
      </c>
      <c r="KOF38" s="127">
        <f>SUM(KOE38)</f>
        <v>40</v>
      </c>
      <c r="KOG38" s="129" t="s">
        <v>46</v>
      </c>
      <c r="KOH38" s="131" t="s">
        <v>44</v>
      </c>
      <c r="KOI38" s="133" t="s">
        <v>45</v>
      </c>
      <c r="KOJ38" s="134"/>
      <c r="KOK38" s="135"/>
      <c r="KOL38" s="125">
        <v>0</v>
      </c>
      <c r="KOM38" s="125">
        <v>40</v>
      </c>
      <c r="KON38" s="127">
        <f>SUM(KOM38)</f>
        <v>40</v>
      </c>
      <c r="KOO38" s="129" t="s">
        <v>46</v>
      </c>
      <c r="KOP38" s="131" t="s">
        <v>44</v>
      </c>
      <c r="KOQ38" s="133" t="s">
        <v>45</v>
      </c>
      <c r="KOR38" s="134"/>
      <c r="KOS38" s="135"/>
      <c r="KOT38" s="125">
        <v>0</v>
      </c>
      <c r="KOU38" s="125">
        <v>40</v>
      </c>
      <c r="KOV38" s="127">
        <f>SUM(KOU38)</f>
        <v>40</v>
      </c>
      <c r="KOW38" s="129" t="s">
        <v>46</v>
      </c>
      <c r="KOX38" s="131" t="s">
        <v>44</v>
      </c>
      <c r="KOY38" s="133" t="s">
        <v>45</v>
      </c>
      <c r="KOZ38" s="134"/>
      <c r="KPA38" s="135"/>
      <c r="KPB38" s="125">
        <v>0</v>
      </c>
      <c r="KPC38" s="125">
        <v>40</v>
      </c>
      <c r="KPD38" s="127">
        <f>SUM(KPC38)</f>
        <v>40</v>
      </c>
      <c r="KPE38" s="129" t="s">
        <v>46</v>
      </c>
      <c r="KPF38" s="131" t="s">
        <v>44</v>
      </c>
      <c r="KPG38" s="133" t="s">
        <v>45</v>
      </c>
      <c r="KPH38" s="134"/>
      <c r="KPI38" s="135"/>
      <c r="KPJ38" s="125">
        <v>0</v>
      </c>
      <c r="KPK38" s="125">
        <v>40</v>
      </c>
      <c r="KPL38" s="127">
        <f>SUM(KPK38)</f>
        <v>40</v>
      </c>
      <c r="KPM38" s="129" t="s">
        <v>46</v>
      </c>
      <c r="KPN38" s="131" t="s">
        <v>44</v>
      </c>
      <c r="KPO38" s="133" t="s">
        <v>45</v>
      </c>
      <c r="KPP38" s="134"/>
      <c r="KPQ38" s="135"/>
      <c r="KPR38" s="125">
        <v>0</v>
      </c>
      <c r="KPS38" s="125">
        <v>40</v>
      </c>
      <c r="KPT38" s="127">
        <f>SUM(KPS38)</f>
        <v>40</v>
      </c>
      <c r="KPU38" s="129" t="s">
        <v>46</v>
      </c>
      <c r="KPV38" s="131" t="s">
        <v>44</v>
      </c>
      <c r="KPW38" s="133" t="s">
        <v>45</v>
      </c>
      <c r="KPX38" s="134"/>
      <c r="KPY38" s="135"/>
      <c r="KPZ38" s="125">
        <v>0</v>
      </c>
      <c r="KQA38" s="125">
        <v>40</v>
      </c>
      <c r="KQB38" s="127">
        <f>SUM(KQA38)</f>
        <v>40</v>
      </c>
      <c r="KQC38" s="129" t="s">
        <v>46</v>
      </c>
      <c r="KQD38" s="131" t="s">
        <v>44</v>
      </c>
      <c r="KQE38" s="133" t="s">
        <v>45</v>
      </c>
      <c r="KQF38" s="134"/>
      <c r="KQG38" s="135"/>
      <c r="KQH38" s="125">
        <v>0</v>
      </c>
      <c r="KQI38" s="125">
        <v>40</v>
      </c>
      <c r="KQJ38" s="127">
        <f>SUM(KQI38)</f>
        <v>40</v>
      </c>
      <c r="KQK38" s="129" t="s">
        <v>46</v>
      </c>
      <c r="KQL38" s="131" t="s">
        <v>44</v>
      </c>
      <c r="KQM38" s="133" t="s">
        <v>45</v>
      </c>
      <c r="KQN38" s="134"/>
      <c r="KQO38" s="135"/>
      <c r="KQP38" s="125">
        <v>0</v>
      </c>
      <c r="KQQ38" s="125">
        <v>40</v>
      </c>
      <c r="KQR38" s="127">
        <f>SUM(KQQ38)</f>
        <v>40</v>
      </c>
      <c r="KQS38" s="129" t="s">
        <v>46</v>
      </c>
      <c r="KQT38" s="131" t="s">
        <v>44</v>
      </c>
      <c r="KQU38" s="133" t="s">
        <v>45</v>
      </c>
      <c r="KQV38" s="134"/>
      <c r="KQW38" s="135"/>
      <c r="KQX38" s="125">
        <v>0</v>
      </c>
      <c r="KQY38" s="125">
        <v>40</v>
      </c>
      <c r="KQZ38" s="127">
        <f>SUM(KQY38)</f>
        <v>40</v>
      </c>
      <c r="KRA38" s="129" t="s">
        <v>46</v>
      </c>
      <c r="KRB38" s="131" t="s">
        <v>44</v>
      </c>
      <c r="KRC38" s="133" t="s">
        <v>45</v>
      </c>
      <c r="KRD38" s="134"/>
      <c r="KRE38" s="135"/>
      <c r="KRF38" s="125">
        <v>0</v>
      </c>
      <c r="KRG38" s="125">
        <v>40</v>
      </c>
      <c r="KRH38" s="127">
        <f>SUM(KRG38)</f>
        <v>40</v>
      </c>
      <c r="KRI38" s="129" t="s">
        <v>46</v>
      </c>
      <c r="KRJ38" s="131" t="s">
        <v>44</v>
      </c>
      <c r="KRK38" s="133" t="s">
        <v>45</v>
      </c>
      <c r="KRL38" s="134"/>
      <c r="KRM38" s="135"/>
      <c r="KRN38" s="125">
        <v>0</v>
      </c>
      <c r="KRO38" s="125">
        <v>40</v>
      </c>
      <c r="KRP38" s="127">
        <f>SUM(KRO38)</f>
        <v>40</v>
      </c>
      <c r="KRQ38" s="129" t="s">
        <v>46</v>
      </c>
      <c r="KRR38" s="131" t="s">
        <v>44</v>
      </c>
      <c r="KRS38" s="133" t="s">
        <v>45</v>
      </c>
      <c r="KRT38" s="134"/>
      <c r="KRU38" s="135"/>
      <c r="KRV38" s="125">
        <v>0</v>
      </c>
      <c r="KRW38" s="125">
        <v>40</v>
      </c>
      <c r="KRX38" s="127">
        <f>SUM(KRW38)</f>
        <v>40</v>
      </c>
      <c r="KRY38" s="129" t="s">
        <v>46</v>
      </c>
      <c r="KRZ38" s="131" t="s">
        <v>44</v>
      </c>
      <c r="KSA38" s="133" t="s">
        <v>45</v>
      </c>
      <c r="KSB38" s="134"/>
      <c r="KSC38" s="135"/>
      <c r="KSD38" s="125">
        <v>0</v>
      </c>
      <c r="KSE38" s="125">
        <v>40</v>
      </c>
      <c r="KSF38" s="127">
        <f>SUM(KSE38)</f>
        <v>40</v>
      </c>
      <c r="KSG38" s="129" t="s">
        <v>46</v>
      </c>
      <c r="KSH38" s="131" t="s">
        <v>44</v>
      </c>
      <c r="KSI38" s="133" t="s">
        <v>45</v>
      </c>
      <c r="KSJ38" s="134"/>
      <c r="KSK38" s="135"/>
      <c r="KSL38" s="125">
        <v>0</v>
      </c>
      <c r="KSM38" s="125">
        <v>40</v>
      </c>
      <c r="KSN38" s="127">
        <f>SUM(KSM38)</f>
        <v>40</v>
      </c>
      <c r="KSO38" s="129" t="s">
        <v>46</v>
      </c>
      <c r="KSP38" s="131" t="s">
        <v>44</v>
      </c>
      <c r="KSQ38" s="133" t="s">
        <v>45</v>
      </c>
      <c r="KSR38" s="134"/>
      <c r="KSS38" s="135"/>
      <c r="KST38" s="125">
        <v>0</v>
      </c>
      <c r="KSU38" s="125">
        <v>40</v>
      </c>
      <c r="KSV38" s="127">
        <f>SUM(KSU38)</f>
        <v>40</v>
      </c>
      <c r="KSW38" s="129" t="s">
        <v>46</v>
      </c>
      <c r="KSX38" s="131" t="s">
        <v>44</v>
      </c>
      <c r="KSY38" s="133" t="s">
        <v>45</v>
      </c>
      <c r="KSZ38" s="134"/>
      <c r="KTA38" s="135"/>
      <c r="KTB38" s="125">
        <v>0</v>
      </c>
      <c r="KTC38" s="125">
        <v>40</v>
      </c>
      <c r="KTD38" s="127">
        <f>SUM(KTC38)</f>
        <v>40</v>
      </c>
      <c r="KTE38" s="129" t="s">
        <v>46</v>
      </c>
      <c r="KTF38" s="131" t="s">
        <v>44</v>
      </c>
      <c r="KTG38" s="133" t="s">
        <v>45</v>
      </c>
      <c r="KTH38" s="134"/>
      <c r="KTI38" s="135"/>
      <c r="KTJ38" s="125">
        <v>0</v>
      </c>
      <c r="KTK38" s="125">
        <v>40</v>
      </c>
      <c r="KTL38" s="127">
        <f>SUM(KTK38)</f>
        <v>40</v>
      </c>
      <c r="KTM38" s="129" t="s">
        <v>46</v>
      </c>
      <c r="KTN38" s="131" t="s">
        <v>44</v>
      </c>
      <c r="KTO38" s="133" t="s">
        <v>45</v>
      </c>
      <c r="KTP38" s="134"/>
      <c r="KTQ38" s="135"/>
      <c r="KTR38" s="125">
        <v>0</v>
      </c>
      <c r="KTS38" s="125">
        <v>40</v>
      </c>
      <c r="KTT38" s="127">
        <f>SUM(KTS38)</f>
        <v>40</v>
      </c>
      <c r="KTU38" s="129" t="s">
        <v>46</v>
      </c>
      <c r="KTV38" s="131" t="s">
        <v>44</v>
      </c>
      <c r="KTW38" s="133" t="s">
        <v>45</v>
      </c>
      <c r="KTX38" s="134"/>
      <c r="KTY38" s="135"/>
      <c r="KTZ38" s="125">
        <v>0</v>
      </c>
      <c r="KUA38" s="125">
        <v>40</v>
      </c>
      <c r="KUB38" s="127">
        <f>SUM(KUA38)</f>
        <v>40</v>
      </c>
      <c r="KUC38" s="129" t="s">
        <v>46</v>
      </c>
      <c r="KUD38" s="131" t="s">
        <v>44</v>
      </c>
      <c r="KUE38" s="133" t="s">
        <v>45</v>
      </c>
      <c r="KUF38" s="134"/>
      <c r="KUG38" s="135"/>
      <c r="KUH38" s="125">
        <v>0</v>
      </c>
      <c r="KUI38" s="125">
        <v>40</v>
      </c>
      <c r="KUJ38" s="127">
        <f>SUM(KUI38)</f>
        <v>40</v>
      </c>
      <c r="KUK38" s="129" t="s">
        <v>46</v>
      </c>
      <c r="KUL38" s="131" t="s">
        <v>44</v>
      </c>
      <c r="KUM38" s="133" t="s">
        <v>45</v>
      </c>
      <c r="KUN38" s="134"/>
      <c r="KUO38" s="135"/>
      <c r="KUP38" s="125">
        <v>0</v>
      </c>
      <c r="KUQ38" s="125">
        <v>40</v>
      </c>
      <c r="KUR38" s="127">
        <f>SUM(KUQ38)</f>
        <v>40</v>
      </c>
      <c r="KUS38" s="129" t="s">
        <v>46</v>
      </c>
      <c r="KUT38" s="131" t="s">
        <v>44</v>
      </c>
      <c r="KUU38" s="133" t="s">
        <v>45</v>
      </c>
      <c r="KUV38" s="134"/>
      <c r="KUW38" s="135"/>
      <c r="KUX38" s="125">
        <v>0</v>
      </c>
      <c r="KUY38" s="125">
        <v>40</v>
      </c>
      <c r="KUZ38" s="127">
        <f>SUM(KUY38)</f>
        <v>40</v>
      </c>
      <c r="KVA38" s="129" t="s">
        <v>46</v>
      </c>
      <c r="KVB38" s="131" t="s">
        <v>44</v>
      </c>
      <c r="KVC38" s="133" t="s">
        <v>45</v>
      </c>
      <c r="KVD38" s="134"/>
      <c r="KVE38" s="135"/>
      <c r="KVF38" s="125">
        <v>0</v>
      </c>
      <c r="KVG38" s="125">
        <v>40</v>
      </c>
      <c r="KVH38" s="127">
        <f>SUM(KVG38)</f>
        <v>40</v>
      </c>
      <c r="KVI38" s="129" t="s">
        <v>46</v>
      </c>
      <c r="KVJ38" s="131" t="s">
        <v>44</v>
      </c>
      <c r="KVK38" s="133" t="s">
        <v>45</v>
      </c>
      <c r="KVL38" s="134"/>
      <c r="KVM38" s="135"/>
      <c r="KVN38" s="125">
        <v>0</v>
      </c>
      <c r="KVO38" s="125">
        <v>40</v>
      </c>
      <c r="KVP38" s="127">
        <f>SUM(KVO38)</f>
        <v>40</v>
      </c>
      <c r="KVQ38" s="129" t="s">
        <v>46</v>
      </c>
      <c r="KVR38" s="131" t="s">
        <v>44</v>
      </c>
      <c r="KVS38" s="133" t="s">
        <v>45</v>
      </c>
      <c r="KVT38" s="134"/>
      <c r="KVU38" s="135"/>
      <c r="KVV38" s="125">
        <v>0</v>
      </c>
      <c r="KVW38" s="125">
        <v>40</v>
      </c>
      <c r="KVX38" s="127">
        <f>SUM(KVW38)</f>
        <v>40</v>
      </c>
      <c r="KVY38" s="129" t="s">
        <v>46</v>
      </c>
      <c r="KVZ38" s="131" t="s">
        <v>44</v>
      </c>
      <c r="KWA38" s="133" t="s">
        <v>45</v>
      </c>
      <c r="KWB38" s="134"/>
      <c r="KWC38" s="135"/>
      <c r="KWD38" s="125">
        <v>0</v>
      </c>
      <c r="KWE38" s="125">
        <v>40</v>
      </c>
      <c r="KWF38" s="127">
        <f>SUM(KWE38)</f>
        <v>40</v>
      </c>
      <c r="KWG38" s="129" t="s">
        <v>46</v>
      </c>
      <c r="KWH38" s="131" t="s">
        <v>44</v>
      </c>
      <c r="KWI38" s="133" t="s">
        <v>45</v>
      </c>
      <c r="KWJ38" s="134"/>
      <c r="KWK38" s="135"/>
      <c r="KWL38" s="125">
        <v>0</v>
      </c>
      <c r="KWM38" s="125">
        <v>40</v>
      </c>
      <c r="KWN38" s="127">
        <f>SUM(KWM38)</f>
        <v>40</v>
      </c>
      <c r="KWO38" s="129" t="s">
        <v>46</v>
      </c>
      <c r="KWP38" s="131" t="s">
        <v>44</v>
      </c>
      <c r="KWQ38" s="133" t="s">
        <v>45</v>
      </c>
      <c r="KWR38" s="134"/>
      <c r="KWS38" s="135"/>
      <c r="KWT38" s="125">
        <v>0</v>
      </c>
      <c r="KWU38" s="125">
        <v>40</v>
      </c>
      <c r="KWV38" s="127">
        <f>SUM(KWU38)</f>
        <v>40</v>
      </c>
      <c r="KWW38" s="129" t="s">
        <v>46</v>
      </c>
      <c r="KWX38" s="131" t="s">
        <v>44</v>
      </c>
      <c r="KWY38" s="133" t="s">
        <v>45</v>
      </c>
      <c r="KWZ38" s="134"/>
      <c r="KXA38" s="135"/>
      <c r="KXB38" s="125">
        <v>0</v>
      </c>
      <c r="KXC38" s="125">
        <v>40</v>
      </c>
      <c r="KXD38" s="127">
        <f>SUM(KXC38)</f>
        <v>40</v>
      </c>
      <c r="KXE38" s="129" t="s">
        <v>46</v>
      </c>
      <c r="KXF38" s="131" t="s">
        <v>44</v>
      </c>
      <c r="KXG38" s="133" t="s">
        <v>45</v>
      </c>
      <c r="KXH38" s="134"/>
      <c r="KXI38" s="135"/>
      <c r="KXJ38" s="125">
        <v>0</v>
      </c>
      <c r="KXK38" s="125">
        <v>40</v>
      </c>
      <c r="KXL38" s="127">
        <f>SUM(KXK38)</f>
        <v>40</v>
      </c>
      <c r="KXM38" s="129" t="s">
        <v>46</v>
      </c>
      <c r="KXN38" s="131" t="s">
        <v>44</v>
      </c>
      <c r="KXO38" s="133" t="s">
        <v>45</v>
      </c>
      <c r="KXP38" s="134"/>
      <c r="KXQ38" s="135"/>
      <c r="KXR38" s="125">
        <v>0</v>
      </c>
      <c r="KXS38" s="125">
        <v>40</v>
      </c>
      <c r="KXT38" s="127">
        <f>SUM(KXS38)</f>
        <v>40</v>
      </c>
      <c r="KXU38" s="129" t="s">
        <v>46</v>
      </c>
      <c r="KXV38" s="131" t="s">
        <v>44</v>
      </c>
      <c r="KXW38" s="133" t="s">
        <v>45</v>
      </c>
      <c r="KXX38" s="134"/>
      <c r="KXY38" s="135"/>
      <c r="KXZ38" s="125">
        <v>0</v>
      </c>
      <c r="KYA38" s="125">
        <v>40</v>
      </c>
      <c r="KYB38" s="127">
        <f>SUM(KYA38)</f>
        <v>40</v>
      </c>
      <c r="KYC38" s="129" t="s">
        <v>46</v>
      </c>
      <c r="KYD38" s="131" t="s">
        <v>44</v>
      </c>
      <c r="KYE38" s="133" t="s">
        <v>45</v>
      </c>
      <c r="KYF38" s="134"/>
      <c r="KYG38" s="135"/>
      <c r="KYH38" s="125">
        <v>0</v>
      </c>
      <c r="KYI38" s="125">
        <v>40</v>
      </c>
      <c r="KYJ38" s="127">
        <f>SUM(KYI38)</f>
        <v>40</v>
      </c>
      <c r="KYK38" s="129" t="s">
        <v>46</v>
      </c>
      <c r="KYL38" s="131" t="s">
        <v>44</v>
      </c>
      <c r="KYM38" s="133" t="s">
        <v>45</v>
      </c>
      <c r="KYN38" s="134"/>
      <c r="KYO38" s="135"/>
      <c r="KYP38" s="125">
        <v>0</v>
      </c>
      <c r="KYQ38" s="125">
        <v>40</v>
      </c>
      <c r="KYR38" s="127">
        <f>SUM(KYQ38)</f>
        <v>40</v>
      </c>
      <c r="KYS38" s="129" t="s">
        <v>46</v>
      </c>
      <c r="KYT38" s="131" t="s">
        <v>44</v>
      </c>
      <c r="KYU38" s="133" t="s">
        <v>45</v>
      </c>
      <c r="KYV38" s="134"/>
      <c r="KYW38" s="135"/>
      <c r="KYX38" s="125">
        <v>0</v>
      </c>
      <c r="KYY38" s="125">
        <v>40</v>
      </c>
      <c r="KYZ38" s="127">
        <f>SUM(KYY38)</f>
        <v>40</v>
      </c>
      <c r="KZA38" s="129" t="s">
        <v>46</v>
      </c>
      <c r="KZB38" s="131" t="s">
        <v>44</v>
      </c>
      <c r="KZC38" s="133" t="s">
        <v>45</v>
      </c>
      <c r="KZD38" s="134"/>
      <c r="KZE38" s="135"/>
      <c r="KZF38" s="125">
        <v>0</v>
      </c>
      <c r="KZG38" s="125">
        <v>40</v>
      </c>
      <c r="KZH38" s="127">
        <f>SUM(KZG38)</f>
        <v>40</v>
      </c>
      <c r="KZI38" s="129" t="s">
        <v>46</v>
      </c>
      <c r="KZJ38" s="131" t="s">
        <v>44</v>
      </c>
      <c r="KZK38" s="133" t="s">
        <v>45</v>
      </c>
      <c r="KZL38" s="134"/>
      <c r="KZM38" s="135"/>
      <c r="KZN38" s="125">
        <v>0</v>
      </c>
      <c r="KZO38" s="125">
        <v>40</v>
      </c>
      <c r="KZP38" s="127">
        <f>SUM(KZO38)</f>
        <v>40</v>
      </c>
      <c r="KZQ38" s="129" t="s">
        <v>46</v>
      </c>
      <c r="KZR38" s="131" t="s">
        <v>44</v>
      </c>
      <c r="KZS38" s="133" t="s">
        <v>45</v>
      </c>
      <c r="KZT38" s="134"/>
      <c r="KZU38" s="135"/>
      <c r="KZV38" s="125">
        <v>0</v>
      </c>
      <c r="KZW38" s="125">
        <v>40</v>
      </c>
      <c r="KZX38" s="127">
        <f>SUM(KZW38)</f>
        <v>40</v>
      </c>
      <c r="KZY38" s="129" t="s">
        <v>46</v>
      </c>
      <c r="KZZ38" s="131" t="s">
        <v>44</v>
      </c>
      <c r="LAA38" s="133" t="s">
        <v>45</v>
      </c>
      <c r="LAB38" s="134"/>
      <c r="LAC38" s="135"/>
      <c r="LAD38" s="125">
        <v>0</v>
      </c>
      <c r="LAE38" s="125">
        <v>40</v>
      </c>
      <c r="LAF38" s="127">
        <f>SUM(LAE38)</f>
        <v>40</v>
      </c>
      <c r="LAG38" s="129" t="s">
        <v>46</v>
      </c>
      <c r="LAH38" s="131" t="s">
        <v>44</v>
      </c>
      <c r="LAI38" s="133" t="s">
        <v>45</v>
      </c>
      <c r="LAJ38" s="134"/>
      <c r="LAK38" s="135"/>
      <c r="LAL38" s="125">
        <v>0</v>
      </c>
      <c r="LAM38" s="125">
        <v>40</v>
      </c>
      <c r="LAN38" s="127">
        <f>SUM(LAM38)</f>
        <v>40</v>
      </c>
      <c r="LAO38" s="129" t="s">
        <v>46</v>
      </c>
      <c r="LAP38" s="131" t="s">
        <v>44</v>
      </c>
      <c r="LAQ38" s="133" t="s">
        <v>45</v>
      </c>
      <c r="LAR38" s="134"/>
      <c r="LAS38" s="135"/>
      <c r="LAT38" s="125">
        <v>0</v>
      </c>
      <c r="LAU38" s="125">
        <v>40</v>
      </c>
      <c r="LAV38" s="127">
        <f>SUM(LAU38)</f>
        <v>40</v>
      </c>
      <c r="LAW38" s="129" t="s">
        <v>46</v>
      </c>
      <c r="LAX38" s="131" t="s">
        <v>44</v>
      </c>
      <c r="LAY38" s="133" t="s">
        <v>45</v>
      </c>
      <c r="LAZ38" s="134"/>
      <c r="LBA38" s="135"/>
      <c r="LBB38" s="125">
        <v>0</v>
      </c>
      <c r="LBC38" s="125">
        <v>40</v>
      </c>
      <c r="LBD38" s="127">
        <f>SUM(LBC38)</f>
        <v>40</v>
      </c>
      <c r="LBE38" s="129" t="s">
        <v>46</v>
      </c>
      <c r="LBF38" s="131" t="s">
        <v>44</v>
      </c>
      <c r="LBG38" s="133" t="s">
        <v>45</v>
      </c>
      <c r="LBH38" s="134"/>
      <c r="LBI38" s="135"/>
      <c r="LBJ38" s="125">
        <v>0</v>
      </c>
      <c r="LBK38" s="125">
        <v>40</v>
      </c>
      <c r="LBL38" s="127">
        <f>SUM(LBK38)</f>
        <v>40</v>
      </c>
      <c r="LBM38" s="129" t="s">
        <v>46</v>
      </c>
      <c r="LBN38" s="131" t="s">
        <v>44</v>
      </c>
      <c r="LBO38" s="133" t="s">
        <v>45</v>
      </c>
      <c r="LBP38" s="134"/>
      <c r="LBQ38" s="135"/>
      <c r="LBR38" s="125">
        <v>0</v>
      </c>
      <c r="LBS38" s="125">
        <v>40</v>
      </c>
      <c r="LBT38" s="127">
        <f>SUM(LBS38)</f>
        <v>40</v>
      </c>
      <c r="LBU38" s="129" t="s">
        <v>46</v>
      </c>
      <c r="LBV38" s="131" t="s">
        <v>44</v>
      </c>
      <c r="LBW38" s="133" t="s">
        <v>45</v>
      </c>
      <c r="LBX38" s="134"/>
      <c r="LBY38" s="135"/>
      <c r="LBZ38" s="125">
        <v>0</v>
      </c>
      <c r="LCA38" s="125">
        <v>40</v>
      </c>
      <c r="LCB38" s="127">
        <f>SUM(LCA38)</f>
        <v>40</v>
      </c>
      <c r="LCC38" s="129" t="s">
        <v>46</v>
      </c>
      <c r="LCD38" s="131" t="s">
        <v>44</v>
      </c>
      <c r="LCE38" s="133" t="s">
        <v>45</v>
      </c>
      <c r="LCF38" s="134"/>
      <c r="LCG38" s="135"/>
      <c r="LCH38" s="125">
        <v>0</v>
      </c>
      <c r="LCI38" s="125">
        <v>40</v>
      </c>
      <c r="LCJ38" s="127">
        <f>SUM(LCI38)</f>
        <v>40</v>
      </c>
      <c r="LCK38" s="129" t="s">
        <v>46</v>
      </c>
      <c r="LCL38" s="131" t="s">
        <v>44</v>
      </c>
      <c r="LCM38" s="133" t="s">
        <v>45</v>
      </c>
      <c r="LCN38" s="134"/>
      <c r="LCO38" s="135"/>
      <c r="LCP38" s="125">
        <v>0</v>
      </c>
      <c r="LCQ38" s="125">
        <v>40</v>
      </c>
      <c r="LCR38" s="127">
        <f>SUM(LCQ38)</f>
        <v>40</v>
      </c>
      <c r="LCS38" s="129" t="s">
        <v>46</v>
      </c>
      <c r="LCT38" s="131" t="s">
        <v>44</v>
      </c>
      <c r="LCU38" s="133" t="s">
        <v>45</v>
      </c>
      <c r="LCV38" s="134"/>
      <c r="LCW38" s="135"/>
      <c r="LCX38" s="125">
        <v>0</v>
      </c>
      <c r="LCY38" s="125">
        <v>40</v>
      </c>
      <c r="LCZ38" s="127">
        <f>SUM(LCY38)</f>
        <v>40</v>
      </c>
      <c r="LDA38" s="129" t="s">
        <v>46</v>
      </c>
      <c r="LDB38" s="131" t="s">
        <v>44</v>
      </c>
      <c r="LDC38" s="133" t="s">
        <v>45</v>
      </c>
      <c r="LDD38" s="134"/>
      <c r="LDE38" s="135"/>
      <c r="LDF38" s="125">
        <v>0</v>
      </c>
      <c r="LDG38" s="125">
        <v>40</v>
      </c>
      <c r="LDH38" s="127">
        <f>SUM(LDG38)</f>
        <v>40</v>
      </c>
      <c r="LDI38" s="129" t="s">
        <v>46</v>
      </c>
      <c r="LDJ38" s="131" t="s">
        <v>44</v>
      </c>
      <c r="LDK38" s="133" t="s">
        <v>45</v>
      </c>
      <c r="LDL38" s="134"/>
      <c r="LDM38" s="135"/>
      <c r="LDN38" s="125">
        <v>0</v>
      </c>
      <c r="LDO38" s="125">
        <v>40</v>
      </c>
      <c r="LDP38" s="127">
        <f>SUM(LDO38)</f>
        <v>40</v>
      </c>
      <c r="LDQ38" s="129" t="s">
        <v>46</v>
      </c>
      <c r="LDR38" s="131" t="s">
        <v>44</v>
      </c>
      <c r="LDS38" s="133" t="s">
        <v>45</v>
      </c>
      <c r="LDT38" s="134"/>
      <c r="LDU38" s="135"/>
      <c r="LDV38" s="125">
        <v>0</v>
      </c>
      <c r="LDW38" s="125">
        <v>40</v>
      </c>
      <c r="LDX38" s="127">
        <f>SUM(LDW38)</f>
        <v>40</v>
      </c>
      <c r="LDY38" s="129" t="s">
        <v>46</v>
      </c>
      <c r="LDZ38" s="131" t="s">
        <v>44</v>
      </c>
      <c r="LEA38" s="133" t="s">
        <v>45</v>
      </c>
      <c r="LEB38" s="134"/>
      <c r="LEC38" s="135"/>
      <c r="LED38" s="125">
        <v>0</v>
      </c>
      <c r="LEE38" s="125">
        <v>40</v>
      </c>
      <c r="LEF38" s="127">
        <f>SUM(LEE38)</f>
        <v>40</v>
      </c>
      <c r="LEG38" s="129" t="s">
        <v>46</v>
      </c>
      <c r="LEH38" s="131" t="s">
        <v>44</v>
      </c>
      <c r="LEI38" s="133" t="s">
        <v>45</v>
      </c>
      <c r="LEJ38" s="134"/>
      <c r="LEK38" s="135"/>
      <c r="LEL38" s="125">
        <v>0</v>
      </c>
      <c r="LEM38" s="125">
        <v>40</v>
      </c>
      <c r="LEN38" s="127">
        <f>SUM(LEM38)</f>
        <v>40</v>
      </c>
      <c r="LEO38" s="129" t="s">
        <v>46</v>
      </c>
      <c r="LEP38" s="131" t="s">
        <v>44</v>
      </c>
      <c r="LEQ38" s="133" t="s">
        <v>45</v>
      </c>
      <c r="LER38" s="134"/>
      <c r="LES38" s="135"/>
      <c r="LET38" s="125">
        <v>0</v>
      </c>
      <c r="LEU38" s="125">
        <v>40</v>
      </c>
      <c r="LEV38" s="127">
        <f>SUM(LEU38)</f>
        <v>40</v>
      </c>
      <c r="LEW38" s="129" t="s">
        <v>46</v>
      </c>
      <c r="LEX38" s="131" t="s">
        <v>44</v>
      </c>
      <c r="LEY38" s="133" t="s">
        <v>45</v>
      </c>
      <c r="LEZ38" s="134"/>
      <c r="LFA38" s="135"/>
      <c r="LFB38" s="125">
        <v>0</v>
      </c>
      <c r="LFC38" s="125">
        <v>40</v>
      </c>
      <c r="LFD38" s="127">
        <f>SUM(LFC38)</f>
        <v>40</v>
      </c>
      <c r="LFE38" s="129" t="s">
        <v>46</v>
      </c>
      <c r="LFF38" s="131" t="s">
        <v>44</v>
      </c>
      <c r="LFG38" s="133" t="s">
        <v>45</v>
      </c>
      <c r="LFH38" s="134"/>
      <c r="LFI38" s="135"/>
      <c r="LFJ38" s="125">
        <v>0</v>
      </c>
      <c r="LFK38" s="125">
        <v>40</v>
      </c>
      <c r="LFL38" s="127">
        <f>SUM(LFK38)</f>
        <v>40</v>
      </c>
      <c r="LFM38" s="129" t="s">
        <v>46</v>
      </c>
      <c r="LFN38" s="131" t="s">
        <v>44</v>
      </c>
      <c r="LFO38" s="133" t="s">
        <v>45</v>
      </c>
      <c r="LFP38" s="134"/>
      <c r="LFQ38" s="135"/>
      <c r="LFR38" s="125">
        <v>0</v>
      </c>
      <c r="LFS38" s="125">
        <v>40</v>
      </c>
      <c r="LFT38" s="127">
        <f>SUM(LFS38)</f>
        <v>40</v>
      </c>
      <c r="LFU38" s="129" t="s">
        <v>46</v>
      </c>
      <c r="LFV38" s="131" t="s">
        <v>44</v>
      </c>
      <c r="LFW38" s="133" t="s">
        <v>45</v>
      </c>
      <c r="LFX38" s="134"/>
      <c r="LFY38" s="135"/>
      <c r="LFZ38" s="125">
        <v>0</v>
      </c>
      <c r="LGA38" s="125">
        <v>40</v>
      </c>
      <c r="LGB38" s="127">
        <f>SUM(LGA38)</f>
        <v>40</v>
      </c>
      <c r="LGC38" s="129" t="s">
        <v>46</v>
      </c>
      <c r="LGD38" s="131" t="s">
        <v>44</v>
      </c>
      <c r="LGE38" s="133" t="s">
        <v>45</v>
      </c>
      <c r="LGF38" s="134"/>
      <c r="LGG38" s="135"/>
      <c r="LGH38" s="125">
        <v>0</v>
      </c>
      <c r="LGI38" s="125">
        <v>40</v>
      </c>
      <c r="LGJ38" s="127">
        <f>SUM(LGI38)</f>
        <v>40</v>
      </c>
      <c r="LGK38" s="129" t="s">
        <v>46</v>
      </c>
      <c r="LGL38" s="131" t="s">
        <v>44</v>
      </c>
      <c r="LGM38" s="133" t="s">
        <v>45</v>
      </c>
      <c r="LGN38" s="134"/>
      <c r="LGO38" s="135"/>
      <c r="LGP38" s="125">
        <v>0</v>
      </c>
      <c r="LGQ38" s="125">
        <v>40</v>
      </c>
      <c r="LGR38" s="127">
        <f>SUM(LGQ38)</f>
        <v>40</v>
      </c>
      <c r="LGS38" s="129" t="s">
        <v>46</v>
      </c>
      <c r="LGT38" s="131" t="s">
        <v>44</v>
      </c>
      <c r="LGU38" s="133" t="s">
        <v>45</v>
      </c>
      <c r="LGV38" s="134"/>
      <c r="LGW38" s="135"/>
      <c r="LGX38" s="125">
        <v>0</v>
      </c>
      <c r="LGY38" s="125">
        <v>40</v>
      </c>
      <c r="LGZ38" s="127">
        <f>SUM(LGY38)</f>
        <v>40</v>
      </c>
      <c r="LHA38" s="129" t="s">
        <v>46</v>
      </c>
      <c r="LHB38" s="131" t="s">
        <v>44</v>
      </c>
      <c r="LHC38" s="133" t="s">
        <v>45</v>
      </c>
      <c r="LHD38" s="134"/>
      <c r="LHE38" s="135"/>
      <c r="LHF38" s="125">
        <v>0</v>
      </c>
      <c r="LHG38" s="125">
        <v>40</v>
      </c>
      <c r="LHH38" s="127">
        <f>SUM(LHG38)</f>
        <v>40</v>
      </c>
      <c r="LHI38" s="129" t="s">
        <v>46</v>
      </c>
      <c r="LHJ38" s="131" t="s">
        <v>44</v>
      </c>
      <c r="LHK38" s="133" t="s">
        <v>45</v>
      </c>
      <c r="LHL38" s="134"/>
      <c r="LHM38" s="135"/>
      <c r="LHN38" s="125">
        <v>0</v>
      </c>
      <c r="LHO38" s="125">
        <v>40</v>
      </c>
      <c r="LHP38" s="127">
        <f>SUM(LHO38)</f>
        <v>40</v>
      </c>
      <c r="LHQ38" s="129" t="s">
        <v>46</v>
      </c>
      <c r="LHR38" s="131" t="s">
        <v>44</v>
      </c>
      <c r="LHS38" s="133" t="s">
        <v>45</v>
      </c>
      <c r="LHT38" s="134"/>
      <c r="LHU38" s="135"/>
      <c r="LHV38" s="125">
        <v>0</v>
      </c>
      <c r="LHW38" s="125">
        <v>40</v>
      </c>
      <c r="LHX38" s="127">
        <f>SUM(LHW38)</f>
        <v>40</v>
      </c>
      <c r="LHY38" s="129" t="s">
        <v>46</v>
      </c>
      <c r="LHZ38" s="131" t="s">
        <v>44</v>
      </c>
      <c r="LIA38" s="133" t="s">
        <v>45</v>
      </c>
      <c r="LIB38" s="134"/>
      <c r="LIC38" s="135"/>
      <c r="LID38" s="125">
        <v>0</v>
      </c>
      <c r="LIE38" s="125">
        <v>40</v>
      </c>
      <c r="LIF38" s="127">
        <f>SUM(LIE38)</f>
        <v>40</v>
      </c>
      <c r="LIG38" s="129" t="s">
        <v>46</v>
      </c>
      <c r="LIH38" s="131" t="s">
        <v>44</v>
      </c>
      <c r="LII38" s="133" t="s">
        <v>45</v>
      </c>
      <c r="LIJ38" s="134"/>
      <c r="LIK38" s="135"/>
      <c r="LIL38" s="125">
        <v>0</v>
      </c>
      <c r="LIM38" s="125">
        <v>40</v>
      </c>
      <c r="LIN38" s="127">
        <f>SUM(LIM38)</f>
        <v>40</v>
      </c>
      <c r="LIO38" s="129" t="s">
        <v>46</v>
      </c>
      <c r="LIP38" s="131" t="s">
        <v>44</v>
      </c>
      <c r="LIQ38" s="133" t="s">
        <v>45</v>
      </c>
      <c r="LIR38" s="134"/>
      <c r="LIS38" s="135"/>
      <c r="LIT38" s="125">
        <v>0</v>
      </c>
      <c r="LIU38" s="125">
        <v>40</v>
      </c>
      <c r="LIV38" s="127">
        <f>SUM(LIU38)</f>
        <v>40</v>
      </c>
      <c r="LIW38" s="129" t="s">
        <v>46</v>
      </c>
      <c r="LIX38" s="131" t="s">
        <v>44</v>
      </c>
      <c r="LIY38" s="133" t="s">
        <v>45</v>
      </c>
      <c r="LIZ38" s="134"/>
      <c r="LJA38" s="135"/>
      <c r="LJB38" s="125">
        <v>0</v>
      </c>
      <c r="LJC38" s="125">
        <v>40</v>
      </c>
      <c r="LJD38" s="127">
        <f>SUM(LJC38)</f>
        <v>40</v>
      </c>
      <c r="LJE38" s="129" t="s">
        <v>46</v>
      </c>
      <c r="LJF38" s="131" t="s">
        <v>44</v>
      </c>
      <c r="LJG38" s="133" t="s">
        <v>45</v>
      </c>
      <c r="LJH38" s="134"/>
      <c r="LJI38" s="135"/>
      <c r="LJJ38" s="125">
        <v>0</v>
      </c>
      <c r="LJK38" s="125">
        <v>40</v>
      </c>
      <c r="LJL38" s="127">
        <f>SUM(LJK38)</f>
        <v>40</v>
      </c>
      <c r="LJM38" s="129" t="s">
        <v>46</v>
      </c>
      <c r="LJN38" s="131" t="s">
        <v>44</v>
      </c>
      <c r="LJO38" s="133" t="s">
        <v>45</v>
      </c>
      <c r="LJP38" s="134"/>
      <c r="LJQ38" s="135"/>
      <c r="LJR38" s="125">
        <v>0</v>
      </c>
      <c r="LJS38" s="125">
        <v>40</v>
      </c>
      <c r="LJT38" s="127">
        <f>SUM(LJS38)</f>
        <v>40</v>
      </c>
      <c r="LJU38" s="129" t="s">
        <v>46</v>
      </c>
      <c r="LJV38" s="131" t="s">
        <v>44</v>
      </c>
      <c r="LJW38" s="133" t="s">
        <v>45</v>
      </c>
      <c r="LJX38" s="134"/>
      <c r="LJY38" s="135"/>
      <c r="LJZ38" s="125">
        <v>0</v>
      </c>
      <c r="LKA38" s="125">
        <v>40</v>
      </c>
      <c r="LKB38" s="127">
        <f>SUM(LKA38)</f>
        <v>40</v>
      </c>
      <c r="LKC38" s="129" t="s">
        <v>46</v>
      </c>
      <c r="LKD38" s="131" t="s">
        <v>44</v>
      </c>
      <c r="LKE38" s="133" t="s">
        <v>45</v>
      </c>
      <c r="LKF38" s="134"/>
      <c r="LKG38" s="135"/>
      <c r="LKH38" s="125">
        <v>0</v>
      </c>
      <c r="LKI38" s="125">
        <v>40</v>
      </c>
      <c r="LKJ38" s="127">
        <f>SUM(LKI38)</f>
        <v>40</v>
      </c>
      <c r="LKK38" s="129" t="s">
        <v>46</v>
      </c>
      <c r="LKL38" s="131" t="s">
        <v>44</v>
      </c>
      <c r="LKM38" s="133" t="s">
        <v>45</v>
      </c>
      <c r="LKN38" s="134"/>
      <c r="LKO38" s="135"/>
      <c r="LKP38" s="125">
        <v>0</v>
      </c>
      <c r="LKQ38" s="125">
        <v>40</v>
      </c>
      <c r="LKR38" s="127">
        <f>SUM(LKQ38)</f>
        <v>40</v>
      </c>
      <c r="LKS38" s="129" t="s">
        <v>46</v>
      </c>
      <c r="LKT38" s="131" t="s">
        <v>44</v>
      </c>
      <c r="LKU38" s="133" t="s">
        <v>45</v>
      </c>
      <c r="LKV38" s="134"/>
      <c r="LKW38" s="135"/>
      <c r="LKX38" s="125">
        <v>0</v>
      </c>
      <c r="LKY38" s="125">
        <v>40</v>
      </c>
      <c r="LKZ38" s="127">
        <f>SUM(LKY38)</f>
        <v>40</v>
      </c>
      <c r="LLA38" s="129" t="s">
        <v>46</v>
      </c>
      <c r="LLB38" s="131" t="s">
        <v>44</v>
      </c>
      <c r="LLC38" s="133" t="s">
        <v>45</v>
      </c>
      <c r="LLD38" s="134"/>
      <c r="LLE38" s="135"/>
      <c r="LLF38" s="125">
        <v>0</v>
      </c>
      <c r="LLG38" s="125">
        <v>40</v>
      </c>
      <c r="LLH38" s="127">
        <f>SUM(LLG38)</f>
        <v>40</v>
      </c>
      <c r="LLI38" s="129" t="s">
        <v>46</v>
      </c>
      <c r="LLJ38" s="131" t="s">
        <v>44</v>
      </c>
      <c r="LLK38" s="133" t="s">
        <v>45</v>
      </c>
      <c r="LLL38" s="134"/>
      <c r="LLM38" s="135"/>
      <c r="LLN38" s="125">
        <v>0</v>
      </c>
      <c r="LLO38" s="125">
        <v>40</v>
      </c>
      <c r="LLP38" s="127">
        <f>SUM(LLO38)</f>
        <v>40</v>
      </c>
      <c r="LLQ38" s="129" t="s">
        <v>46</v>
      </c>
      <c r="LLR38" s="131" t="s">
        <v>44</v>
      </c>
      <c r="LLS38" s="133" t="s">
        <v>45</v>
      </c>
      <c r="LLT38" s="134"/>
      <c r="LLU38" s="135"/>
      <c r="LLV38" s="125">
        <v>0</v>
      </c>
      <c r="LLW38" s="125">
        <v>40</v>
      </c>
      <c r="LLX38" s="127">
        <f>SUM(LLW38)</f>
        <v>40</v>
      </c>
      <c r="LLY38" s="129" t="s">
        <v>46</v>
      </c>
      <c r="LLZ38" s="131" t="s">
        <v>44</v>
      </c>
      <c r="LMA38" s="133" t="s">
        <v>45</v>
      </c>
      <c r="LMB38" s="134"/>
      <c r="LMC38" s="135"/>
      <c r="LMD38" s="125">
        <v>0</v>
      </c>
      <c r="LME38" s="125">
        <v>40</v>
      </c>
      <c r="LMF38" s="127">
        <f>SUM(LME38)</f>
        <v>40</v>
      </c>
      <c r="LMG38" s="129" t="s">
        <v>46</v>
      </c>
      <c r="LMH38" s="131" t="s">
        <v>44</v>
      </c>
      <c r="LMI38" s="133" t="s">
        <v>45</v>
      </c>
      <c r="LMJ38" s="134"/>
      <c r="LMK38" s="135"/>
      <c r="LML38" s="125">
        <v>0</v>
      </c>
      <c r="LMM38" s="125">
        <v>40</v>
      </c>
      <c r="LMN38" s="127">
        <f>SUM(LMM38)</f>
        <v>40</v>
      </c>
      <c r="LMO38" s="129" t="s">
        <v>46</v>
      </c>
      <c r="LMP38" s="131" t="s">
        <v>44</v>
      </c>
      <c r="LMQ38" s="133" t="s">
        <v>45</v>
      </c>
      <c r="LMR38" s="134"/>
      <c r="LMS38" s="135"/>
      <c r="LMT38" s="125">
        <v>0</v>
      </c>
      <c r="LMU38" s="125">
        <v>40</v>
      </c>
      <c r="LMV38" s="127">
        <f>SUM(LMU38)</f>
        <v>40</v>
      </c>
      <c r="LMW38" s="129" t="s">
        <v>46</v>
      </c>
      <c r="LMX38" s="131" t="s">
        <v>44</v>
      </c>
      <c r="LMY38" s="133" t="s">
        <v>45</v>
      </c>
      <c r="LMZ38" s="134"/>
      <c r="LNA38" s="135"/>
      <c r="LNB38" s="125">
        <v>0</v>
      </c>
      <c r="LNC38" s="125">
        <v>40</v>
      </c>
      <c r="LND38" s="127">
        <f>SUM(LNC38)</f>
        <v>40</v>
      </c>
      <c r="LNE38" s="129" t="s">
        <v>46</v>
      </c>
      <c r="LNF38" s="131" t="s">
        <v>44</v>
      </c>
      <c r="LNG38" s="133" t="s">
        <v>45</v>
      </c>
      <c r="LNH38" s="134"/>
      <c r="LNI38" s="135"/>
      <c r="LNJ38" s="125">
        <v>0</v>
      </c>
      <c r="LNK38" s="125">
        <v>40</v>
      </c>
      <c r="LNL38" s="127">
        <f>SUM(LNK38)</f>
        <v>40</v>
      </c>
      <c r="LNM38" s="129" t="s">
        <v>46</v>
      </c>
      <c r="LNN38" s="131" t="s">
        <v>44</v>
      </c>
      <c r="LNO38" s="133" t="s">
        <v>45</v>
      </c>
      <c r="LNP38" s="134"/>
      <c r="LNQ38" s="135"/>
      <c r="LNR38" s="125">
        <v>0</v>
      </c>
      <c r="LNS38" s="125">
        <v>40</v>
      </c>
      <c r="LNT38" s="127">
        <f>SUM(LNS38)</f>
        <v>40</v>
      </c>
      <c r="LNU38" s="129" t="s">
        <v>46</v>
      </c>
      <c r="LNV38" s="131" t="s">
        <v>44</v>
      </c>
      <c r="LNW38" s="133" t="s">
        <v>45</v>
      </c>
      <c r="LNX38" s="134"/>
      <c r="LNY38" s="135"/>
      <c r="LNZ38" s="125">
        <v>0</v>
      </c>
      <c r="LOA38" s="125">
        <v>40</v>
      </c>
      <c r="LOB38" s="127">
        <f>SUM(LOA38)</f>
        <v>40</v>
      </c>
      <c r="LOC38" s="129" t="s">
        <v>46</v>
      </c>
      <c r="LOD38" s="131" t="s">
        <v>44</v>
      </c>
      <c r="LOE38" s="133" t="s">
        <v>45</v>
      </c>
      <c r="LOF38" s="134"/>
      <c r="LOG38" s="135"/>
      <c r="LOH38" s="125">
        <v>0</v>
      </c>
      <c r="LOI38" s="125">
        <v>40</v>
      </c>
      <c r="LOJ38" s="127">
        <f>SUM(LOI38)</f>
        <v>40</v>
      </c>
      <c r="LOK38" s="129" t="s">
        <v>46</v>
      </c>
      <c r="LOL38" s="131" t="s">
        <v>44</v>
      </c>
      <c r="LOM38" s="133" t="s">
        <v>45</v>
      </c>
      <c r="LON38" s="134"/>
      <c r="LOO38" s="135"/>
      <c r="LOP38" s="125">
        <v>0</v>
      </c>
      <c r="LOQ38" s="125">
        <v>40</v>
      </c>
      <c r="LOR38" s="127">
        <f>SUM(LOQ38)</f>
        <v>40</v>
      </c>
      <c r="LOS38" s="129" t="s">
        <v>46</v>
      </c>
      <c r="LOT38" s="131" t="s">
        <v>44</v>
      </c>
      <c r="LOU38" s="133" t="s">
        <v>45</v>
      </c>
      <c r="LOV38" s="134"/>
      <c r="LOW38" s="135"/>
      <c r="LOX38" s="125">
        <v>0</v>
      </c>
      <c r="LOY38" s="125">
        <v>40</v>
      </c>
      <c r="LOZ38" s="127">
        <f>SUM(LOY38)</f>
        <v>40</v>
      </c>
      <c r="LPA38" s="129" t="s">
        <v>46</v>
      </c>
      <c r="LPB38" s="131" t="s">
        <v>44</v>
      </c>
      <c r="LPC38" s="133" t="s">
        <v>45</v>
      </c>
      <c r="LPD38" s="134"/>
      <c r="LPE38" s="135"/>
      <c r="LPF38" s="125">
        <v>0</v>
      </c>
      <c r="LPG38" s="125">
        <v>40</v>
      </c>
      <c r="LPH38" s="127">
        <f>SUM(LPG38)</f>
        <v>40</v>
      </c>
      <c r="LPI38" s="129" t="s">
        <v>46</v>
      </c>
      <c r="LPJ38" s="131" t="s">
        <v>44</v>
      </c>
      <c r="LPK38" s="133" t="s">
        <v>45</v>
      </c>
      <c r="LPL38" s="134"/>
      <c r="LPM38" s="135"/>
      <c r="LPN38" s="125">
        <v>0</v>
      </c>
      <c r="LPO38" s="125">
        <v>40</v>
      </c>
      <c r="LPP38" s="127">
        <f>SUM(LPO38)</f>
        <v>40</v>
      </c>
      <c r="LPQ38" s="129" t="s">
        <v>46</v>
      </c>
      <c r="LPR38" s="131" t="s">
        <v>44</v>
      </c>
      <c r="LPS38" s="133" t="s">
        <v>45</v>
      </c>
      <c r="LPT38" s="134"/>
      <c r="LPU38" s="135"/>
      <c r="LPV38" s="125">
        <v>0</v>
      </c>
      <c r="LPW38" s="125">
        <v>40</v>
      </c>
      <c r="LPX38" s="127">
        <f>SUM(LPW38)</f>
        <v>40</v>
      </c>
      <c r="LPY38" s="129" t="s">
        <v>46</v>
      </c>
      <c r="LPZ38" s="131" t="s">
        <v>44</v>
      </c>
      <c r="LQA38" s="133" t="s">
        <v>45</v>
      </c>
      <c r="LQB38" s="134"/>
      <c r="LQC38" s="135"/>
      <c r="LQD38" s="125">
        <v>0</v>
      </c>
      <c r="LQE38" s="125">
        <v>40</v>
      </c>
      <c r="LQF38" s="127">
        <f>SUM(LQE38)</f>
        <v>40</v>
      </c>
      <c r="LQG38" s="129" t="s">
        <v>46</v>
      </c>
      <c r="LQH38" s="131" t="s">
        <v>44</v>
      </c>
      <c r="LQI38" s="133" t="s">
        <v>45</v>
      </c>
      <c r="LQJ38" s="134"/>
      <c r="LQK38" s="135"/>
      <c r="LQL38" s="125">
        <v>0</v>
      </c>
      <c r="LQM38" s="125">
        <v>40</v>
      </c>
      <c r="LQN38" s="127">
        <f>SUM(LQM38)</f>
        <v>40</v>
      </c>
      <c r="LQO38" s="129" t="s">
        <v>46</v>
      </c>
      <c r="LQP38" s="131" t="s">
        <v>44</v>
      </c>
      <c r="LQQ38" s="133" t="s">
        <v>45</v>
      </c>
      <c r="LQR38" s="134"/>
      <c r="LQS38" s="135"/>
      <c r="LQT38" s="125">
        <v>0</v>
      </c>
      <c r="LQU38" s="125">
        <v>40</v>
      </c>
      <c r="LQV38" s="127">
        <f>SUM(LQU38)</f>
        <v>40</v>
      </c>
      <c r="LQW38" s="129" t="s">
        <v>46</v>
      </c>
      <c r="LQX38" s="131" t="s">
        <v>44</v>
      </c>
      <c r="LQY38" s="133" t="s">
        <v>45</v>
      </c>
      <c r="LQZ38" s="134"/>
      <c r="LRA38" s="135"/>
      <c r="LRB38" s="125">
        <v>0</v>
      </c>
      <c r="LRC38" s="125">
        <v>40</v>
      </c>
      <c r="LRD38" s="127">
        <f>SUM(LRC38)</f>
        <v>40</v>
      </c>
      <c r="LRE38" s="129" t="s">
        <v>46</v>
      </c>
      <c r="LRF38" s="131" t="s">
        <v>44</v>
      </c>
      <c r="LRG38" s="133" t="s">
        <v>45</v>
      </c>
      <c r="LRH38" s="134"/>
      <c r="LRI38" s="135"/>
      <c r="LRJ38" s="125">
        <v>0</v>
      </c>
      <c r="LRK38" s="125">
        <v>40</v>
      </c>
      <c r="LRL38" s="127">
        <f>SUM(LRK38)</f>
        <v>40</v>
      </c>
      <c r="LRM38" s="129" t="s">
        <v>46</v>
      </c>
      <c r="LRN38" s="131" t="s">
        <v>44</v>
      </c>
      <c r="LRO38" s="133" t="s">
        <v>45</v>
      </c>
      <c r="LRP38" s="134"/>
      <c r="LRQ38" s="135"/>
      <c r="LRR38" s="125">
        <v>0</v>
      </c>
      <c r="LRS38" s="125">
        <v>40</v>
      </c>
      <c r="LRT38" s="127">
        <f>SUM(LRS38)</f>
        <v>40</v>
      </c>
      <c r="LRU38" s="129" t="s">
        <v>46</v>
      </c>
      <c r="LRV38" s="131" t="s">
        <v>44</v>
      </c>
      <c r="LRW38" s="133" t="s">
        <v>45</v>
      </c>
      <c r="LRX38" s="134"/>
      <c r="LRY38" s="135"/>
      <c r="LRZ38" s="125">
        <v>0</v>
      </c>
      <c r="LSA38" s="125">
        <v>40</v>
      </c>
      <c r="LSB38" s="127">
        <f>SUM(LSA38)</f>
        <v>40</v>
      </c>
      <c r="LSC38" s="129" t="s">
        <v>46</v>
      </c>
      <c r="LSD38" s="131" t="s">
        <v>44</v>
      </c>
      <c r="LSE38" s="133" t="s">
        <v>45</v>
      </c>
      <c r="LSF38" s="134"/>
      <c r="LSG38" s="135"/>
      <c r="LSH38" s="125">
        <v>0</v>
      </c>
      <c r="LSI38" s="125">
        <v>40</v>
      </c>
      <c r="LSJ38" s="127">
        <f>SUM(LSI38)</f>
        <v>40</v>
      </c>
      <c r="LSK38" s="129" t="s">
        <v>46</v>
      </c>
      <c r="LSL38" s="131" t="s">
        <v>44</v>
      </c>
      <c r="LSM38" s="133" t="s">
        <v>45</v>
      </c>
      <c r="LSN38" s="134"/>
      <c r="LSO38" s="135"/>
      <c r="LSP38" s="125">
        <v>0</v>
      </c>
      <c r="LSQ38" s="125">
        <v>40</v>
      </c>
      <c r="LSR38" s="127">
        <f>SUM(LSQ38)</f>
        <v>40</v>
      </c>
      <c r="LSS38" s="129" t="s">
        <v>46</v>
      </c>
      <c r="LST38" s="131" t="s">
        <v>44</v>
      </c>
      <c r="LSU38" s="133" t="s">
        <v>45</v>
      </c>
      <c r="LSV38" s="134"/>
      <c r="LSW38" s="135"/>
      <c r="LSX38" s="125">
        <v>0</v>
      </c>
      <c r="LSY38" s="125">
        <v>40</v>
      </c>
      <c r="LSZ38" s="127">
        <f>SUM(LSY38)</f>
        <v>40</v>
      </c>
      <c r="LTA38" s="129" t="s">
        <v>46</v>
      </c>
      <c r="LTB38" s="131" t="s">
        <v>44</v>
      </c>
      <c r="LTC38" s="133" t="s">
        <v>45</v>
      </c>
      <c r="LTD38" s="134"/>
      <c r="LTE38" s="135"/>
      <c r="LTF38" s="125">
        <v>0</v>
      </c>
      <c r="LTG38" s="125">
        <v>40</v>
      </c>
      <c r="LTH38" s="127">
        <f>SUM(LTG38)</f>
        <v>40</v>
      </c>
      <c r="LTI38" s="129" t="s">
        <v>46</v>
      </c>
      <c r="LTJ38" s="131" t="s">
        <v>44</v>
      </c>
      <c r="LTK38" s="133" t="s">
        <v>45</v>
      </c>
      <c r="LTL38" s="134"/>
      <c r="LTM38" s="135"/>
      <c r="LTN38" s="125">
        <v>0</v>
      </c>
      <c r="LTO38" s="125">
        <v>40</v>
      </c>
      <c r="LTP38" s="127">
        <f>SUM(LTO38)</f>
        <v>40</v>
      </c>
      <c r="LTQ38" s="129" t="s">
        <v>46</v>
      </c>
      <c r="LTR38" s="131" t="s">
        <v>44</v>
      </c>
      <c r="LTS38" s="133" t="s">
        <v>45</v>
      </c>
      <c r="LTT38" s="134"/>
      <c r="LTU38" s="135"/>
      <c r="LTV38" s="125">
        <v>0</v>
      </c>
      <c r="LTW38" s="125">
        <v>40</v>
      </c>
      <c r="LTX38" s="127">
        <f>SUM(LTW38)</f>
        <v>40</v>
      </c>
      <c r="LTY38" s="129" t="s">
        <v>46</v>
      </c>
      <c r="LTZ38" s="131" t="s">
        <v>44</v>
      </c>
      <c r="LUA38" s="133" t="s">
        <v>45</v>
      </c>
      <c r="LUB38" s="134"/>
      <c r="LUC38" s="135"/>
      <c r="LUD38" s="125">
        <v>0</v>
      </c>
      <c r="LUE38" s="125">
        <v>40</v>
      </c>
      <c r="LUF38" s="127">
        <f>SUM(LUE38)</f>
        <v>40</v>
      </c>
      <c r="LUG38" s="129" t="s">
        <v>46</v>
      </c>
      <c r="LUH38" s="131" t="s">
        <v>44</v>
      </c>
      <c r="LUI38" s="133" t="s">
        <v>45</v>
      </c>
      <c r="LUJ38" s="134"/>
      <c r="LUK38" s="135"/>
      <c r="LUL38" s="125">
        <v>0</v>
      </c>
      <c r="LUM38" s="125">
        <v>40</v>
      </c>
      <c r="LUN38" s="127">
        <f>SUM(LUM38)</f>
        <v>40</v>
      </c>
      <c r="LUO38" s="129" t="s">
        <v>46</v>
      </c>
      <c r="LUP38" s="131" t="s">
        <v>44</v>
      </c>
      <c r="LUQ38" s="133" t="s">
        <v>45</v>
      </c>
      <c r="LUR38" s="134"/>
      <c r="LUS38" s="135"/>
      <c r="LUT38" s="125">
        <v>0</v>
      </c>
      <c r="LUU38" s="125">
        <v>40</v>
      </c>
      <c r="LUV38" s="127">
        <f>SUM(LUU38)</f>
        <v>40</v>
      </c>
      <c r="LUW38" s="129" t="s">
        <v>46</v>
      </c>
      <c r="LUX38" s="131" t="s">
        <v>44</v>
      </c>
      <c r="LUY38" s="133" t="s">
        <v>45</v>
      </c>
      <c r="LUZ38" s="134"/>
      <c r="LVA38" s="135"/>
      <c r="LVB38" s="125">
        <v>0</v>
      </c>
      <c r="LVC38" s="125">
        <v>40</v>
      </c>
      <c r="LVD38" s="127">
        <f>SUM(LVC38)</f>
        <v>40</v>
      </c>
      <c r="LVE38" s="129" t="s">
        <v>46</v>
      </c>
      <c r="LVF38" s="131" t="s">
        <v>44</v>
      </c>
      <c r="LVG38" s="133" t="s">
        <v>45</v>
      </c>
      <c r="LVH38" s="134"/>
      <c r="LVI38" s="135"/>
      <c r="LVJ38" s="125">
        <v>0</v>
      </c>
      <c r="LVK38" s="125">
        <v>40</v>
      </c>
      <c r="LVL38" s="127">
        <f>SUM(LVK38)</f>
        <v>40</v>
      </c>
      <c r="LVM38" s="129" t="s">
        <v>46</v>
      </c>
      <c r="LVN38" s="131" t="s">
        <v>44</v>
      </c>
      <c r="LVO38" s="133" t="s">
        <v>45</v>
      </c>
      <c r="LVP38" s="134"/>
      <c r="LVQ38" s="135"/>
      <c r="LVR38" s="125">
        <v>0</v>
      </c>
      <c r="LVS38" s="125">
        <v>40</v>
      </c>
      <c r="LVT38" s="127">
        <f>SUM(LVS38)</f>
        <v>40</v>
      </c>
      <c r="LVU38" s="129" t="s">
        <v>46</v>
      </c>
      <c r="LVV38" s="131" t="s">
        <v>44</v>
      </c>
      <c r="LVW38" s="133" t="s">
        <v>45</v>
      </c>
      <c r="LVX38" s="134"/>
      <c r="LVY38" s="135"/>
      <c r="LVZ38" s="125">
        <v>0</v>
      </c>
      <c r="LWA38" s="125">
        <v>40</v>
      </c>
      <c r="LWB38" s="127">
        <f>SUM(LWA38)</f>
        <v>40</v>
      </c>
      <c r="LWC38" s="129" t="s">
        <v>46</v>
      </c>
      <c r="LWD38" s="131" t="s">
        <v>44</v>
      </c>
      <c r="LWE38" s="133" t="s">
        <v>45</v>
      </c>
      <c r="LWF38" s="134"/>
      <c r="LWG38" s="135"/>
      <c r="LWH38" s="125">
        <v>0</v>
      </c>
      <c r="LWI38" s="125">
        <v>40</v>
      </c>
      <c r="LWJ38" s="127">
        <f>SUM(LWI38)</f>
        <v>40</v>
      </c>
      <c r="LWK38" s="129" t="s">
        <v>46</v>
      </c>
      <c r="LWL38" s="131" t="s">
        <v>44</v>
      </c>
      <c r="LWM38" s="133" t="s">
        <v>45</v>
      </c>
      <c r="LWN38" s="134"/>
      <c r="LWO38" s="135"/>
      <c r="LWP38" s="125">
        <v>0</v>
      </c>
      <c r="LWQ38" s="125">
        <v>40</v>
      </c>
      <c r="LWR38" s="127">
        <f>SUM(LWQ38)</f>
        <v>40</v>
      </c>
      <c r="LWS38" s="129" t="s">
        <v>46</v>
      </c>
      <c r="LWT38" s="131" t="s">
        <v>44</v>
      </c>
      <c r="LWU38" s="133" t="s">
        <v>45</v>
      </c>
      <c r="LWV38" s="134"/>
      <c r="LWW38" s="135"/>
      <c r="LWX38" s="125">
        <v>0</v>
      </c>
      <c r="LWY38" s="125">
        <v>40</v>
      </c>
      <c r="LWZ38" s="127">
        <f>SUM(LWY38)</f>
        <v>40</v>
      </c>
      <c r="LXA38" s="129" t="s">
        <v>46</v>
      </c>
      <c r="LXB38" s="131" t="s">
        <v>44</v>
      </c>
      <c r="LXC38" s="133" t="s">
        <v>45</v>
      </c>
      <c r="LXD38" s="134"/>
      <c r="LXE38" s="135"/>
      <c r="LXF38" s="125">
        <v>0</v>
      </c>
      <c r="LXG38" s="125">
        <v>40</v>
      </c>
      <c r="LXH38" s="127">
        <f>SUM(LXG38)</f>
        <v>40</v>
      </c>
      <c r="LXI38" s="129" t="s">
        <v>46</v>
      </c>
      <c r="LXJ38" s="131" t="s">
        <v>44</v>
      </c>
      <c r="LXK38" s="133" t="s">
        <v>45</v>
      </c>
      <c r="LXL38" s="134"/>
      <c r="LXM38" s="135"/>
      <c r="LXN38" s="125">
        <v>0</v>
      </c>
      <c r="LXO38" s="125">
        <v>40</v>
      </c>
      <c r="LXP38" s="127">
        <f>SUM(LXO38)</f>
        <v>40</v>
      </c>
      <c r="LXQ38" s="129" t="s">
        <v>46</v>
      </c>
      <c r="LXR38" s="131" t="s">
        <v>44</v>
      </c>
      <c r="LXS38" s="133" t="s">
        <v>45</v>
      </c>
      <c r="LXT38" s="134"/>
      <c r="LXU38" s="135"/>
      <c r="LXV38" s="125">
        <v>0</v>
      </c>
      <c r="LXW38" s="125">
        <v>40</v>
      </c>
      <c r="LXX38" s="127">
        <f>SUM(LXW38)</f>
        <v>40</v>
      </c>
      <c r="LXY38" s="129" t="s">
        <v>46</v>
      </c>
      <c r="LXZ38" s="131" t="s">
        <v>44</v>
      </c>
      <c r="LYA38" s="133" t="s">
        <v>45</v>
      </c>
      <c r="LYB38" s="134"/>
      <c r="LYC38" s="135"/>
      <c r="LYD38" s="125">
        <v>0</v>
      </c>
      <c r="LYE38" s="125">
        <v>40</v>
      </c>
      <c r="LYF38" s="127">
        <f>SUM(LYE38)</f>
        <v>40</v>
      </c>
      <c r="LYG38" s="129" t="s">
        <v>46</v>
      </c>
      <c r="LYH38" s="131" t="s">
        <v>44</v>
      </c>
      <c r="LYI38" s="133" t="s">
        <v>45</v>
      </c>
      <c r="LYJ38" s="134"/>
      <c r="LYK38" s="135"/>
      <c r="LYL38" s="125">
        <v>0</v>
      </c>
      <c r="LYM38" s="125">
        <v>40</v>
      </c>
      <c r="LYN38" s="127">
        <f>SUM(LYM38)</f>
        <v>40</v>
      </c>
      <c r="LYO38" s="129" t="s">
        <v>46</v>
      </c>
      <c r="LYP38" s="131" t="s">
        <v>44</v>
      </c>
      <c r="LYQ38" s="133" t="s">
        <v>45</v>
      </c>
      <c r="LYR38" s="134"/>
      <c r="LYS38" s="135"/>
      <c r="LYT38" s="125">
        <v>0</v>
      </c>
      <c r="LYU38" s="125">
        <v>40</v>
      </c>
      <c r="LYV38" s="127">
        <f>SUM(LYU38)</f>
        <v>40</v>
      </c>
      <c r="LYW38" s="129" t="s">
        <v>46</v>
      </c>
      <c r="LYX38" s="131" t="s">
        <v>44</v>
      </c>
      <c r="LYY38" s="133" t="s">
        <v>45</v>
      </c>
      <c r="LYZ38" s="134"/>
      <c r="LZA38" s="135"/>
      <c r="LZB38" s="125">
        <v>0</v>
      </c>
      <c r="LZC38" s="125">
        <v>40</v>
      </c>
      <c r="LZD38" s="127">
        <f>SUM(LZC38)</f>
        <v>40</v>
      </c>
      <c r="LZE38" s="129" t="s">
        <v>46</v>
      </c>
      <c r="LZF38" s="131" t="s">
        <v>44</v>
      </c>
      <c r="LZG38" s="133" t="s">
        <v>45</v>
      </c>
      <c r="LZH38" s="134"/>
      <c r="LZI38" s="135"/>
      <c r="LZJ38" s="125">
        <v>0</v>
      </c>
      <c r="LZK38" s="125">
        <v>40</v>
      </c>
      <c r="LZL38" s="127">
        <f>SUM(LZK38)</f>
        <v>40</v>
      </c>
      <c r="LZM38" s="129" t="s">
        <v>46</v>
      </c>
      <c r="LZN38" s="131" t="s">
        <v>44</v>
      </c>
      <c r="LZO38" s="133" t="s">
        <v>45</v>
      </c>
      <c r="LZP38" s="134"/>
      <c r="LZQ38" s="135"/>
      <c r="LZR38" s="125">
        <v>0</v>
      </c>
      <c r="LZS38" s="125">
        <v>40</v>
      </c>
      <c r="LZT38" s="127">
        <f>SUM(LZS38)</f>
        <v>40</v>
      </c>
      <c r="LZU38" s="129" t="s">
        <v>46</v>
      </c>
      <c r="LZV38" s="131" t="s">
        <v>44</v>
      </c>
      <c r="LZW38" s="133" t="s">
        <v>45</v>
      </c>
      <c r="LZX38" s="134"/>
      <c r="LZY38" s="135"/>
      <c r="LZZ38" s="125">
        <v>0</v>
      </c>
      <c r="MAA38" s="125">
        <v>40</v>
      </c>
      <c r="MAB38" s="127">
        <f>SUM(MAA38)</f>
        <v>40</v>
      </c>
      <c r="MAC38" s="129" t="s">
        <v>46</v>
      </c>
      <c r="MAD38" s="131" t="s">
        <v>44</v>
      </c>
      <c r="MAE38" s="133" t="s">
        <v>45</v>
      </c>
      <c r="MAF38" s="134"/>
      <c r="MAG38" s="135"/>
      <c r="MAH38" s="125">
        <v>0</v>
      </c>
      <c r="MAI38" s="125">
        <v>40</v>
      </c>
      <c r="MAJ38" s="127">
        <f>SUM(MAI38)</f>
        <v>40</v>
      </c>
      <c r="MAK38" s="129" t="s">
        <v>46</v>
      </c>
      <c r="MAL38" s="131" t="s">
        <v>44</v>
      </c>
      <c r="MAM38" s="133" t="s">
        <v>45</v>
      </c>
      <c r="MAN38" s="134"/>
      <c r="MAO38" s="135"/>
      <c r="MAP38" s="125">
        <v>0</v>
      </c>
      <c r="MAQ38" s="125">
        <v>40</v>
      </c>
      <c r="MAR38" s="127">
        <f>SUM(MAQ38)</f>
        <v>40</v>
      </c>
      <c r="MAS38" s="129" t="s">
        <v>46</v>
      </c>
      <c r="MAT38" s="131" t="s">
        <v>44</v>
      </c>
      <c r="MAU38" s="133" t="s">
        <v>45</v>
      </c>
      <c r="MAV38" s="134"/>
      <c r="MAW38" s="135"/>
      <c r="MAX38" s="125">
        <v>0</v>
      </c>
      <c r="MAY38" s="125">
        <v>40</v>
      </c>
      <c r="MAZ38" s="127">
        <f>SUM(MAY38)</f>
        <v>40</v>
      </c>
      <c r="MBA38" s="129" t="s">
        <v>46</v>
      </c>
      <c r="MBB38" s="131" t="s">
        <v>44</v>
      </c>
      <c r="MBC38" s="133" t="s">
        <v>45</v>
      </c>
      <c r="MBD38" s="134"/>
      <c r="MBE38" s="135"/>
      <c r="MBF38" s="125">
        <v>0</v>
      </c>
      <c r="MBG38" s="125">
        <v>40</v>
      </c>
      <c r="MBH38" s="127">
        <f>SUM(MBG38)</f>
        <v>40</v>
      </c>
      <c r="MBI38" s="129" t="s">
        <v>46</v>
      </c>
      <c r="MBJ38" s="131" t="s">
        <v>44</v>
      </c>
      <c r="MBK38" s="133" t="s">
        <v>45</v>
      </c>
      <c r="MBL38" s="134"/>
      <c r="MBM38" s="135"/>
      <c r="MBN38" s="125">
        <v>0</v>
      </c>
      <c r="MBO38" s="125">
        <v>40</v>
      </c>
      <c r="MBP38" s="127">
        <f>SUM(MBO38)</f>
        <v>40</v>
      </c>
      <c r="MBQ38" s="129" t="s">
        <v>46</v>
      </c>
      <c r="MBR38" s="131" t="s">
        <v>44</v>
      </c>
      <c r="MBS38" s="133" t="s">
        <v>45</v>
      </c>
      <c r="MBT38" s="134"/>
      <c r="MBU38" s="135"/>
      <c r="MBV38" s="125">
        <v>0</v>
      </c>
      <c r="MBW38" s="125">
        <v>40</v>
      </c>
      <c r="MBX38" s="127">
        <f>SUM(MBW38)</f>
        <v>40</v>
      </c>
      <c r="MBY38" s="129" t="s">
        <v>46</v>
      </c>
      <c r="MBZ38" s="131" t="s">
        <v>44</v>
      </c>
      <c r="MCA38" s="133" t="s">
        <v>45</v>
      </c>
      <c r="MCB38" s="134"/>
      <c r="MCC38" s="135"/>
      <c r="MCD38" s="125">
        <v>0</v>
      </c>
      <c r="MCE38" s="125">
        <v>40</v>
      </c>
      <c r="MCF38" s="127">
        <f>SUM(MCE38)</f>
        <v>40</v>
      </c>
      <c r="MCG38" s="129" t="s">
        <v>46</v>
      </c>
      <c r="MCH38" s="131" t="s">
        <v>44</v>
      </c>
      <c r="MCI38" s="133" t="s">
        <v>45</v>
      </c>
      <c r="MCJ38" s="134"/>
      <c r="MCK38" s="135"/>
      <c r="MCL38" s="125">
        <v>0</v>
      </c>
      <c r="MCM38" s="125">
        <v>40</v>
      </c>
      <c r="MCN38" s="127">
        <f>SUM(MCM38)</f>
        <v>40</v>
      </c>
      <c r="MCO38" s="129" t="s">
        <v>46</v>
      </c>
      <c r="MCP38" s="131" t="s">
        <v>44</v>
      </c>
      <c r="MCQ38" s="133" t="s">
        <v>45</v>
      </c>
      <c r="MCR38" s="134"/>
      <c r="MCS38" s="135"/>
      <c r="MCT38" s="125">
        <v>0</v>
      </c>
      <c r="MCU38" s="125">
        <v>40</v>
      </c>
      <c r="MCV38" s="127">
        <f>SUM(MCU38)</f>
        <v>40</v>
      </c>
      <c r="MCW38" s="129" t="s">
        <v>46</v>
      </c>
      <c r="MCX38" s="131" t="s">
        <v>44</v>
      </c>
      <c r="MCY38" s="133" t="s">
        <v>45</v>
      </c>
      <c r="MCZ38" s="134"/>
      <c r="MDA38" s="135"/>
      <c r="MDB38" s="125">
        <v>0</v>
      </c>
      <c r="MDC38" s="125">
        <v>40</v>
      </c>
      <c r="MDD38" s="127">
        <f>SUM(MDC38)</f>
        <v>40</v>
      </c>
      <c r="MDE38" s="129" t="s">
        <v>46</v>
      </c>
      <c r="MDF38" s="131" t="s">
        <v>44</v>
      </c>
      <c r="MDG38" s="133" t="s">
        <v>45</v>
      </c>
      <c r="MDH38" s="134"/>
      <c r="MDI38" s="135"/>
      <c r="MDJ38" s="125">
        <v>0</v>
      </c>
      <c r="MDK38" s="125">
        <v>40</v>
      </c>
      <c r="MDL38" s="127">
        <f>SUM(MDK38)</f>
        <v>40</v>
      </c>
      <c r="MDM38" s="129" t="s">
        <v>46</v>
      </c>
      <c r="MDN38" s="131" t="s">
        <v>44</v>
      </c>
      <c r="MDO38" s="133" t="s">
        <v>45</v>
      </c>
      <c r="MDP38" s="134"/>
      <c r="MDQ38" s="135"/>
      <c r="MDR38" s="125">
        <v>0</v>
      </c>
      <c r="MDS38" s="125">
        <v>40</v>
      </c>
      <c r="MDT38" s="127">
        <f>SUM(MDS38)</f>
        <v>40</v>
      </c>
      <c r="MDU38" s="129" t="s">
        <v>46</v>
      </c>
      <c r="MDV38" s="131" t="s">
        <v>44</v>
      </c>
      <c r="MDW38" s="133" t="s">
        <v>45</v>
      </c>
      <c r="MDX38" s="134"/>
      <c r="MDY38" s="135"/>
      <c r="MDZ38" s="125">
        <v>0</v>
      </c>
      <c r="MEA38" s="125">
        <v>40</v>
      </c>
      <c r="MEB38" s="127">
        <f>SUM(MEA38)</f>
        <v>40</v>
      </c>
      <c r="MEC38" s="129" t="s">
        <v>46</v>
      </c>
      <c r="MED38" s="131" t="s">
        <v>44</v>
      </c>
      <c r="MEE38" s="133" t="s">
        <v>45</v>
      </c>
      <c r="MEF38" s="134"/>
      <c r="MEG38" s="135"/>
      <c r="MEH38" s="125">
        <v>0</v>
      </c>
      <c r="MEI38" s="125">
        <v>40</v>
      </c>
      <c r="MEJ38" s="127">
        <f>SUM(MEI38)</f>
        <v>40</v>
      </c>
      <c r="MEK38" s="129" t="s">
        <v>46</v>
      </c>
      <c r="MEL38" s="131" t="s">
        <v>44</v>
      </c>
      <c r="MEM38" s="133" t="s">
        <v>45</v>
      </c>
      <c r="MEN38" s="134"/>
      <c r="MEO38" s="135"/>
      <c r="MEP38" s="125">
        <v>0</v>
      </c>
      <c r="MEQ38" s="125">
        <v>40</v>
      </c>
      <c r="MER38" s="127">
        <f>SUM(MEQ38)</f>
        <v>40</v>
      </c>
      <c r="MES38" s="129" t="s">
        <v>46</v>
      </c>
      <c r="MET38" s="131" t="s">
        <v>44</v>
      </c>
      <c r="MEU38" s="133" t="s">
        <v>45</v>
      </c>
      <c r="MEV38" s="134"/>
      <c r="MEW38" s="135"/>
      <c r="MEX38" s="125">
        <v>0</v>
      </c>
      <c r="MEY38" s="125">
        <v>40</v>
      </c>
      <c r="MEZ38" s="127">
        <f>SUM(MEY38)</f>
        <v>40</v>
      </c>
      <c r="MFA38" s="129" t="s">
        <v>46</v>
      </c>
      <c r="MFB38" s="131" t="s">
        <v>44</v>
      </c>
      <c r="MFC38" s="133" t="s">
        <v>45</v>
      </c>
      <c r="MFD38" s="134"/>
      <c r="MFE38" s="135"/>
      <c r="MFF38" s="125">
        <v>0</v>
      </c>
      <c r="MFG38" s="125">
        <v>40</v>
      </c>
      <c r="MFH38" s="127">
        <f>SUM(MFG38)</f>
        <v>40</v>
      </c>
      <c r="MFI38" s="129" t="s">
        <v>46</v>
      </c>
      <c r="MFJ38" s="131" t="s">
        <v>44</v>
      </c>
      <c r="MFK38" s="133" t="s">
        <v>45</v>
      </c>
      <c r="MFL38" s="134"/>
      <c r="MFM38" s="135"/>
      <c r="MFN38" s="125">
        <v>0</v>
      </c>
      <c r="MFO38" s="125">
        <v>40</v>
      </c>
      <c r="MFP38" s="127">
        <f>SUM(MFO38)</f>
        <v>40</v>
      </c>
      <c r="MFQ38" s="129" t="s">
        <v>46</v>
      </c>
      <c r="MFR38" s="131" t="s">
        <v>44</v>
      </c>
      <c r="MFS38" s="133" t="s">
        <v>45</v>
      </c>
      <c r="MFT38" s="134"/>
      <c r="MFU38" s="135"/>
      <c r="MFV38" s="125">
        <v>0</v>
      </c>
      <c r="MFW38" s="125">
        <v>40</v>
      </c>
      <c r="MFX38" s="127">
        <f>SUM(MFW38)</f>
        <v>40</v>
      </c>
      <c r="MFY38" s="129" t="s">
        <v>46</v>
      </c>
      <c r="MFZ38" s="131" t="s">
        <v>44</v>
      </c>
      <c r="MGA38" s="133" t="s">
        <v>45</v>
      </c>
      <c r="MGB38" s="134"/>
      <c r="MGC38" s="135"/>
      <c r="MGD38" s="125">
        <v>0</v>
      </c>
      <c r="MGE38" s="125">
        <v>40</v>
      </c>
      <c r="MGF38" s="127">
        <f>SUM(MGE38)</f>
        <v>40</v>
      </c>
      <c r="MGG38" s="129" t="s">
        <v>46</v>
      </c>
      <c r="MGH38" s="131" t="s">
        <v>44</v>
      </c>
      <c r="MGI38" s="133" t="s">
        <v>45</v>
      </c>
      <c r="MGJ38" s="134"/>
      <c r="MGK38" s="135"/>
      <c r="MGL38" s="125">
        <v>0</v>
      </c>
      <c r="MGM38" s="125">
        <v>40</v>
      </c>
      <c r="MGN38" s="127">
        <f>SUM(MGM38)</f>
        <v>40</v>
      </c>
      <c r="MGO38" s="129" t="s">
        <v>46</v>
      </c>
      <c r="MGP38" s="131" t="s">
        <v>44</v>
      </c>
      <c r="MGQ38" s="133" t="s">
        <v>45</v>
      </c>
      <c r="MGR38" s="134"/>
      <c r="MGS38" s="135"/>
      <c r="MGT38" s="125">
        <v>0</v>
      </c>
      <c r="MGU38" s="125">
        <v>40</v>
      </c>
      <c r="MGV38" s="127">
        <f>SUM(MGU38)</f>
        <v>40</v>
      </c>
      <c r="MGW38" s="129" t="s">
        <v>46</v>
      </c>
      <c r="MGX38" s="131" t="s">
        <v>44</v>
      </c>
      <c r="MGY38" s="133" t="s">
        <v>45</v>
      </c>
      <c r="MGZ38" s="134"/>
      <c r="MHA38" s="135"/>
      <c r="MHB38" s="125">
        <v>0</v>
      </c>
      <c r="MHC38" s="125">
        <v>40</v>
      </c>
      <c r="MHD38" s="127">
        <f>SUM(MHC38)</f>
        <v>40</v>
      </c>
      <c r="MHE38" s="129" t="s">
        <v>46</v>
      </c>
      <c r="MHF38" s="131" t="s">
        <v>44</v>
      </c>
      <c r="MHG38" s="133" t="s">
        <v>45</v>
      </c>
      <c r="MHH38" s="134"/>
      <c r="MHI38" s="135"/>
      <c r="MHJ38" s="125">
        <v>0</v>
      </c>
      <c r="MHK38" s="125">
        <v>40</v>
      </c>
      <c r="MHL38" s="127">
        <f>SUM(MHK38)</f>
        <v>40</v>
      </c>
      <c r="MHM38" s="129" t="s">
        <v>46</v>
      </c>
      <c r="MHN38" s="131" t="s">
        <v>44</v>
      </c>
      <c r="MHO38" s="133" t="s">
        <v>45</v>
      </c>
      <c r="MHP38" s="134"/>
      <c r="MHQ38" s="135"/>
      <c r="MHR38" s="125">
        <v>0</v>
      </c>
      <c r="MHS38" s="125">
        <v>40</v>
      </c>
      <c r="MHT38" s="127">
        <f>SUM(MHS38)</f>
        <v>40</v>
      </c>
      <c r="MHU38" s="129" t="s">
        <v>46</v>
      </c>
      <c r="MHV38" s="131" t="s">
        <v>44</v>
      </c>
      <c r="MHW38" s="133" t="s">
        <v>45</v>
      </c>
      <c r="MHX38" s="134"/>
      <c r="MHY38" s="135"/>
      <c r="MHZ38" s="125">
        <v>0</v>
      </c>
      <c r="MIA38" s="125">
        <v>40</v>
      </c>
      <c r="MIB38" s="127">
        <f>SUM(MIA38)</f>
        <v>40</v>
      </c>
      <c r="MIC38" s="129" t="s">
        <v>46</v>
      </c>
      <c r="MID38" s="131" t="s">
        <v>44</v>
      </c>
      <c r="MIE38" s="133" t="s">
        <v>45</v>
      </c>
      <c r="MIF38" s="134"/>
      <c r="MIG38" s="135"/>
      <c r="MIH38" s="125">
        <v>0</v>
      </c>
      <c r="MII38" s="125">
        <v>40</v>
      </c>
      <c r="MIJ38" s="127">
        <f>SUM(MII38)</f>
        <v>40</v>
      </c>
      <c r="MIK38" s="129" t="s">
        <v>46</v>
      </c>
      <c r="MIL38" s="131" t="s">
        <v>44</v>
      </c>
      <c r="MIM38" s="133" t="s">
        <v>45</v>
      </c>
      <c r="MIN38" s="134"/>
      <c r="MIO38" s="135"/>
      <c r="MIP38" s="125">
        <v>0</v>
      </c>
      <c r="MIQ38" s="125">
        <v>40</v>
      </c>
      <c r="MIR38" s="127">
        <f>SUM(MIQ38)</f>
        <v>40</v>
      </c>
      <c r="MIS38" s="129" t="s">
        <v>46</v>
      </c>
      <c r="MIT38" s="131" t="s">
        <v>44</v>
      </c>
      <c r="MIU38" s="133" t="s">
        <v>45</v>
      </c>
      <c r="MIV38" s="134"/>
      <c r="MIW38" s="135"/>
      <c r="MIX38" s="125">
        <v>0</v>
      </c>
      <c r="MIY38" s="125">
        <v>40</v>
      </c>
      <c r="MIZ38" s="127">
        <f>SUM(MIY38)</f>
        <v>40</v>
      </c>
      <c r="MJA38" s="129" t="s">
        <v>46</v>
      </c>
      <c r="MJB38" s="131" t="s">
        <v>44</v>
      </c>
      <c r="MJC38" s="133" t="s">
        <v>45</v>
      </c>
      <c r="MJD38" s="134"/>
      <c r="MJE38" s="135"/>
      <c r="MJF38" s="125">
        <v>0</v>
      </c>
      <c r="MJG38" s="125">
        <v>40</v>
      </c>
      <c r="MJH38" s="127">
        <f>SUM(MJG38)</f>
        <v>40</v>
      </c>
      <c r="MJI38" s="129" t="s">
        <v>46</v>
      </c>
      <c r="MJJ38" s="131" t="s">
        <v>44</v>
      </c>
      <c r="MJK38" s="133" t="s">
        <v>45</v>
      </c>
      <c r="MJL38" s="134"/>
      <c r="MJM38" s="135"/>
      <c r="MJN38" s="125">
        <v>0</v>
      </c>
      <c r="MJO38" s="125">
        <v>40</v>
      </c>
      <c r="MJP38" s="127">
        <f>SUM(MJO38)</f>
        <v>40</v>
      </c>
      <c r="MJQ38" s="129" t="s">
        <v>46</v>
      </c>
      <c r="MJR38" s="131" t="s">
        <v>44</v>
      </c>
      <c r="MJS38" s="133" t="s">
        <v>45</v>
      </c>
      <c r="MJT38" s="134"/>
      <c r="MJU38" s="135"/>
      <c r="MJV38" s="125">
        <v>0</v>
      </c>
      <c r="MJW38" s="125">
        <v>40</v>
      </c>
      <c r="MJX38" s="127">
        <f>SUM(MJW38)</f>
        <v>40</v>
      </c>
      <c r="MJY38" s="129" t="s">
        <v>46</v>
      </c>
      <c r="MJZ38" s="131" t="s">
        <v>44</v>
      </c>
      <c r="MKA38" s="133" t="s">
        <v>45</v>
      </c>
      <c r="MKB38" s="134"/>
      <c r="MKC38" s="135"/>
      <c r="MKD38" s="125">
        <v>0</v>
      </c>
      <c r="MKE38" s="125">
        <v>40</v>
      </c>
      <c r="MKF38" s="127">
        <f>SUM(MKE38)</f>
        <v>40</v>
      </c>
      <c r="MKG38" s="129" t="s">
        <v>46</v>
      </c>
      <c r="MKH38" s="131" t="s">
        <v>44</v>
      </c>
      <c r="MKI38" s="133" t="s">
        <v>45</v>
      </c>
      <c r="MKJ38" s="134"/>
      <c r="MKK38" s="135"/>
      <c r="MKL38" s="125">
        <v>0</v>
      </c>
      <c r="MKM38" s="125">
        <v>40</v>
      </c>
      <c r="MKN38" s="127">
        <f>SUM(MKM38)</f>
        <v>40</v>
      </c>
      <c r="MKO38" s="129" t="s">
        <v>46</v>
      </c>
      <c r="MKP38" s="131" t="s">
        <v>44</v>
      </c>
      <c r="MKQ38" s="133" t="s">
        <v>45</v>
      </c>
      <c r="MKR38" s="134"/>
      <c r="MKS38" s="135"/>
      <c r="MKT38" s="125">
        <v>0</v>
      </c>
      <c r="MKU38" s="125">
        <v>40</v>
      </c>
      <c r="MKV38" s="127">
        <f>SUM(MKU38)</f>
        <v>40</v>
      </c>
      <c r="MKW38" s="129" t="s">
        <v>46</v>
      </c>
      <c r="MKX38" s="131" t="s">
        <v>44</v>
      </c>
      <c r="MKY38" s="133" t="s">
        <v>45</v>
      </c>
      <c r="MKZ38" s="134"/>
      <c r="MLA38" s="135"/>
      <c r="MLB38" s="125">
        <v>0</v>
      </c>
      <c r="MLC38" s="125">
        <v>40</v>
      </c>
      <c r="MLD38" s="127">
        <f>SUM(MLC38)</f>
        <v>40</v>
      </c>
      <c r="MLE38" s="129" t="s">
        <v>46</v>
      </c>
      <c r="MLF38" s="131" t="s">
        <v>44</v>
      </c>
      <c r="MLG38" s="133" t="s">
        <v>45</v>
      </c>
      <c r="MLH38" s="134"/>
      <c r="MLI38" s="135"/>
      <c r="MLJ38" s="125">
        <v>0</v>
      </c>
      <c r="MLK38" s="125">
        <v>40</v>
      </c>
      <c r="MLL38" s="127">
        <f>SUM(MLK38)</f>
        <v>40</v>
      </c>
      <c r="MLM38" s="129" t="s">
        <v>46</v>
      </c>
      <c r="MLN38" s="131" t="s">
        <v>44</v>
      </c>
      <c r="MLO38" s="133" t="s">
        <v>45</v>
      </c>
      <c r="MLP38" s="134"/>
      <c r="MLQ38" s="135"/>
      <c r="MLR38" s="125">
        <v>0</v>
      </c>
      <c r="MLS38" s="125">
        <v>40</v>
      </c>
      <c r="MLT38" s="127">
        <f>SUM(MLS38)</f>
        <v>40</v>
      </c>
      <c r="MLU38" s="129" t="s">
        <v>46</v>
      </c>
      <c r="MLV38" s="131" t="s">
        <v>44</v>
      </c>
      <c r="MLW38" s="133" t="s">
        <v>45</v>
      </c>
      <c r="MLX38" s="134"/>
      <c r="MLY38" s="135"/>
      <c r="MLZ38" s="125">
        <v>0</v>
      </c>
      <c r="MMA38" s="125">
        <v>40</v>
      </c>
      <c r="MMB38" s="127">
        <f>SUM(MMA38)</f>
        <v>40</v>
      </c>
      <c r="MMC38" s="129" t="s">
        <v>46</v>
      </c>
      <c r="MMD38" s="131" t="s">
        <v>44</v>
      </c>
      <c r="MME38" s="133" t="s">
        <v>45</v>
      </c>
      <c r="MMF38" s="134"/>
      <c r="MMG38" s="135"/>
      <c r="MMH38" s="125">
        <v>0</v>
      </c>
      <c r="MMI38" s="125">
        <v>40</v>
      </c>
      <c r="MMJ38" s="127">
        <f>SUM(MMI38)</f>
        <v>40</v>
      </c>
      <c r="MMK38" s="129" t="s">
        <v>46</v>
      </c>
      <c r="MML38" s="131" t="s">
        <v>44</v>
      </c>
      <c r="MMM38" s="133" t="s">
        <v>45</v>
      </c>
      <c r="MMN38" s="134"/>
      <c r="MMO38" s="135"/>
      <c r="MMP38" s="125">
        <v>0</v>
      </c>
      <c r="MMQ38" s="125">
        <v>40</v>
      </c>
      <c r="MMR38" s="127">
        <f>SUM(MMQ38)</f>
        <v>40</v>
      </c>
      <c r="MMS38" s="129" t="s">
        <v>46</v>
      </c>
      <c r="MMT38" s="131" t="s">
        <v>44</v>
      </c>
      <c r="MMU38" s="133" t="s">
        <v>45</v>
      </c>
      <c r="MMV38" s="134"/>
      <c r="MMW38" s="135"/>
      <c r="MMX38" s="125">
        <v>0</v>
      </c>
      <c r="MMY38" s="125">
        <v>40</v>
      </c>
      <c r="MMZ38" s="127">
        <f>SUM(MMY38)</f>
        <v>40</v>
      </c>
      <c r="MNA38" s="129" t="s">
        <v>46</v>
      </c>
      <c r="MNB38" s="131" t="s">
        <v>44</v>
      </c>
      <c r="MNC38" s="133" t="s">
        <v>45</v>
      </c>
      <c r="MND38" s="134"/>
      <c r="MNE38" s="135"/>
      <c r="MNF38" s="125">
        <v>0</v>
      </c>
      <c r="MNG38" s="125">
        <v>40</v>
      </c>
      <c r="MNH38" s="127">
        <f>SUM(MNG38)</f>
        <v>40</v>
      </c>
      <c r="MNI38" s="129" t="s">
        <v>46</v>
      </c>
      <c r="MNJ38" s="131" t="s">
        <v>44</v>
      </c>
      <c r="MNK38" s="133" t="s">
        <v>45</v>
      </c>
      <c r="MNL38" s="134"/>
      <c r="MNM38" s="135"/>
      <c r="MNN38" s="125">
        <v>0</v>
      </c>
      <c r="MNO38" s="125">
        <v>40</v>
      </c>
      <c r="MNP38" s="127">
        <f>SUM(MNO38)</f>
        <v>40</v>
      </c>
      <c r="MNQ38" s="129" t="s">
        <v>46</v>
      </c>
      <c r="MNR38" s="131" t="s">
        <v>44</v>
      </c>
      <c r="MNS38" s="133" t="s">
        <v>45</v>
      </c>
      <c r="MNT38" s="134"/>
      <c r="MNU38" s="135"/>
      <c r="MNV38" s="125">
        <v>0</v>
      </c>
      <c r="MNW38" s="125">
        <v>40</v>
      </c>
      <c r="MNX38" s="127">
        <f>SUM(MNW38)</f>
        <v>40</v>
      </c>
      <c r="MNY38" s="129" t="s">
        <v>46</v>
      </c>
      <c r="MNZ38" s="131" t="s">
        <v>44</v>
      </c>
      <c r="MOA38" s="133" t="s">
        <v>45</v>
      </c>
      <c r="MOB38" s="134"/>
      <c r="MOC38" s="135"/>
      <c r="MOD38" s="125">
        <v>0</v>
      </c>
      <c r="MOE38" s="125">
        <v>40</v>
      </c>
      <c r="MOF38" s="127">
        <f>SUM(MOE38)</f>
        <v>40</v>
      </c>
      <c r="MOG38" s="129" t="s">
        <v>46</v>
      </c>
      <c r="MOH38" s="131" t="s">
        <v>44</v>
      </c>
      <c r="MOI38" s="133" t="s">
        <v>45</v>
      </c>
      <c r="MOJ38" s="134"/>
      <c r="MOK38" s="135"/>
      <c r="MOL38" s="125">
        <v>0</v>
      </c>
      <c r="MOM38" s="125">
        <v>40</v>
      </c>
      <c r="MON38" s="127">
        <f>SUM(MOM38)</f>
        <v>40</v>
      </c>
      <c r="MOO38" s="129" t="s">
        <v>46</v>
      </c>
      <c r="MOP38" s="131" t="s">
        <v>44</v>
      </c>
      <c r="MOQ38" s="133" t="s">
        <v>45</v>
      </c>
      <c r="MOR38" s="134"/>
      <c r="MOS38" s="135"/>
      <c r="MOT38" s="125">
        <v>0</v>
      </c>
      <c r="MOU38" s="125">
        <v>40</v>
      </c>
      <c r="MOV38" s="127">
        <f>SUM(MOU38)</f>
        <v>40</v>
      </c>
      <c r="MOW38" s="129" t="s">
        <v>46</v>
      </c>
      <c r="MOX38" s="131" t="s">
        <v>44</v>
      </c>
      <c r="MOY38" s="133" t="s">
        <v>45</v>
      </c>
      <c r="MOZ38" s="134"/>
      <c r="MPA38" s="135"/>
      <c r="MPB38" s="125">
        <v>0</v>
      </c>
      <c r="MPC38" s="125">
        <v>40</v>
      </c>
      <c r="MPD38" s="127">
        <f>SUM(MPC38)</f>
        <v>40</v>
      </c>
      <c r="MPE38" s="129" t="s">
        <v>46</v>
      </c>
      <c r="MPF38" s="131" t="s">
        <v>44</v>
      </c>
      <c r="MPG38" s="133" t="s">
        <v>45</v>
      </c>
      <c r="MPH38" s="134"/>
      <c r="MPI38" s="135"/>
      <c r="MPJ38" s="125">
        <v>0</v>
      </c>
      <c r="MPK38" s="125">
        <v>40</v>
      </c>
      <c r="MPL38" s="127">
        <f>SUM(MPK38)</f>
        <v>40</v>
      </c>
      <c r="MPM38" s="129" t="s">
        <v>46</v>
      </c>
      <c r="MPN38" s="131" t="s">
        <v>44</v>
      </c>
      <c r="MPO38" s="133" t="s">
        <v>45</v>
      </c>
      <c r="MPP38" s="134"/>
      <c r="MPQ38" s="135"/>
      <c r="MPR38" s="125">
        <v>0</v>
      </c>
      <c r="MPS38" s="125">
        <v>40</v>
      </c>
      <c r="MPT38" s="127">
        <f>SUM(MPS38)</f>
        <v>40</v>
      </c>
      <c r="MPU38" s="129" t="s">
        <v>46</v>
      </c>
      <c r="MPV38" s="131" t="s">
        <v>44</v>
      </c>
      <c r="MPW38" s="133" t="s">
        <v>45</v>
      </c>
      <c r="MPX38" s="134"/>
      <c r="MPY38" s="135"/>
      <c r="MPZ38" s="125">
        <v>0</v>
      </c>
      <c r="MQA38" s="125">
        <v>40</v>
      </c>
      <c r="MQB38" s="127">
        <f>SUM(MQA38)</f>
        <v>40</v>
      </c>
      <c r="MQC38" s="129" t="s">
        <v>46</v>
      </c>
      <c r="MQD38" s="131" t="s">
        <v>44</v>
      </c>
      <c r="MQE38" s="133" t="s">
        <v>45</v>
      </c>
      <c r="MQF38" s="134"/>
      <c r="MQG38" s="135"/>
      <c r="MQH38" s="125">
        <v>0</v>
      </c>
      <c r="MQI38" s="125">
        <v>40</v>
      </c>
      <c r="MQJ38" s="127">
        <f>SUM(MQI38)</f>
        <v>40</v>
      </c>
      <c r="MQK38" s="129" t="s">
        <v>46</v>
      </c>
      <c r="MQL38" s="131" t="s">
        <v>44</v>
      </c>
      <c r="MQM38" s="133" t="s">
        <v>45</v>
      </c>
      <c r="MQN38" s="134"/>
      <c r="MQO38" s="135"/>
      <c r="MQP38" s="125">
        <v>0</v>
      </c>
      <c r="MQQ38" s="125">
        <v>40</v>
      </c>
      <c r="MQR38" s="127">
        <f>SUM(MQQ38)</f>
        <v>40</v>
      </c>
      <c r="MQS38" s="129" t="s">
        <v>46</v>
      </c>
      <c r="MQT38" s="131" t="s">
        <v>44</v>
      </c>
      <c r="MQU38" s="133" t="s">
        <v>45</v>
      </c>
      <c r="MQV38" s="134"/>
      <c r="MQW38" s="135"/>
      <c r="MQX38" s="125">
        <v>0</v>
      </c>
      <c r="MQY38" s="125">
        <v>40</v>
      </c>
      <c r="MQZ38" s="127">
        <f>SUM(MQY38)</f>
        <v>40</v>
      </c>
      <c r="MRA38" s="129" t="s">
        <v>46</v>
      </c>
      <c r="MRB38" s="131" t="s">
        <v>44</v>
      </c>
      <c r="MRC38" s="133" t="s">
        <v>45</v>
      </c>
      <c r="MRD38" s="134"/>
      <c r="MRE38" s="135"/>
      <c r="MRF38" s="125">
        <v>0</v>
      </c>
      <c r="MRG38" s="125">
        <v>40</v>
      </c>
      <c r="MRH38" s="127">
        <f>SUM(MRG38)</f>
        <v>40</v>
      </c>
      <c r="MRI38" s="129" t="s">
        <v>46</v>
      </c>
      <c r="MRJ38" s="131" t="s">
        <v>44</v>
      </c>
      <c r="MRK38" s="133" t="s">
        <v>45</v>
      </c>
      <c r="MRL38" s="134"/>
      <c r="MRM38" s="135"/>
      <c r="MRN38" s="125">
        <v>0</v>
      </c>
      <c r="MRO38" s="125">
        <v>40</v>
      </c>
      <c r="MRP38" s="127">
        <f>SUM(MRO38)</f>
        <v>40</v>
      </c>
      <c r="MRQ38" s="129" t="s">
        <v>46</v>
      </c>
      <c r="MRR38" s="131" t="s">
        <v>44</v>
      </c>
      <c r="MRS38" s="133" t="s">
        <v>45</v>
      </c>
      <c r="MRT38" s="134"/>
      <c r="MRU38" s="135"/>
      <c r="MRV38" s="125">
        <v>0</v>
      </c>
      <c r="MRW38" s="125">
        <v>40</v>
      </c>
      <c r="MRX38" s="127">
        <f>SUM(MRW38)</f>
        <v>40</v>
      </c>
      <c r="MRY38" s="129" t="s">
        <v>46</v>
      </c>
      <c r="MRZ38" s="131" t="s">
        <v>44</v>
      </c>
      <c r="MSA38" s="133" t="s">
        <v>45</v>
      </c>
      <c r="MSB38" s="134"/>
      <c r="MSC38" s="135"/>
      <c r="MSD38" s="125">
        <v>0</v>
      </c>
      <c r="MSE38" s="125">
        <v>40</v>
      </c>
      <c r="MSF38" s="127">
        <f>SUM(MSE38)</f>
        <v>40</v>
      </c>
      <c r="MSG38" s="129" t="s">
        <v>46</v>
      </c>
      <c r="MSH38" s="131" t="s">
        <v>44</v>
      </c>
      <c r="MSI38" s="133" t="s">
        <v>45</v>
      </c>
      <c r="MSJ38" s="134"/>
      <c r="MSK38" s="135"/>
      <c r="MSL38" s="125">
        <v>0</v>
      </c>
      <c r="MSM38" s="125">
        <v>40</v>
      </c>
      <c r="MSN38" s="127">
        <f>SUM(MSM38)</f>
        <v>40</v>
      </c>
      <c r="MSO38" s="129" t="s">
        <v>46</v>
      </c>
      <c r="MSP38" s="131" t="s">
        <v>44</v>
      </c>
      <c r="MSQ38" s="133" t="s">
        <v>45</v>
      </c>
      <c r="MSR38" s="134"/>
      <c r="MSS38" s="135"/>
      <c r="MST38" s="125">
        <v>0</v>
      </c>
      <c r="MSU38" s="125">
        <v>40</v>
      </c>
      <c r="MSV38" s="127">
        <f>SUM(MSU38)</f>
        <v>40</v>
      </c>
      <c r="MSW38" s="129" t="s">
        <v>46</v>
      </c>
      <c r="MSX38" s="131" t="s">
        <v>44</v>
      </c>
      <c r="MSY38" s="133" t="s">
        <v>45</v>
      </c>
      <c r="MSZ38" s="134"/>
      <c r="MTA38" s="135"/>
      <c r="MTB38" s="125">
        <v>0</v>
      </c>
      <c r="MTC38" s="125">
        <v>40</v>
      </c>
      <c r="MTD38" s="127">
        <f>SUM(MTC38)</f>
        <v>40</v>
      </c>
      <c r="MTE38" s="129" t="s">
        <v>46</v>
      </c>
      <c r="MTF38" s="131" t="s">
        <v>44</v>
      </c>
      <c r="MTG38" s="133" t="s">
        <v>45</v>
      </c>
      <c r="MTH38" s="134"/>
      <c r="MTI38" s="135"/>
      <c r="MTJ38" s="125">
        <v>0</v>
      </c>
      <c r="MTK38" s="125">
        <v>40</v>
      </c>
      <c r="MTL38" s="127">
        <f>SUM(MTK38)</f>
        <v>40</v>
      </c>
      <c r="MTM38" s="129" t="s">
        <v>46</v>
      </c>
      <c r="MTN38" s="131" t="s">
        <v>44</v>
      </c>
      <c r="MTO38" s="133" t="s">
        <v>45</v>
      </c>
      <c r="MTP38" s="134"/>
      <c r="MTQ38" s="135"/>
      <c r="MTR38" s="125">
        <v>0</v>
      </c>
      <c r="MTS38" s="125">
        <v>40</v>
      </c>
      <c r="MTT38" s="127">
        <f>SUM(MTS38)</f>
        <v>40</v>
      </c>
      <c r="MTU38" s="129" t="s">
        <v>46</v>
      </c>
      <c r="MTV38" s="131" t="s">
        <v>44</v>
      </c>
      <c r="MTW38" s="133" t="s">
        <v>45</v>
      </c>
      <c r="MTX38" s="134"/>
      <c r="MTY38" s="135"/>
      <c r="MTZ38" s="125">
        <v>0</v>
      </c>
      <c r="MUA38" s="125">
        <v>40</v>
      </c>
      <c r="MUB38" s="127">
        <f>SUM(MUA38)</f>
        <v>40</v>
      </c>
      <c r="MUC38" s="129" t="s">
        <v>46</v>
      </c>
      <c r="MUD38" s="131" t="s">
        <v>44</v>
      </c>
      <c r="MUE38" s="133" t="s">
        <v>45</v>
      </c>
      <c r="MUF38" s="134"/>
      <c r="MUG38" s="135"/>
      <c r="MUH38" s="125">
        <v>0</v>
      </c>
      <c r="MUI38" s="125">
        <v>40</v>
      </c>
      <c r="MUJ38" s="127">
        <f>SUM(MUI38)</f>
        <v>40</v>
      </c>
      <c r="MUK38" s="129" t="s">
        <v>46</v>
      </c>
      <c r="MUL38" s="131" t="s">
        <v>44</v>
      </c>
      <c r="MUM38" s="133" t="s">
        <v>45</v>
      </c>
      <c r="MUN38" s="134"/>
      <c r="MUO38" s="135"/>
      <c r="MUP38" s="125">
        <v>0</v>
      </c>
      <c r="MUQ38" s="125">
        <v>40</v>
      </c>
      <c r="MUR38" s="127">
        <f>SUM(MUQ38)</f>
        <v>40</v>
      </c>
      <c r="MUS38" s="129" t="s">
        <v>46</v>
      </c>
      <c r="MUT38" s="131" t="s">
        <v>44</v>
      </c>
      <c r="MUU38" s="133" t="s">
        <v>45</v>
      </c>
      <c r="MUV38" s="134"/>
      <c r="MUW38" s="135"/>
      <c r="MUX38" s="125">
        <v>0</v>
      </c>
      <c r="MUY38" s="125">
        <v>40</v>
      </c>
      <c r="MUZ38" s="127">
        <f>SUM(MUY38)</f>
        <v>40</v>
      </c>
      <c r="MVA38" s="129" t="s">
        <v>46</v>
      </c>
      <c r="MVB38" s="131" t="s">
        <v>44</v>
      </c>
      <c r="MVC38" s="133" t="s">
        <v>45</v>
      </c>
      <c r="MVD38" s="134"/>
      <c r="MVE38" s="135"/>
      <c r="MVF38" s="125">
        <v>0</v>
      </c>
      <c r="MVG38" s="125">
        <v>40</v>
      </c>
      <c r="MVH38" s="127">
        <f>SUM(MVG38)</f>
        <v>40</v>
      </c>
      <c r="MVI38" s="129" t="s">
        <v>46</v>
      </c>
      <c r="MVJ38" s="131" t="s">
        <v>44</v>
      </c>
      <c r="MVK38" s="133" t="s">
        <v>45</v>
      </c>
      <c r="MVL38" s="134"/>
      <c r="MVM38" s="135"/>
      <c r="MVN38" s="125">
        <v>0</v>
      </c>
      <c r="MVO38" s="125">
        <v>40</v>
      </c>
      <c r="MVP38" s="127">
        <f>SUM(MVO38)</f>
        <v>40</v>
      </c>
      <c r="MVQ38" s="129" t="s">
        <v>46</v>
      </c>
      <c r="MVR38" s="131" t="s">
        <v>44</v>
      </c>
      <c r="MVS38" s="133" t="s">
        <v>45</v>
      </c>
      <c r="MVT38" s="134"/>
      <c r="MVU38" s="135"/>
      <c r="MVV38" s="125">
        <v>0</v>
      </c>
      <c r="MVW38" s="125">
        <v>40</v>
      </c>
      <c r="MVX38" s="127">
        <f>SUM(MVW38)</f>
        <v>40</v>
      </c>
      <c r="MVY38" s="129" t="s">
        <v>46</v>
      </c>
      <c r="MVZ38" s="131" t="s">
        <v>44</v>
      </c>
      <c r="MWA38" s="133" t="s">
        <v>45</v>
      </c>
      <c r="MWB38" s="134"/>
      <c r="MWC38" s="135"/>
      <c r="MWD38" s="125">
        <v>0</v>
      </c>
      <c r="MWE38" s="125">
        <v>40</v>
      </c>
      <c r="MWF38" s="127">
        <f>SUM(MWE38)</f>
        <v>40</v>
      </c>
      <c r="MWG38" s="129" t="s">
        <v>46</v>
      </c>
      <c r="MWH38" s="131" t="s">
        <v>44</v>
      </c>
      <c r="MWI38" s="133" t="s">
        <v>45</v>
      </c>
      <c r="MWJ38" s="134"/>
      <c r="MWK38" s="135"/>
      <c r="MWL38" s="125">
        <v>0</v>
      </c>
      <c r="MWM38" s="125">
        <v>40</v>
      </c>
      <c r="MWN38" s="127">
        <f>SUM(MWM38)</f>
        <v>40</v>
      </c>
      <c r="MWO38" s="129" t="s">
        <v>46</v>
      </c>
      <c r="MWP38" s="131" t="s">
        <v>44</v>
      </c>
      <c r="MWQ38" s="133" t="s">
        <v>45</v>
      </c>
      <c r="MWR38" s="134"/>
      <c r="MWS38" s="135"/>
      <c r="MWT38" s="125">
        <v>0</v>
      </c>
      <c r="MWU38" s="125">
        <v>40</v>
      </c>
      <c r="MWV38" s="127">
        <f>SUM(MWU38)</f>
        <v>40</v>
      </c>
      <c r="MWW38" s="129" t="s">
        <v>46</v>
      </c>
      <c r="MWX38" s="131" t="s">
        <v>44</v>
      </c>
      <c r="MWY38" s="133" t="s">
        <v>45</v>
      </c>
      <c r="MWZ38" s="134"/>
      <c r="MXA38" s="135"/>
      <c r="MXB38" s="125">
        <v>0</v>
      </c>
      <c r="MXC38" s="125">
        <v>40</v>
      </c>
      <c r="MXD38" s="127">
        <f>SUM(MXC38)</f>
        <v>40</v>
      </c>
      <c r="MXE38" s="129" t="s">
        <v>46</v>
      </c>
      <c r="MXF38" s="131" t="s">
        <v>44</v>
      </c>
      <c r="MXG38" s="133" t="s">
        <v>45</v>
      </c>
      <c r="MXH38" s="134"/>
      <c r="MXI38" s="135"/>
      <c r="MXJ38" s="125">
        <v>0</v>
      </c>
      <c r="MXK38" s="125">
        <v>40</v>
      </c>
      <c r="MXL38" s="127">
        <f>SUM(MXK38)</f>
        <v>40</v>
      </c>
      <c r="MXM38" s="129" t="s">
        <v>46</v>
      </c>
      <c r="MXN38" s="131" t="s">
        <v>44</v>
      </c>
      <c r="MXO38" s="133" t="s">
        <v>45</v>
      </c>
      <c r="MXP38" s="134"/>
      <c r="MXQ38" s="135"/>
      <c r="MXR38" s="125">
        <v>0</v>
      </c>
      <c r="MXS38" s="125">
        <v>40</v>
      </c>
      <c r="MXT38" s="127">
        <f>SUM(MXS38)</f>
        <v>40</v>
      </c>
      <c r="MXU38" s="129" t="s">
        <v>46</v>
      </c>
      <c r="MXV38" s="131" t="s">
        <v>44</v>
      </c>
      <c r="MXW38" s="133" t="s">
        <v>45</v>
      </c>
      <c r="MXX38" s="134"/>
      <c r="MXY38" s="135"/>
      <c r="MXZ38" s="125">
        <v>0</v>
      </c>
      <c r="MYA38" s="125">
        <v>40</v>
      </c>
      <c r="MYB38" s="127">
        <f>SUM(MYA38)</f>
        <v>40</v>
      </c>
      <c r="MYC38" s="129" t="s">
        <v>46</v>
      </c>
      <c r="MYD38" s="131" t="s">
        <v>44</v>
      </c>
      <c r="MYE38" s="133" t="s">
        <v>45</v>
      </c>
      <c r="MYF38" s="134"/>
      <c r="MYG38" s="135"/>
      <c r="MYH38" s="125">
        <v>0</v>
      </c>
      <c r="MYI38" s="125">
        <v>40</v>
      </c>
      <c r="MYJ38" s="127">
        <f>SUM(MYI38)</f>
        <v>40</v>
      </c>
      <c r="MYK38" s="129" t="s">
        <v>46</v>
      </c>
      <c r="MYL38" s="131" t="s">
        <v>44</v>
      </c>
      <c r="MYM38" s="133" t="s">
        <v>45</v>
      </c>
      <c r="MYN38" s="134"/>
      <c r="MYO38" s="135"/>
      <c r="MYP38" s="125">
        <v>0</v>
      </c>
      <c r="MYQ38" s="125">
        <v>40</v>
      </c>
      <c r="MYR38" s="127">
        <f>SUM(MYQ38)</f>
        <v>40</v>
      </c>
      <c r="MYS38" s="129" t="s">
        <v>46</v>
      </c>
      <c r="MYT38" s="131" t="s">
        <v>44</v>
      </c>
      <c r="MYU38" s="133" t="s">
        <v>45</v>
      </c>
      <c r="MYV38" s="134"/>
      <c r="MYW38" s="135"/>
      <c r="MYX38" s="125">
        <v>0</v>
      </c>
      <c r="MYY38" s="125">
        <v>40</v>
      </c>
      <c r="MYZ38" s="127">
        <f>SUM(MYY38)</f>
        <v>40</v>
      </c>
      <c r="MZA38" s="129" t="s">
        <v>46</v>
      </c>
      <c r="MZB38" s="131" t="s">
        <v>44</v>
      </c>
      <c r="MZC38" s="133" t="s">
        <v>45</v>
      </c>
      <c r="MZD38" s="134"/>
      <c r="MZE38" s="135"/>
      <c r="MZF38" s="125">
        <v>0</v>
      </c>
      <c r="MZG38" s="125">
        <v>40</v>
      </c>
      <c r="MZH38" s="127">
        <f>SUM(MZG38)</f>
        <v>40</v>
      </c>
      <c r="MZI38" s="129" t="s">
        <v>46</v>
      </c>
      <c r="MZJ38" s="131" t="s">
        <v>44</v>
      </c>
      <c r="MZK38" s="133" t="s">
        <v>45</v>
      </c>
      <c r="MZL38" s="134"/>
      <c r="MZM38" s="135"/>
      <c r="MZN38" s="125">
        <v>0</v>
      </c>
      <c r="MZO38" s="125">
        <v>40</v>
      </c>
      <c r="MZP38" s="127">
        <f>SUM(MZO38)</f>
        <v>40</v>
      </c>
      <c r="MZQ38" s="129" t="s">
        <v>46</v>
      </c>
      <c r="MZR38" s="131" t="s">
        <v>44</v>
      </c>
      <c r="MZS38" s="133" t="s">
        <v>45</v>
      </c>
      <c r="MZT38" s="134"/>
      <c r="MZU38" s="135"/>
      <c r="MZV38" s="125">
        <v>0</v>
      </c>
      <c r="MZW38" s="125">
        <v>40</v>
      </c>
      <c r="MZX38" s="127">
        <f>SUM(MZW38)</f>
        <v>40</v>
      </c>
      <c r="MZY38" s="129" t="s">
        <v>46</v>
      </c>
      <c r="MZZ38" s="131" t="s">
        <v>44</v>
      </c>
      <c r="NAA38" s="133" t="s">
        <v>45</v>
      </c>
      <c r="NAB38" s="134"/>
      <c r="NAC38" s="135"/>
      <c r="NAD38" s="125">
        <v>0</v>
      </c>
      <c r="NAE38" s="125">
        <v>40</v>
      </c>
      <c r="NAF38" s="127">
        <f>SUM(NAE38)</f>
        <v>40</v>
      </c>
      <c r="NAG38" s="129" t="s">
        <v>46</v>
      </c>
      <c r="NAH38" s="131" t="s">
        <v>44</v>
      </c>
      <c r="NAI38" s="133" t="s">
        <v>45</v>
      </c>
      <c r="NAJ38" s="134"/>
      <c r="NAK38" s="135"/>
      <c r="NAL38" s="125">
        <v>0</v>
      </c>
      <c r="NAM38" s="125">
        <v>40</v>
      </c>
      <c r="NAN38" s="127">
        <f>SUM(NAM38)</f>
        <v>40</v>
      </c>
      <c r="NAO38" s="129" t="s">
        <v>46</v>
      </c>
      <c r="NAP38" s="131" t="s">
        <v>44</v>
      </c>
      <c r="NAQ38" s="133" t="s">
        <v>45</v>
      </c>
      <c r="NAR38" s="134"/>
      <c r="NAS38" s="135"/>
      <c r="NAT38" s="125">
        <v>0</v>
      </c>
      <c r="NAU38" s="125">
        <v>40</v>
      </c>
      <c r="NAV38" s="127">
        <f>SUM(NAU38)</f>
        <v>40</v>
      </c>
      <c r="NAW38" s="129" t="s">
        <v>46</v>
      </c>
      <c r="NAX38" s="131" t="s">
        <v>44</v>
      </c>
      <c r="NAY38" s="133" t="s">
        <v>45</v>
      </c>
      <c r="NAZ38" s="134"/>
      <c r="NBA38" s="135"/>
      <c r="NBB38" s="125">
        <v>0</v>
      </c>
      <c r="NBC38" s="125">
        <v>40</v>
      </c>
      <c r="NBD38" s="127">
        <f>SUM(NBC38)</f>
        <v>40</v>
      </c>
      <c r="NBE38" s="129" t="s">
        <v>46</v>
      </c>
      <c r="NBF38" s="131" t="s">
        <v>44</v>
      </c>
      <c r="NBG38" s="133" t="s">
        <v>45</v>
      </c>
      <c r="NBH38" s="134"/>
      <c r="NBI38" s="135"/>
      <c r="NBJ38" s="125">
        <v>0</v>
      </c>
      <c r="NBK38" s="125">
        <v>40</v>
      </c>
      <c r="NBL38" s="127">
        <f>SUM(NBK38)</f>
        <v>40</v>
      </c>
      <c r="NBM38" s="129" t="s">
        <v>46</v>
      </c>
      <c r="NBN38" s="131" t="s">
        <v>44</v>
      </c>
      <c r="NBO38" s="133" t="s">
        <v>45</v>
      </c>
      <c r="NBP38" s="134"/>
      <c r="NBQ38" s="135"/>
      <c r="NBR38" s="125">
        <v>0</v>
      </c>
      <c r="NBS38" s="125">
        <v>40</v>
      </c>
      <c r="NBT38" s="127">
        <f>SUM(NBS38)</f>
        <v>40</v>
      </c>
      <c r="NBU38" s="129" t="s">
        <v>46</v>
      </c>
      <c r="NBV38" s="131" t="s">
        <v>44</v>
      </c>
      <c r="NBW38" s="133" t="s">
        <v>45</v>
      </c>
      <c r="NBX38" s="134"/>
      <c r="NBY38" s="135"/>
      <c r="NBZ38" s="125">
        <v>0</v>
      </c>
      <c r="NCA38" s="125">
        <v>40</v>
      </c>
      <c r="NCB38" s="127">
        <f>SUM(NCA38)</f>
        <v>40</v>
      </c>
      <c r="NCC38" s="129" t="s">
        <v>46</v>
      </c>
      <c r="NCD38" s="131" t="s">
        <v>44</v>
      </c>
      <c r="NCE38" s="133" t="s">
        <v>45</v>
      </c>
      <c r="NCF38" s="134"/>
      <c r="NCG38" s="135"/>
      <c r="NCH38" s="125">
        <v>0</v>
      </c>
      <c r="NCI38" s="125">
        <v>40</v>
      </c>
      <c r="NCJ38" s="127">
        <f>SUM(NCI38)</f>
        <v>40</v>
      </c>
      <c r="NCK38" s="129" t="s">
        <v>46</v>
      </c>
      <c r="NCL38" s="131" t="s">
        <v>44</v>
      </c>
      <c r="NCM38" s="133" t="s">
        <v>45</v>
      </c>
      <c r="NCN38" s="134"/>
      <c r="NCO38" s="135"/>
      <c r="NCP38" s="125">
        <v>0</v>
      </c>
      <c r="NCQ38" s="125">
        <v>40</v>
      </c>
      <c r="NCR38" s="127">
        <f>SUM(NCQ38)</f>
        <v>40</v>
      </c>
      <c r="NCS38" s="129" t="s">
        <v>46</v>
      </c>
      <c r="NCT38" s="131" t="s">
        <v>44</v>
      </c>
      <c r="NCU38" s="133" t="s">
        <v>45</v>
      </c>
      <c r="NCV38" s="134"/>
      <c r="NCW38" s="135"/>
      <c r="NCX38" s="125">
        <v>0</v>
      </c>
      <c r="NCY38" s="125">
        <v>40</v>
      </c>
      <c r="NCZ38" s="127">
        <f>SUM(NCY38)</f>
        <v>40</v>
      </c>
      <c r="NDA38" s="129" t="s">
        <v>46</v>
      </c>
      <c r="NDB38" s="131" t="s">
        <v>44</v>
      </c>
      <c r="NDC38" s="133" t="s">
        <v>45</v>
      </c>
      <c r="NDD38" s="134"/>
      <c r="NDE38" s="135"/>
      <c r="NDF38" s="125">
        <v>0</v>
      </c>
      <c r="NDG38" s="125">
        <v>40</v>
      </c>
      <c r="NDH38" s="127">
        <f>SUM(NDG38)</f>
        <v>40</v>
      </c>
      <c r="NDI38" s="129" t="s">
        <v>46</v>
      </c>
      <c r="NDJ38" s="131" t="s">
        <v>44</v>
      </c>
      <c r="NDK38" s="133" t="s">
        <v>45</v>
      </c>
      <c r="NDL38" s="134"/>
      <c r="NDM38" s="135"/>
      <c r="NDN38" s="125">
        <v>0</v>
      </c>
      <c r="NDO38" s="125">
        <v>40</v>
      </c>
      <c r="NDP38" s="127">
        <f>SUM(NDO38)</f>
        <v>40</v>
      </c>
      <c r="NDQ38" s="129" t="s">
        <v>46</v>
      </c>
      <c r="NDR38" s="131" t="s">
        <v>44</v>
      </c>
      <c r="NDS38" s="133" t="s">
        <v>45</v>
      </c>
      <c r="NDT38" s="134"/>
      <c r="NDU38" s="135"/>
      <c r="NDV38" s="125">
        <v>0</v>
      </c>
      <c r="NDW38" s="125">
        <v>40</v>
      </c>
      <c r="NDX38" s="127">
        <f>SUM(NDW38)</f>
        <v>40</v>
      </c>
      <c r="NDY38" s="129" t="s">
        <v>46</v>
      </c>
      <c r="NDZ38" s="131" t="s">
        <v>44</v>
      </c>
      <c r="NEA38" s="133" t="s">
        <v>45</v>
      </c>
      <c r="NEB38" s="134"/>
      <c r="NEC38" s="135"/>
      <c r="NED38" s="125">
        <v>0</v>
      </c>
      <c r="NEE38" s="125">
        <v>40</v>
      </c>
      <c r="NEF38" s="127">
        <f>SUM(NEE38)</f>
        <v>40</v>
      </c>
      <c r="NEG38" s="129" t="s">
        <v>46</v>
      </c>
      <c r="NEH38" s="131" t="s">
        <v>44</v>
      </c>
      <c r="NEI38" s="133" t="s">
        <v>45</v>
      </c>
      <c r="NEJ38" s="134"/>
      <c r="NEK38" s="135"/>
      <c r="NEL38" s="125">
        <v>0</v>
      </c>
      <c r="NEM38" s="125">
        <v>40</v>
      </c>
      <c r="NEN38" s="127">
        <f>SUM(NEM38)</f>
        <v>40</v>
      </c>
      <c r="NEO38" s="129" t="s">
        <v>46</v>
      </c>
      <c r="NEP38" s="131" t="s">
        <v>44</v>
      </c>
      <c r="NEQ38" s="133" t="s">
        <v>45</v>
      </c>
      <c r="NER38" s="134"/>
      <c r="NES38" s="135"/>
      <c r="NET38" s="125">
        <v>0</v>
      </c>
      <c r="NEU38" s="125">
        <v>40</v>
      </c>
      <c r="NEV38" s="127">
        <f>SUM(NEU38)</f>
        <v>40</v>
      </c>
      <c r="NEW38" s="129" t="s">
        <v>46</v>
      </c>
      <c r="NEX38" s="131" t="s">
        <v>44</v>
      </c>
      <c r="NEY38" s="133" t="s">
        <v>45</v>
      </c>
      <c r="NEZ38" s="134"/>
      <c r="NFA38" s="135"/>
      <c r="NFB38" s="125">
        <v>0</v>
      </c>
      <c r="NFC38" s="125">
        <v>40</v>
      </c>
      <c r="NFD38" s="127">
        <f>SUM(NFC38)</f>
        <v>40</v>
      </c>
      <c r="NFE38" s="129" t="s">
        <v>46</v>
      </c>
      <c r="NFF38" s="131" t="s">
        <v>44</v>
      </c>
      <c r="NFG38" s="133" t="s">
        <v>45</v>
      </c>
      <c r="NFH38" s="134"/>
      <c r="NFI38" s="135"/>
      <c r="NFJ38" s="125">
        <v>0</v>
      </c>
      <c r="NFK38" s="125">
        <v>40</v>
      </c>
      <c r="NFL38" s="127">
        <f>SUM(NFK38)</f>
        <v>40</v>
      </c>
      <c r="NFM38" s="129" t="s">
        <v>46</v>
      </c>
      <c r="NFN38" s="131" t="s">
        <v>44</v>
      </c>
      <c r="NFO38" s="133" t="s">
        <v>45</v>
      </c>
      <c r="NFP38" s="134"/>
      <c r="NFQ38" s="135"/>
      <c r="NFR38" s="125">
        <v>0</v>
      </c>
      <c r="NFS38" s="125">
        <v>40</v>
      </c>
      <c r="NFT38" s="127">
        <f>SUM(NFS38)</f>
        <v>40</v>
      </c>
      <c r="NFU38" s="129" t="s">
        <v>46</v>
      </c>
      <c r="NFV38" s="131" t="s">
        <v>44</v>
      </c>
      <c r="NFW38" s="133" t="s">
        <v>45</v>
      </c>
      <c r="NFX38" s="134"/>
      <c r="NFY38" s="135"/>
      <c r="NFZ38" s="125">
        <v>0</v>
      </c>
      <c r="NGA38" s="125">
        <v>40</v>
      </c>
      <c r="NGB38" s="127">
        <f>SUM(NGA38)</f>
        <v>40</v>
      </c>
      <c r="NGC38" s="129" t="s">
        <v>46</v>
      </c>
      <c r="NGD38" s="131" t="s">
        <v>44</v>
      </c>
      <c r="NGE38" s="133" t="s">
        <v>45</v>
      </c>
      <c r="NGF38" s="134"/>
      <c r="NGG38" s="135"/>
      <c r="NGH38" s="125">
        <v>0</v>
      </c>
      <c r="NGI38" s="125">
        <v>40</v>
      </c>
      <c r="NGJ38" s="127">
        <f>SUM(NGI38)</f>
        <v>40</v>
      </c>
      <c r="NGK38" s="129" t="s">
        <v>46</v>
      </c>
      <c r="NGL38" s="131" t="s">
        <v>44</v>
      </c>
      <c r="NGM38" s="133" t="s">
        <v>45</v>
      </c>
      <c r="NGN38" s="134"/>
      <c r="NGO38" s="135"/>
      <c r="NGP38" s="125">
        <v>0</v>
      </c>
      <c r="NGQ38" s="125">
        <v>40</v>
      </c>
      <c r="NGR38" s="127">
        <f>SUM(NGQ38)</f>
        <v>40</v>
      </c>
      <c r="NGS38" s="129" t="s">
        <v>46</v>
      </c>
      <c r="NGT38" s="131" t="s">
        <v>44</v>
      </c>
      <c r="NGU38" s="133" t="s">
        <v>45</v>
      </c>
      <c r="NGV38" s="134"/>
      <c r="NGW38" s="135"/>
      <c r="NGX38" s="125">
        <v>0</v>
      </c>
      <c r="NGY38" s="125">
        <v>40</v>
      </c>
      <c r="NGZ38" s="127">
        <f>SUM(NGY38)</f>
        <v>40</v>
      </c>
      <c r="NHA38" s="129" t="s">
        <v>46</v>
      </c>
      <c r="NHB38" s="131" t="s">
        <v>44</v>
      </c>
      <c r="NHC38" s="133" t="s">
        <v>45</v>
      </c>
      <c r="NHD38" s="134"/>
      <c r="NHE38" s="135"/>
      <c r="NHF38" s="125">
        <v>0</v>
      </c>
      <c r="NHG38" s="125">
        <v>40</v>
      </c>
      <c r="NHH38" s="127">
        <f>SUM(NHG38)</f>
        <v>40</v>
      </c>
      <c r="NHI38" s="129" t="s">
        <v>46</v>
      </c>
      <c r="NHJ38" s="131" t="s">
        <v>44</v>
      </c>
      <c r="NHK38" s="133" t="s">
        <v>45</v>
      </c>
      <c r="NHL38" s="134"/>
      <c r="NHM38" s="135"/>
      <c r="NHN38" s="125">
        <v>0</v>
      </c>
      <c r="NHO38" s="125">
        <v>40</v>
      </c>
      <c r="NHP38" s="127">
        <f>SUM(NHO38)</f>
        <v>40</v>
      </c>
      <c r="NHQ38" s="129" t="s">
        <v>46</v>
      </c>
      <c r="NHR38" s="131" t="s">
        <v>44</v>
      </c>
      <c r="NHS38" s="133" t="s">
        <v>45</v>
      </c>
      <c r="NHT38" s="134"/>
      <c r="NHU38" s="135"/>
      <c r="NHV38" s="125">
        <v>0</v>
      </c>
      <c r="NHW38" s="125">
        <v>40</v>
      </c>
      <c r="NHX38" s="127">
        <f>SUM(NHW38)</f>
        <v>40</v>
      </c>
      <c r="NHY38" s="129" t="s">
        <v>46</v>
      </c>
      <c r="NHZ38" s="131" t="s">
        <v>44</v>
      </c>
      <c r="NIA38" s="133" t="s">
        <v>45</v>
      </c>
      <c r="NIB38" s="134"/>
      <c r="NIC38" s="135"/>
      <c r="NID38" s="125">
        <v>0</v>
      </c>
      <c r="NIE38" s="125">
        <v>40</v>
      </c>
      <c r="NIF38" s="127">
        <f>SUM(NIE38)</f>
        <v>40</v>
      </c>
      <c r="NIG38" s="129" t="s">
        <v>46</v>
      </c>
      <c r="NIH38" s="131" t="s">
        <v>44</v>
      </c>
      <c r="NII38" s="133" t="s">
        <v>45</v>
      </c>
      <c r="NIJ38" s="134"/>
      <c r="NIK38" s="135"/>
      <c r="NIL38" s="125">
        <v>0</v>
      </c>
      <c r="NIM38" s="125">
        <v>40</v>
      </c>
      <c r="NIN38" s="127">
        <f>SUM(NIM38)</f>
        <v>40</v>
      </c>
      <c r="NIO38" s="129" t="s">
        <v>46</v>
      </c>
      <c r="NIP38" s="131" t="s">
        <v>44</v>
      </c>
      <c r="NIQ38" s="133" t="s">
        <v>45</v>
      </c>
      <c r="NIR38" s="134"/>
      <c r="NIS38" s="135"/>
      <c r="NIT38" s="125">
        <v>0</v>
      </c>
      <c r="NIU38" s="125">
        <v>40</v>
      </c>
      <c r="NIV38" s="127">
        <f>SUM(NIU38)</f>
        <v>40</v>
      </c>
      <c r="NIW38" s="129" t="s">
        <v>46</v>
      </c>
      <c r="NIX38" s="131" t="s">
        <v>44</v>
      </c>
      <c r="NIY38" s="133" t="s">
        <v>45</v>
      </c>
      <c r="NIZ38" s="134"/>
      <c r="NJA38" s="135"/>
      <c r="NJB38" s="125">
        <v>0</v>
      </c>
      <c r="NJC38" s="125">
        <v>40</v>
      </c>
      <c r="NJD38" s="127">
        <f>SUM(NJC38)</f>
        <v>40</v>
      </c>
      <c r="NJE38" s="129" t="s">
        <v>46</v>
      </c>
      <c r="NJF38" s="131" t="s">
        <v>44</v>
      </c>
      <c r="NJG38" s="133" t="s">
        <v>45</v>
      </c>
      <c r="NJH38" s="134"/>
      <c r="NJI38" s="135"/>
      <c r="NJJ38" s="125">
        <v>0</v>
      </c>
      <c r="NJK38" s="125">
        <v>40</v>
      </c>
      <c r="NJL38" s="127">
        <f>SUM(NJK38)</f>
        <v>40</v>
      </c>
      <c r="NJM38" s="129" t="s">
        <v>46</v>
      </c>
      <c r="NJN38" s="131" t="s">
        <v>44</v>
      </c>
      <c r="NJO38" s="133" t="s">
        <v>45</v>
      </c>
      <c r="NJP38" s="134"/>
      <c r="NJQ38" s="135"/>
      <c r="NJR38" s="125">
        <v>0</v>
      </c>
      <c r="NJS38" s="125">
        <v>40</v>
      </c>
      <c r="NJT38" s="127">
        <f>SUM(NJS38)</f>
        <v>40</v>
      </c>
      <c r="NJU38" s="129" t="s">
        <v>46</v>
      </c>
      <c r="NJV38" s="131" t="s">
        <v>44</v>
      </c>
      <c r="NJW38" s="133" t="s">
        <v>45</v>
      </c>
      <c r="NJX38" s="134"/>
      <c r="NJY38" s="135"/>
      <c r="NJZ38" s="125">
        <v>0</v>
      </c>
      <c r="NKA38" s="125">
        <v>40</v>
      </c>
      <c r="NKB38" s="127">
        <f>SUM(NKA38)</f>
        <v>40</v>
      </c>
      <c r="NKC38" s="129" t="s">
        <v>46</v>
      </c>
      <c r="NKD38" s="131" t="s">
        <v>44</v>
      </c>
      <c r="NKE38" s="133" t="s">
        <v>45</v>
      </c>
      <c r="NKF38" s="134"/>
      <c r="NKG38" s="135"/>
      <c r="NKH38" s="125">
        <v>0</v>
      </c>
      <c r="NKI38" s="125">
        <v>40</v>
      </c>
      <c r="NKJ38" s="127">
        <f>SUM(NKI38)</f>
        <v>40</v>
      </c>
      <c r="NKK38" s="129" t="s">
        <v>46</v>
      </c>
      <c r="NKL38" s="131" t="s">
        <v>44</v>
      </c>
      <c r="NKM38" s="133" t="s">
        <v>45</v>
      </c>
      <c r="NKN38" s="134"/>
      <c r="NKO38" s="135"/>
      <c r="NKP38" s="125">
        <v>0</v>
      </c>
      <c r="NKQ38" s="125">
        <v>40</v>
      </c>
      <c r="NKR38" s="127">
        <f>SUM(NKQ38)</f>
        <v>40</v>
      </c>
      <c r="NKS38" s="129" t="s">
        <v>46</v>
      </c>
      <c r="NKT38" s="131" t="s">
        <v>44</v>
      </c>
      <c r="NKU38" s="133" t="s">
        <v>45</v>
      </c>
      <c r="NKV38" s="134"/>
      <c r="NKW38" s="135"/>
      <c r="NKX38" s="125">
        <v>0</v>
      </c>
      <c r="NKY38" s="125">
        <v>40</v>
      </c>
      <c r="NKZ38" s="127">
        <f>SUM(NKY38)</f>
        <v>40</v>
      </c>
      <c r="NLA38" s="129" t="s">
        <v>46</v>
      </c>
      <c r="NLB38" s="131" t="s">
        <v>44</v>
      </c>
      <c r="NLC38" s="133" t="s">
        <v>45</v>
      </c>
      <c r="NLD38" s="134"/>
      <c r="NLE38" s="135"/>
      <c r="NLF38" s="125">
        <v>0</v>
      </c>
      <c r="NLG38" s="125">
        <v>40</v>
      </c>
      <c r="NLH38" s="127">
        <f>SUM(NLG38)</f>
        <v>40</v>
      </c>
      <c r="NLI38" s="129" t="s">
        <v>46</v>
      </c>
      <c r="NLJ38" s="131" t="s">
        <v>44</v>
      </c>
      <c r="NLK38" s="133" t="s">
        <v>45</v>
      </c>
      <c r="NLL38" s="134"/>
      <c r="NLM38" s="135"/>
      <c r="NLN38" s="125">
        <v>0</v>
      </c>
      <c r="NLO38" s="125">
        <v>40</v>
      </c>
      <c r="NLP38" s="127">
        <f>SUM(NLO38)</f>
        <v>40</v>
      </c>
      <c r="NLQ38" s="129" t="s">
        <v>46</v>
      </c>
      <c r="NLR38" s="131" t="s">
        <v>44</v>
      </c>
      <c r="NLS38" s="133" t="s">
        <v>45</v>
      </c>
      <c r="NLT38" s="134"/>
      <c r="NLU38" s="135"/>
      <c r="NLV38" s="125">
        <v>0</v>
      </c>
      <c r="NLW38" s="125">
        <v>40</v>
      </c>
      <c r="NLX38" s="127">
        <f>SUM(NLW38)</f>
        <v>40</v>
      </c>
      <c r="NLY38" s="129" t="s">
        <v>46</v>
      </c>
      <c r="NLZ38" s="131" t="s">
        <v>44</v>
      </c>
      <c r="NMA38" s="133" t="s">
        <v>45</v>
      </c>
      <c r="NMB38" s="134"/>
      <c r="NMC38" s="135"/>
      <c r="NMD38" s="125">
        <v>0</v>
      </c>
      <c r="NME38" s="125">
        <v>40</v>
      </c>
      <c r="NMF38" s="127">
        <f>SUM(NME38)</f>
        <v>40</v>
      </c>
      <c r="NMG38" s="129" t="s">
        <v>46</v>
      </c>
      <c r="NMH38" s="131" t="s">
        <v>44</v>
      </c>
      <c r="NMI38" s="133" t="s">
        <v>45</v>
      </c>
      <c r="NMJ38" s="134"/>
      <c r="NMK38" s="135"/>
      <c r="NML38" s="125">
        <v>0</v>
      </c>
      <c r="NMM38" s="125">
        <v>40</v>
      </c>
      <c r="NMN38" s="127">
        <f>SUM(NMM38)</f>
        <v>40</v>
      </c>
      <c r="NMO38" s="129" t="s">
        <v>46</v>
      </c>
      <c r="NMP38" s="131" t="s">
        <v>44</v>
      </c>
      <c r="NMQ38" s="133" t="s">
        <v>45</v>
      </c>
      <c r="NMR38" s="134"/>
      <c r="NMS38" s="135"/>
      <c r="NMT38" s="125">
        <v>0</v>
      </c>
      <c r="NMU38" s="125">
        <v>40</v>
      </c>
      <c r="NMV38" s="127">
        <f>SUM(NMU38)</f>
        <v>40</v>
      </c>
      <c r="NMW38" s="129" t="s">
        <v>46</v>
      </c>
      <c r="NMX38" s="131" t="s">
        <v>44</v>
      </c>
      <c r="NMY38" s="133" t="s">
        <v>45</v>
      </c>
      <c r="NMZ38" s="134"/>
      <c r="NNA38" s="135"/>
      <c r="NNB38" s="125">
        <v>0</v>
      </c>
      <c r="NNC38" s="125">
        <v>40</v>
      </c>
      <c r="NND38" s="127">
        <f>SUM(NNC38)</f>
        <v>40</v>
      </c>
      <c r="NNE38" s="129" t="s">
        <v>46</v>
      </c>
      <c r="NNF38" s="131" t="s">
        <v>44</v>
      </c>
      <c r="NNG38" s="133" t="s">
        <v>45</v>
      </c>
      <c r="NNH38" s="134"/>
      <c r="NNI38" s="135"/>
      <c r="NNJ38" s="125">
        <v>0</v>
      </c>
      <c r="NNK38" s="125">
        <v>40</v>
      </c>
      <c r="NNL38" s="127">
        <f>SUM(NNK38)</f>
        <v>40</v>
      </c>
      <c r="NNM38" s="129" t="s">
        <v>46</v>
      </c>
      <c r="NNN38" s="131" t="s">
        <v>44</v>
      </c>
      <c r="NNO38" s="133" t="s">
        <v>45</v>
      </c>
      <c r="NNP38" s="134"/>
      <c r="NNQ38" s="135"/>
      <c r="NNR38" s="125">
        <v>0</v>
      </c>
      <c r="NNS38" s="125">
        <v>40</v>
      </c>
      <c r="NNT38" s="127">
        <f>SUM(NNS38)</f>
        <v>40</v>
      </c>
      <c r="NNU38" s="129" t="s">
        <v>46</v>
      </c>
      <c r="NNV38" s="131" t="s">
        <v>44</v>
      </c>
      <c r="NNW38" s="133" t="s">
        <v>45</v>
      </c>
      <c r="NNX38" s="134"/>
      <c r="NNY38" s="135"/>
      <c r="NNZ38" s="125">
        <v>0</v>
      </c>
      <c r="NOA38" s="125">
        <v>40</v>
      </c>
      <c r="NOB38" s="127">
        <f>SUM(NOA38)</f>
        <v>40</v>
      </c>
      <c r="NOC38" s="129" t="s">
        <v>46</v>
      </c>
      <c r="NOD38" s="131" t="s">
        <v>44</v>
      </c>
      <c r="NOE38" s="133" t="s">
        <v>45</v>
      </c>
      <c r="NOF38" s="134"/>
      <c r="NOG38" s="135"/>
      <c r="NOH38" s="125">
        <v>0</v>
      </c>
      <c r="NOI38" s="125">
        <v>40</v>
      </c>
      <c r="NOJ38" s="127">
        <f>SUM(NOI38)</f>
        <v>40</v>
      </c>
      <c r="NOK38" s="129" t="s">
        <v>46</v>
      </c>
      <c r="NOL38" s="131" t="s">
        <v>44</v>
      </c>
      <c r="NOM38" s="133" t="s">
        <v>45</v>
      </c>
      <c r="NON38" s="134"/>
      <c r="NOO38" s="135"/>
      <c r="NOP38" s="125">
        <v>0</v>
      </c>
      <c r="NOQ38" s="125">
        <v>40</v>
      </c>
      <c r="NOR38" s="127">
        <f>SUM(NOQ38)</f>
        <v>40</v>
      </c>
      <c r="NOS38" s="129" t="s">
        <v>46</v>
      </c>
      <c r="NOT38" s="131" t="s">
        <v>44</v>
      </c>
      <c r="NOU38" s="133" t="s">
        <v>45</v>
      </c>
      <c r="NOV38" s="134"/>
      <c r="NOW38" s="135"/>
      <c r="NOX38" s="125">
        <v>0</v>
      </c>
      <c r="NOY38" s="125">
        <v>40</v>
      </c>
      <c r="NOZ38" s="127">
        <f>SUM(NOY38)</f>
        <v>40</v>
      </c>
      <c r="NPA38" s="129" t="s">
        <v>46</v>
      </c>
      <c r="NPB38" s="131" t="s">
        <v>44</v>
      </c>
      <c r="NPC38" s="133" t="s">
        <v>45</v>
      </c>
      <c r="NPD38" s="134"/>
      <c r="NPE38" s="135"/>
      <c r="NPF38" s="125">
        <v>0</v>
      </c>
      <c r="NPG38" s="125">
        <v>40</v>
      </c>
      <c r="NPH38" s="127">
        <f>SUM(NPG38)</f>
        <v>40</v>
      </c>
      <c r="NPI38" s="129" t="s">
        <v>46</v>
      </c>
      <c r="NPJ38" s="131" t="s">
        <v>44</v>
      </c>
      <c r="NPK38" s="133" t="s">
        <v>45</v>
      </c>
      <c r="NPL38" s="134"/>
      <c r="NPM38" s="135"/>
      <c r="NPN38" s="125">
        <v>0</v>
      </c>
      <c r="NPO38" s="125">
        <v>40</v>
      </c>
      <c r="NPP38" s="127">
        <f>SUM(NPO38)</f>
        <v>40</v>
      </c>
      <c r="NPQ38" s="129" t="s">
        <v>46</v>
      </c>
      <c r="NPR38" s="131" t="s">
        <v>44</v>
      </c>
      <c r="NPS38" s="133" t="s">
        <v>45</v>
      </c>
      <c r="NPT38" s="134"/>
      <c r="NPU38" s="135"/>
      <c r="NPV38" s="125">
        <v>0</v>
      </c>
      <c r="NPW38" s="125">
        <v>40</v>
      </c>
      <c r="NPX38" s="127">
        <f>SUM(NPW38)</f>
        <v>40</v>
      </c>
      <c r="NPY38" s="129" t="s">
        <v>46</v>
      </c>
      <c r="NPZ38" s="131" t="s">
        <v>44</v>
      </c>
      <c r="NQA38" s="133" t="s">
        <v>45</v>
      </c>
      <c r="NQB38" s="134"/>
      <c r="NQC38" s="135"/>
      <c r="NQD38" s="125">
        <v>0</v>
      </c>
      <c r="NQE38" s="125">
        <v>40</v>
      </c>
      <c r="NQF38" s="127">
        <f>SUM(NQE38)</f>
        <v>40</v>
      </c>
      <c r="NQG38" s="129" t="s">
        <v>46</v>
      </c>
      <c r="NQH38" s="131" t="s">
        <v>44</v>
      </c>
      <c r="NQI38" s="133" t="s">
        <v>45</v>
      </c>
      <c r="NQJ38" s="134"/>
      <c r="NQK38" s="135"/>
      <c r="NQL38" s="125">
        <v>0</v>
      </c>
      <c r="NQM38" s="125">
        <v>40</v>
      </c>
      <c r="NQN38" s="127">
        <f>SUM(NQM38)</f>
        <v>40</v>
      </c>
      <c r="NQO38" s="129" t="s">
        <v>46</v>
      </c>
      <c r="NQP38" s="131" t="s">
        <v>44</v>
      </c>
      <c r="NQQ38" s="133" t="s">
        <v>45</v>
      </c>
      <c r="NQR38" s="134"/>
      <c r="NQS38" s="135"/>
      <c r="NQT38" s="125">
        <v>0</v>
      </c>
      <c r="NQU38" s="125">
        <v>40</v>
      </c>
      <c r="NQV38" s="127">
        <f>SUM(NQU38)</f>
        <v>40</v>
      </c>
      <c r="NQW38" s="129" t="s">
        <v>46</v>
      </c>
      <c r="NQX38" s="131" t="s">
        <v>44</v>
      </c>
      <c r="NQY38" s="133" t="s">
        <v>45</v>
      </c>
      <c r="NQZ38" s="134"/>
      <c r="NRA38" s="135"/>
      <c r="NRB38" s="125">
        <v>0</v>
      </c>
      <c r="NRC38" s="125">
        <v>40</v>
      </c>
      <c r="NRD38" s="127">
        <f>SUM(NRC38)</f>
        <v>40</v>
      </c>
      <c r="NRE38" s="129" t="s">
        <v>46</v>
      </c>
      <c r="NRF38" s="131" t="s">
        <v>44</v>
      </c>
      <c r="NRG38" s="133" t="s">
        <v>45</v>
      </c>
      <c r="NRH38" s="134"/>
      <c r="NRI38" s="135"/>
      <c r="NRJ38" s="125">
        <v>0</v>
      </c>
      <c r="NRK38" s="125">
        <v>40</v>
      </c>
      <c r="NRL38" s="127">
        <f>SUM(NRK38)</f>
        <v>40</v>
      </c>
      <c r="NRM38" s="129" t="s">
        <v>46</v>
      </c>
      <c r="NRN38" s="131" t="s">
        <v>44</v>
      </c>
      <c r="NRO38" s="133" t="s">
        <v>45</v>
      </c>
      <c r="NRP38" s="134"/>
      <c r="NRQ38" s="135"/>
      <c r="NRR38" s="125">
        <v>0</v>
      </c>
      <c r="NRS38" s="125">
        <v>40</v>
      </c>
      <c r="NRT38" s="127">
        <f>SUM(NRS38)</f>
        <v>40</v>
      </c>
      <c r="NRU38" s="129" t="s">
        <v>46</v>
      </c>
      <c r="NRV38" s="131" t="s">
        <v>44</v>
      </c>
      <c r="NRW38" s="133" t="s">
        <v>45</v>
      </c>
      <c r="NRX38" s="134"/>
      <c r="NRY38" s="135"/>
      <c r="NRZ38" s="125">
        <v>0</v>
      </c>
      <c r="NSA38" s="125">
        <v>40</v>
      </c>
      <c r="NSB38" s="127">
        <f>SUM(NSA38)</f>
        <v>40</v>
      </c>
      <c r="NSC38" s="129" t="s">
        <v>46</v>
      </c>
      <c r="NSD38" s="131" t="s">
        <v>44</v>
      </c>
      <c r="NSE38" s="133" t="s">
        <v>45</v>
      </c>
      <c r="NSF38" s="134"/>
      <c r="NSG38" s="135"/>
      <c r="NSH38" s="125">
        <v>0</v>
      </c>
      <c r="NSI38" s="125">
        <v>40</v>
      </c>
      <c r="NSJ38" s="127">
        <f>SUM(NSI38)</f>
        <v>40</v>
      </c>
      <c r="NSK38" s="129" t="s">
        <v>46</v>
      </c>
      <c r="NSL38" s="131" t="s">
        <v>44</v>
      </c>
      <c r="NSM38" s="133" t="s">
        <v>45</v>
      </c>
      <c r="NSN38" s="134"/>
      <c r="NSO38" s="135"/>
      <c r="NSP38" s="125">
        <v>0</v>
      </c>
      <c r="NSQ38" s="125">
        <v>40</v>
      </c>
      <c r="NSR38" s="127">
        <f>SUM(NSQ38)</f>
        <v>40</v>
      </c>
      <c r="NSS38" s="129" t="s">
        <v>46</v>
      </c>
      <c r="NST38" s="131" t="s">
        <v>44</v>
      </c>
      <c r="NSU38" s="133" t="s">
        <v>45</v>
      </c>
      <c r="NSV38" s="134"/>
      <c r="NSW38" s="135"/>
      <c r="NSX38" s="125">
        <v>0</v>
      </c>
      <c r="NSY38" s="125">
        <v>40</v>
      </c>
      <c r="NSZ38" s="127">
        <f>SUM(NSY38)</f>
        <v>40</v>
      </c>
      <c r="NTA38" s="129" t="s">
        <v>46</v>
      </c>
      <c r="NTB38" s="131" t="s">
        <v>44</v>
      </c>
      <c r="NTC38" s="133" t="s">
        <v>45</v>
      </c>
      <c r="NTD38" s="134"/>
      <c r="NTE38" s="135"/>
      <c r="NTF38" s="125">
        <v>0</v>
      </c>
      <c r="NTG38" s="125">
        <v>40</v>
      </c>
      <c r="NTH38" s="127">
        <f>SUM(NTG38)</f>
        <v>40</v>
      </c>
      <c r="NTI38" s="129" t="s">
        <v>46</v>
      </c>
      <c r="NTJ38" s="131" t="s">
        <v>44</v>
      </c>
      <c r="NTK38" s="133" t="s">
        <v>45</v>
      </c>
      <c r="NTL38" s="134"/>
      <c r="NTM38" s="135"/>
      <c r="NTN38" s="125">
        <v>0</v>
      </c>
      <c r="NTO38" s="125">
        <v>40</v>
      </c>
      <c r="NTP38" s="127">
        <f>SUM(NTO38)</f>
        <v>40</v>
      </c>
      <c r="NTQ38" s="129" t="s">
        <v>46</v>
      </c>
      <c r="NTR38" s="131" t="s">
        <v>44</v>
      </c>
      <c r="NTS38" s="133" t="s">
        <v>45</v>
      </c>
      <c r="NTT38" s="134"/>
      <c r="NTU38" s="135"/>
      <c r="NTV38" s="125">
        <v>0</v>
      </c>
      <c r="NTW38" s="125">
        <v>40</v>
      </c>
      <c r="NTX38" s="127">
        <f>SUM(NTW38)</f>
        <v>40</v>
      </c>
      <c r="NTY38" s="129" t="s">
        <v>46</v>
      </c>
      <c r="NTZ38" s="131" t="s">
        <v>44</v>
      </c>
      <c r="NUA38" s="133" t="s">
        <v>45</v>
      </c>
      <c r="NUB38" s="134"/>
      <c r="NUC38" s="135"/>
      <c r="NUD38" s="125">
        <v>0</v>
      </c>
      <c r="NUE38" s="125">
        <v>40</v>
      </c>
      <c r="NUF38" s="127">
        <f>SUM(NUE38)</f>
        <v>40</v>
      </c>
      <c r="NUG38" s="129" t="s">
        <v>46</v>
      </c>
      <c r="NUH38" s="131" t="s">
        <v>44</v>
      </c>
      <c r="NUI38" s="133" t="s">
        <v>45</v>
      </c>
      <c r="NUJ38" s="134"/>
      <c r="NUK38" s="135"/>
      <c r="NUL38" s="125">
        <v>0</v>
      </c>
      <c r="NUM38" s="125">
        <v>40</v>
      </c>
      <c r="NUN38" s="127">
        <f>SUM(NUM38)</f>
        <v>40</v>
      </c>
      <c r="NUO38" s="129" t="s">
        <v>46</v>
      </c>
      <c r="NUP38" s="131" t="s">
        <v>44</v>
      </c>
      <c r="NUQ38" s="133" t="s">
        <v>45</v>
      </c>
      <c r="NUR38" s="134"/>
      <c r="NUS38" s="135"/>
      <c r="NUT38" s="125">
        <v>0</v>
      </c>
      <c r="NUU38" s="125">
        <v>40</v>
      </c>
      <c r="NUV38" s="127">
        <f>SUM(NUU38)</f>
        <v>40</v>
      </c>
      <c r="NUW38" s="129" t="s">
        <v>46</v>
      </c>
      <c r="NUX38" s="131" t="s">
        <v>44</v>
      </c>
      <c r="NUY38" s="133" t="s">
        <v>45</v>
      </c>
      <c r="NUZ38" s="134"/>
      <c r="NVA38" s="135"/>
      <c r="NVB38" s="125">
        <v>0</v>
      </c>
      <c r="NVC38" s="125">
        <v>40</v>
      </c>
      <c r="NVD38" s="127">
        <f>SUM(NVC38)</f>
        <v>40</v>
      </c>
      <c r="NVE38" s="129" t="s">
        <v>46</v>
      </c>
      <c r="NVF38" s="131" t="s">
        <v>44</v>
      </c>
      <c r="NVG38" s="133" t="s">
        <v>45</v>
      </c>
      <c r="NVH38" s="134"/>
      <c r="NVI38" s="135"/>
      <c r="NVJ38" s="125">
        <v>0</v>
      </c>
      <c r="NVK38" s="125">
        <v>40</v>
      </c>
      <c r="NVL38" s="127">
        <f>SUM(NVK38)</f>
        <v>40</v>
      </c>
      <c r="NVM38" s="129" t="s">
        <v>46</v>
      </c>
      <c r="NVN38" s="131" t="s">
        <v>44</v>
      </c>
      <c r="NVO38" s="133" t="s">
        <v>45</v>
      </c>
      <c r="NVP38" s="134"/>
      <c r="NVQ38" s="135"/>
      <c r="NVR38" s="125">
        <v>0</v>
      </c>
      <c r="NVS38" s="125">
        <v>40</v>
      </c>
      <c r="NVT38" s="127">
        <f>SUM(NVS38)</f>
        <v>40</v>
      </c>
      <c r="NVU38" s="129" t="s">
        <v>46</v>
      </c>
      <c r="NVV38" s="131" t="s">
        <v>44</v>
      </c>
      <c r="NVW38" s="133" t="s">
        <v>45</v>
      </c>
      <c r="NVX38" s="134"/>
      <c r="NVY38" s="135"/>
      <c r="NVZ38" s="125">
        <v>0</v>
      </c>
      <c r="NWA38" s="125">
        <v>40</v>
      </c>
      <c r="NWB38" s="127">
        <f>SUM(NWA38)</f>
        <v>40</v>
      </c>
      <c r="NWC38" s="129" t="s">
        <v>46</v>
      </c>
      <c r="NWD38" s="131" t="s">
        <v>44</v>
      </c>
      <c r="NWE38" s="133" t="s">
        <v>45</v>
      </c>
      <c r="NWF38" s="134"/>
      <c r="NWG38" s="135"/>
      <c r="NWH38" s="125">
        <v>0</v>
      </c>
      <c r="NWI38" s="125">
        <v>40</v>
      </c>
      <c r="NWJ38" s="127">
        <f>SUM(NWI38)</f>
        <v>40</v>
      </c>
      <c r="NWK38" s="129" t="s">
        <v>46</v>
      </c>
      <c r="NWL38" s="131" t="s">
        <v>44</v>
      </c>
      <c r="NWM38" s="133" t="s">
        <v>45</v>
      </c>
      <c r="NWN38" s="134"/>
      <c r="NWO38" s="135"/>
      <c r="NWP38" s="125">
        <v>0</v>
      </c>
      <c r="NWQ38" s="125">
        <v>40</v>
      </c>
      <c r="NWR38" s="127">
        <f>SUM(NWQ38)</f>
        <v>40</v>
      </c>
      <c r="NWS38" s="129" t="s">
        <v>46</v>
      </c>
      <c r="NWT38" s="131" t="s">
        <v>44</v>
      </c>
      <c r="NWU38" s="133" t="s">
        <v>45</v>
      </c>
      <c r="NWV38" s="134"/>
      <c r="NWW38" s="135"/>
      <c r="NWX38" s="125">
        <v>0</v>
      </c>
      <c r="NWY38" s="125">
        <v>40</v>
      </c>
      <c r="NWZ38" s="127">
        <f>SUM(NWY38)</f>
        <v>40</v>
      </c>
      <c r="NXA38" s="129" t="s">
        <v>46</v>
      </c>
      <c r="NXB38" s="131" t="s">
        <v>44</v>
      </c>
      <c r="NXC38" s="133" t="s">
        <v>45</v>
      </c>
      <c r="NXD38" s="134"/>
      <c r="NXE38" s="135"/>
      <c r="NXF38" s="125">
        <v>0</v>
      </c>
      <c r="NXG38" s="125">
        <v>40</v>
      </c>
      <c r="NXH38" s="127">
        <f>SUM(NXG38)</f>
        <v>40</v>
      </c>
      <c r="NXI38" s="129" t="s">
        <v>46</v>
      </c>
      <c r="NXJ38" s="131" t="s">
        <v>44</v>
      </c>
      <c r="NXK38" s="133" t="s">
        <v>45</v>
      </c>
      <c r="NXL38" s="134"/>
      <c r="NXM38" s="135"/>
      <c r="NXN38" s="125">
        <v>0</v>
      </c>
      <c r="NXO38" s="125">
        <v>40</v>
      </c>
      <c r="NXP38" s="127">
        <f>SUM(NXO38)</f>
        <v>40</v>
      </c>
      <c r="NXQ38" s="129" t="s">
        <v>46</v>
      </c>
      <c r="NXR38" s="131" t="s">
        <v>44</v>
      </c>
      <c r="NXS38" s="133" t="s">
        <v>45</v>
      </c>
      <c r="NXT38" s="134"/>
      <c r="NXU38" s="135"/>
      <c r="NXV38" s="125">
        <v>0</v>
      </c>
      <c r="NXW38" s="125">
        <v>40</v>
      </c>
      <c r="NXX38" s="127">
        <f>SUM(NXW38)</f>
        <v>40</v>
      </c>
      <c r="NXY38" s="129" t="s">
        <v>46</v>
      </c>
      <c r="NXZ38" s="131" t="s">
        <v>44</v>
      </c>
      <c r="NYA38" s="133" t="s">
        <v>45</v>
      </c>
      <c r="NYB38" s="134"/>
      <c r="NYC38" s="135"/>
      <c r="NYD38" s="125">
        <v>0</v>
      </c>
      <c r="NYE38" s="125">
        <v>40</v>
      </c>
      <c r="NYF38" s="127">
        <f>SUM(NYE38)</f>
        <v>40</v>
      </c>
      <c r="NYG38" s="129" t="s">
        <v>46</v>
      </c>
      <c r="NYH38" s="131" t="s">
        <v>44</v>
      </c>
      <c r="NYI38" s="133" t="s">
        <v>45</v>
      </c>
      <c r="NYJ38" s="134"/>
      <c r="NYK38" s="135"/>
      <c r="NYL38" s="125">
        <v>0</v>
      </c>
      <c r="NYM38" s="125">
        <v>40</v>
      </c>
      <c r="NYN38" s="127">
        <f>SUM(NYM38)</f>
        <v>40</v>
      </c>
      <c r="NYO38" s="129" t="s">
        <v>46</v>
      </c>
      <c r="NYP38" s="131" t="s">
        <v>44</v>
      </c>
      <c r="NYQ38" s="133" t="s">
        <v>45</v>
      </c>
      <c r="NYR38" s="134"/>
      <c r="NYS38" s="135"/>
      <c r="NYT38" s="125">
        <v>0</v>
      </c>
      <c r="NYU38" s="125">
        <v>40</v>
      </c>
      <c r="NYV38" s="127">
        <f>SUM(NYU38)</f>
        <v>40</v>
      </c>
      <c r="NYW38" s="129" t="s">
        <v>46</v>
      </c>
      <c r="NYX38" s="131" t="s">
        <v>44</v>
      </c>
      <c r="NYY38" s="133" t="s">
        <v>45</v>
      </c>
      <c r="NYZ38" s="134"/>
      <c r="NZA38" s="135"/>
      <c r="NZB38" s="125">
        <v>0</v>
      </c>
      <c r="NZC38" s="125">
        <v>40</v>
      </c>
      <c r="NZD38" s="127">
        <f>SUM(NZC38)</f>
        <v>40</v>
      </c>
      <c r="NZE38" s="129" t="s">
        <v>46</v>
      </c>
      <c r="NZF38" s="131" t="s">
        <v>44</v>
      </c>
      <c r="NZG38" s="133" t="s">
        <v>45</v>
      </c>
      <c r="NZH38" s="134"/>
      <c r="NZI38" s="135"/>
      <c r="NZJ38" s="125">
        <v>0</v>
      </c>
      <c r="NZK38" s="125">
        <v>40</v>
      </c>
      <c r="NZL38" s="127">
        <f>SUM(NZK38)</f>
        <v>40</v>
      </c>
      <c r="NZM38" s="129" t="s">
        <v>46</v>
      </c>
      <c r="NZN38" s="131" t="s">
        <v>44</v>
      </c>
      <c r="NZO38" s="133" t="s">
        <v>45</v>
      </c>
      <c r="NZP38" s="134"/>
      <c r="NZQ38" s="135"/>
      <c r="NZR38" s="125">
        <v>0</v>
      </c>
      <c r="NZS38" s="125">
        <v>40</v>
      </c>
      <c r="NZT38" s="127">
        <f>SUM(NZS38)</f>
        <v>40</v>
      </c>
      <c r="NZU38" s="129" t="s">
        <v>46</v>
      </c>
      <c r="NZV38" s="131" t="s">
        <v>44</v>
      </c>
      <c r="NZW38" s="133" t="s">
        <v>45</v>
      </c>
      <c r="NZX38" s="134"/>
      <c r="NZY38" s="135"/>
      <c r="NZZ38" s="125">
        <v>0</v>
      </c>
      <c r="OAA38" s="125">
        <v>40</v>
      </c>
      <c r="OAB38" s="127">
        <f>SUM(OAA38)</f>
        <v>40</v>
      </c>
      <c r="OAC38" s="129" t="s">
        <v>46</v>
      </c>
      <c r="OAD38" s="131" t="s">
        <v>44</v>
      </c>
      <c r="OAE38" s="133" t="s">
        <v>45</v>
      </c>
      <c r="OAF38" s="134"/>
      <c r="OAG38" s="135"/>
      <c r="OAH38" s="125">
        <v>0</v>
      </c>
      <c r="OAI38" s="125">
        <v>40</v>
      </c>
      <c r="OAJ38" s="127">
        <f>SUM(OAI38)</f>
        <v>40</v>
      </c>
      <c r="OAK38" s="129" t="s">
        <v>46</v>
      </c>
      <c r="OAL38" s="131" t="s">
        <v>44</v>
      </c>
      <c r="OAM38" s="133" t="s">
        <v>45</v>
      </c>
      <c r="OAN38" s="134"/>
      <c r="OAO38" s="135"/>
      <c r="OAP38" s="125">
        <v>0</v>
      </c>
      <c r="OAQ38" s="125">
        <v>40</v>
      </c>
      <c r="OAR38" s="127">
        <f>SUM(OAQ38)</f>
        <v>40</v>
      </c>
      <c r="OAS38" s="129" t="s">
        <v>46</v>
      </c>
      <c r="OAT38" s="131" t="s">
        <v>44</v>
      </c>
      <c r="OAU38" s="133" t="s">
        <v>45</v>
      </c>
      <c r="OAV38" s="134"/>
      <c r="OAW38" s="135"/>
      <c r="OAX38" s="125">
        <v>0</v>
      </c>
      <c r="OAY38" s="125">
        <v>40</v>
      </c>
      <c r="OAZ38" s="127">
        <f>SUM(OAY38)</f>
        <v>40</v>
      </c>
      <c r="OBA38" s="129" t="s">
        <v>46</v>
      </c>
      <c r="OBB38" s="131" t="s">
        <v>44</v>
      </c>
      <c r="OBC38" s="133" t="s">
        <v>45</v>
      </c>
      <c r="OBD38" s="134"/>
      <c r="OBE38" s="135"/>
      <c r="OBF38" s="125">
        <v>0</v>
      </c>
      <c r="OBG38" s="125">
        <v>40</v>
      </c>
      <c r="OBH38" s="127">
        <f>SUM(OBG38)</f>
        <v>40</v>
      </c>
      <c r="OBI38" s="129" t="s">
        <v>46</v>
      </c>
      <c r="OBJ38" s="131" t="s">
        <v>44</v>
      </c>
      <c r="OBK38" s="133" t="s">
        <v>45</v>
      </c>
      <c r="OBL38" s="134"/>
      <c r="OBM38" s="135"/>
      <c r="OBN38" s="125">
        <v>0</v>
      </c>
      <c r="OBO38" s="125">
        <v>40</v>
      </c>
      <c r="OBP38" s="127">
        <f>SUM(OBO38)</f>
        <v>40</v>
      </c>
      <c r="OBQ38" s="129" t="s">
        <v>46</v>
      </c>
      <c r="OBR38" s="131" t="s">
        <v>44</v>
      </c>
      <c r="OBS38" s="133" t="s">
        <v>45</v>
      </c>
      <c r="OBT38" s="134"/>
      <c r="OBU38" s="135"/>
      <c r="OBV38" s="125">
        <v>0</v>
      </c>
      <c r="OBW38" s="125">
        <v>40</v>
      </c>
      <c r="OBX38" s="127">
        <f>SUM(OBW38)</f>
        <v>40</v>
      </c>
      <c r="OBY38" s="129" t="s">
        <v>46</v>
      </c>
      <c r="OBZ38" s="131" t="s">
        <v>44</v>
      </c>
      <c r="OCA38" s="133" t="s">
        <v>45</v>
      </c>
      <c r="OCB38" s="134"/>
      <c r="OCC38" s="135"/>
      <c r="OCD38" s="125">
        <v>0</v>
      </c>
      <c r="OCE38" s="125">
        <v>40</v>
      </c>
      <c r="OCF38" s="127">
        <f>SUM(OCE38)</f>
        <v>40</v>
      </c>
      <c r="OCG38" s="129" t="s">
        <v>46</v>
      </c>
      <c r="OCH38" s="131" t="s">
        <v>44</v>
      </c>
      <c r="OCI38" s="133" t="s">
        <v>45</v>
      </c>
      <c r="OCJ38" s="134"/>
      <c r="OCK38" s="135"/>
      <c r="OCL38" s="125">
        <v>0</v>
      </c>
      <c r="OCM38" s="125">
        <v>40</v>
      </c>
      <c r="OCN38" s="127">
        <f>SUM(OCM38)</f>
        <v>40</v>
      </c>
      <c r="OCO38" s="129" t="s">
        <v>46</v>
      </c>
      <c r="OCP38" s="131" t="s">
        <v>44</v>
      </c>
      <c r="OCQ38" s="133" t="s">
        <v>45</v>
      </c>
      <c r="OCR38" s="134"/>
      <c r="OCS38" s="135"/>
      <c r="OCT38" s="125">
        <v>0</v>
      </c>
      <c r="OCU38" s="125">
        <v>40</v>
      </c>
      <c r="OCV38" s="127">
        <f>SUM(OCU38)</f>
        <v>40</v>
      </c>
      <c r="OCW38" s="129" t="s">
        <v>46</v>
      </c>
      <c r="OCX38" s="131" t="s">
        <v>44</v>
      </c>
      <c r="OCY38" s="133" t="s">
        <v>45</v>
      </c>
      <c r="OCZ38" s="134"/>
      <c r="ODA38" s="135"/>
      <c r="ODB38" s="125">
        <v>0</v>
      </c>
      <c r="ODC38" s="125">
        <v>40</v>
      </c>
      <c r="ODD38" s="127">
        <f>SUM(ODC38)</f>
        <v>40</v>
      </c>
      <c r="ODE38" s="129" t="s">
        <v>46</v>
      </c>
      <c r="ODF38" s="131" t="s">
        <v>44</v>
      </c>
      <c r="ODG38" s="133" t="s">
        <v>45</v>
      </c>
      <c r="ODH38" s="134"/>
      <c r="ODI38" s="135"/>
      <c r="ODJ38" s="125">
        <v>0</v>
      </c>
      <c r="ODK38" s="125">
        <v>40</v>
      </c>
      <c r="ODL38" s="127">
        <f>SUM(ODK38)</f>
        <v>40</v>
      </c>
      <c r="ODM38" s="129" t="s">
        <v>46</v>
      </c>
      <c r="ODN38" s="131" t="s">
        <v>44</v>
      </c>
      <c r="ODO38" s="133" t="s">
        <v>45</v>
      </c>
      <c r="ODP38" s="134"/>
      <c r="ODQ38" s="135"/>
      <c r="ODR38" s="125">
        <v>0</v>
      </c>
      <c r="ODS38" s="125">
        <v>40</v>
      </c>
      <c r="ODT38" s="127">
        <f>SUM(ODS38)</f>
        <v>40</v>
      </c>
      <c r="ODU38" s="129" t="s">
        <v>46</v>
      </c>
      <c r="ODV38" s="131" t="s">
        <v>44</v>
      </c>
      <c r="ODW38" s="133" t="s">
        <v>45</v>
      </c>
      <c r="ODX38" s="134"/>
      <c r="ODY38" s="135"/>
      <c r="ODZ38" s="125">
        <v>0</v>
      </c>
      <c r="OEA38" s="125">
        <v>40</v>
      </c>
      <c r="OEB38" s="127">
        <f>SUM(OEA38)</f>
        <v>40</v>
      </c>
      <c r="OEC38" s="129" t="s">
        <v>46</v>
      </c>
      <c r="OED38" s="131" t="s">
        <v>44</v>
      </c>
      <c r="OEE38" s="133" t="s">
        <v>45</v>
      </c>
      <c r="OEF38" s="134"/>
      <c r="OEG38" s="135"/>
      <c r="OEH38" s="125">
        <v>0</v>
      </c>
      <c r="OEI38" s="125">
        <v>40</v>
      </c>
      <c r="OEJ38" s="127">
        <f>SUM(OEI38)</f>
        <v>40</v>
      </c>
      <c r="OEK38" s="129" t="s">
        <v>46</v>
      </c>
      <c r="OEL38" s="131" t="s">
        <v>44</v>
      </c>
      <c r="OEM38" s="133" t="s">
        <v>45</v>
      </c>
      <c r="OEN38" s="134"/>
      <c r="OEO38" s="135"/>
      <c r="OEP38" s="125">
        <v>0</v>
      </c>
      <c r="OEQ38" s="125">
        <v>40</v>
      </c>
      <c r="OER38" s="127">
        <f>SUM(OEQ38)</f>
        <v>40</v>
      </c>
      <c r="OES38" s="129" t="s">
        <v>46</v>
      </c>
      <c r="OET38" s="131" t="s">
        <v>44</v>
      </c>
      <c r="OEU38" s="133" t="s">
        <v>45</v>
      </c>
      <c r="OEV38" s="134"/>
      <c r="OEW38" s="135"/>
      <c r="OEX38" s="125">
        <v>0</v>
      </c>
      <c r="OEY38" s="125">
        <v>40</v>
      </c>
      <c r="OEZ38" s="127">
        <f>SUM(OEY38)</f>
        <v>40</v>
      </c>
      <c r="OFA38" s="129" t="s">
        <v>46</v>
      </c>
      <c r="OFB38" s="131" t="s">
        <v>44</v>
      </c>
      <c r="OFC38" s="133" t="s">
        <v>45</v>
      </c>
      <c r="OFD38" s="134"/>
      <c r="OFE38" s="135"/>
      <c r="OFF38" s="125">
        <v>0</v>
      </c>
      <c r="OFG38" s="125">
        <v>40</v>
      </c>
      <c r="OFH38" s="127">
        <f>SUM(OFG38)</f>
        <v>40</v>
      </c>
      <c r="OFI38" s="129" t="s">
        <v>46</v>
      </c>
      <c r="OFJ38" s="131" t="s">
        <v>44</v>
      </c>
      <c r="OFK38" s="133" t="s">
        <v>45</v>
      </c>
      <c r="OFL38" s="134"/>
      <c r="OFM38" s="135"/>
      <c r="OFN38" s="125">
        <v>0</v>
      </c>
      <c r="OFO38" s="125">
        <v>40</v>
      </c>
      <c r="OFP38" s="127">
        <f>SUM(OFO38)</f>
        <v>40</v>
      </c>
      <c r="OFQ38" s="129" t="s">
        <v>46</v>
      </c>
      <c r="OFR38" s="131" t="s">
        <v>44</v>
      </c>
      <c r="OFS38" s="133" t="s">
        <v>45</v>
      </c>
      <c r="OFT38" s="134"/>
      <c r="OFU38" s="135"/>
      <c r="OFV38" s="125">
        <v>0</v>
      </c>
      <c r="OFW38" s="125">
        <v>40</v>
      </c>
      <c r="OFX38" s="127">
        <f>SUM(OFW38)</f>
        <v>40</v>
      </c>
      <c r="OFY38" s="129" t="s">
        <v>46</v>
      </c>
      <c r="OFZ38" s="131" t="s">
        <v>44</v>
      </c>
      <c r="OGA38" s="133" t="s">
        <v>45</v>
      </c>
      <c r="OGB38" s="134"/>
      <c r="OGC38" s="135"/>
      <c r="OGD38" s="125">
        <v>0</v>
      </c>
      <c r="OGE38" s="125">
        <v>40</v>
      </c>
      <c r="OGF38" s="127">
        <f>SUM(OGE38)</f>
        <v>40</v>
      </c>
      <c r="OGG38" s="129" t="s">
        <v>46</v>
      </c>
      <c r="OGH38" s="131" t="s">
        <v>44</v>
      </c>
      <c r="OGI38" s="133" t="s">
        <v>45</v>
      </c>
      <c r="OGJ38" s="134"/>
      <c r="OGK38" s="135"/>
      <c r="OGL38" s="125">
        <v>0</v>
      </c>
      <c r="OGM38" s="125">
        <v>40</v>
      </c>
      <c r="OGN38" s="127">
        <f>SUM(OGM38)</f>
        <v>40</v>
      </c>
      <c r="OGO38" s="129" t="s">
        <v>46</v>
      </c>
      <c r="OGP38" s="131" t="s">
        <v>44</v>
      </c>
      <c r="OGQ38" s="133" t="s">
        <v>45</v>
      </c>
      <c r="OGR38" s="134"/>
      <c r="OGS38" s="135"/>
      <c r="OGT38" s="125">
        <v>0</v>
      </c>
      <c r="OGU38" s="125">
        <v>40</v>
      </c>
      <c r="OGV38" s="127">
        <f>SUM(OGU38)</f>
        <v>40</v>
      </c>
      <c r="OGW38" s="129" t="s">
        <v>46</v>
      </c>
      <c r="OGX38" s="131" t="s">
        <v>44</v>
      </c>
      <c r="OGY38" s="133" t="s">
        <v>45</v>
      </c>
      <c r="OGZ38" s="134"/>
      <c r="OHA38" s="135"/>
      <c r="OHB38" s="125">
        <v>0</v>
      </c>
      <c r="OHC38" s="125">
        <v>40</v>
      </c>
      <c r="OHD38" s="127">
        <f>SUM(OHC38)</f>
        <v>40</v>
      </c>
      <c r="OHE38" s="129" t="s">
        <v>46</v>
      </c>
      <c r="OHF38" s="131" t="s">
        <v>44</v>
      </c>
      <c r="OHG38" s="133" t="s">
        <v>45</v>
      </c>
      <c r="OHH38" s="134"/>
      <c r="OHI38" s="135"/>
      <c r="OHJ38" s="125">
        <v>0</v>
      </c>
      <c r="OHK38" s="125">
        <v>40</v>
      </c>
      <c r="OHL38" s="127">
        <f>SUM(OHK38)</f>
        <v>40</v>
      </c>
      <c r="OHM38" s="129" t="s">
        <v>46</v>
      </c>
      <c r="OHN38" s="131" t="s">
        <v>44</v>
      </c>
      <c r="OHO38" s="133" t="s">
        <v>45</v>
      </c>
      <c r="OHP38" s="134"/>
      <c r="OHQ38" s="135"/>
      <c r="OHR38" s="125">
        <v>0</v>
      </c>
      <c r="OHS38" s="125">
        <v>40</v>
      </c>
      <c r="OHT38" s="127">
        <f>SUM(OHS38)</f>
        <v>40</v>
      </c>
      <c r="OHU38" s="129" t="s">
        <v>46</v>
      </c>
      <c r="OHV38" s="131" t="s">
        <v>44</v>
      </c>
      <c r="OHW38" s="133" t="s">
        <v>45</v>
      </c>
      <c r="OHX38" s="134"/>
      <c r="OHY38" s="135"/>
      <c r="OHZ38" s="125">
        <v>0</v>
      </c>
      <c r="OIA38" s="125">
        <v>40</v>
      </c>
      <c r="OIB38" s="127">
        <f>SUM(OIA38)</f>
        <v>40</v>
      </c>
      <c r="OIC38" s="129" t="s">
        <v>46</v>
      </c>
      <c r="OID38" s="131" t="s">
        <v>44</v>
      </c>
      <c r="OIE38" s="133" t="s">
        <v>45</v>
      </c>
      <c r="OIF38" s="134"/>
      <c r="OIG38" s="135"/>
      <c r="OIH38" s="125">
        <v>0</v>
      </c>
      <c r="OII38" s="125">
        <v>40</v>
      </c>
      <c r="OIJ38" s="127">
        <f>SUM(OII38)</f>
        <v>40</v>
      </c>
      <c r="OIK38" s="129" t="s">
        <v>46</v>
      </c>
      <c r="OIL38" s="131" t="s">
        <v>44</v>
      </c>
      <c r="OIM38" s="133" t="s">
        <v>45</v>
      </c>
      <c r="OIN38" s="134"/>
      <c r="OIO38" s="135"/>
      <c r="OIP38" s="125">
        <v>0</v>
      </c>
      <c r="OIQ38" s="125">
        <v>40</v>
      </c>
      <c r="OIR38" s="127">
        <f>SUM(OIQ38)</f>
        <v>40</v>
      </c>
      <c r="OIS38" s="129" t="s">
        <v>46</v>
      </c>
      <c r="OIT38" s="131" t="s">
        <v>44</v>
      </c>
      <c r="OIU38" s="133" t="s">
        <v>45</v>
      </c>
      <c r="OIV38" s="134"/>
      <c r="OIW38" s="135"/>
      <c r="OIX38" s="125">
        <v>0</v>
      </c>
      <c r="OIY38" s="125">
        <v>40</v>
      </c>
      <c r="OIZ38" s="127">
        <f>SUM(OIY38)</f>
        <v>40</v>
      </c>
      <c r="OJA38" s="129" t="s">
        <v>46</v>
      </c>
      <c r="OJB38" s="131" t="s">
        <v>44</v>
      </c>
      <c r="OJC38" s="133" t="s">
        <v>45</v>
      </c>
      <c r="OJD38" s="134"/>
      <c r="OJE38" s="135"/>
      <c r="OJF38" s="125">
        <v>0</v>
      </c>
      <c r="OJG38" s="125">
        <v>40</v>
      </c>
      <c r="OJH38" s="127">
        <f>SUM(OJG38)</f>
        <v>40</v>
      </c>
      <c r="OJI38" s="129" t="s">
        <v>46</v>
      </c>
      <c r="OJJ38" s="131" t="s">
        <v>44</v>
      </c>
      <c r="OJK38" s="133" t="s">
        <v>45</v>
      </c>
      <c r="OJL38" s="134"/>
      <c r="OJM38" s="135"/>
      <c r="OJN38" s="125">
        <v>0</v>
      </c>
      <c r="OJO38" s="125">
        <v>40</v>
      </c>
      <c r="OJP38" s="127">
        <f>SUM(OJO38)</f>
        <v>40</v>
      </c>
      <c r="OJQ38" s="129" t="s">
        <v>46</v>
      </c>
      <c r="OJR38" s="131" t="s">
        <v>44</v>
      </c>
      <c r="OJS38" s="133" t="s">
        <v>45</v>
      </c>
      <c r="OJT38" s="134"/>
      <c r="OJU38" s="135"/>
      <c r="OJV38" s="125">
        <v>0</v>
      </c>
      <c r="OJW38" s="125">
        <v>40</v>
      </c>
      <c r="OJX38" s="127">
        <f>SUM(OJW38)</f>
        <v>40</v>
      </c>
      <c r="OJY38" s="129" t="s">
        <v>46</v>
      </c>
      <c r="OJZ38" s="131" t="s">
        <v>44</v>
      </c>
      <c r="OKA38" s="133" t="s">
        <v>45</v>
      </c>
      <c r="OKB38" s="134"/>
      <c r="OKC38" s="135"/>
      <c r="OKD38" s="125">
        <v>0</v>
      </c>
      <c r="OKE38" s="125">
        <v>40</v>
      </c>
      <c r="OKF38" s="127">
        <f>SUM(OKE38)</f>
        <v>40</v>
      </c>
      <c r="OKG38" s="129" t="s">
        <v>46</v>
      </c>
      <c r="OKH38" s="131" t="s">
        <v>44</v>
      </c>
      <c r="OKI38" s="133" t="s">
        <v>45</v>
      </c>
      <c r="OKJ38" s="134"/>
      <c r="OKK38" s="135"/>
      <c r="OKL38" s="125">
        <v>0</v>
      </c>
      <c r="OKM38" s="125">
        <v>40</v>
      </c>
      <c r="OKN38" s="127">
        <f>SUM(OKM38)</f>
        <v>40</v>
      </c>
      <c r="OKO38" s="129" t="s">
        <v>46</v>
      </c>
      <c r="OKP38" s="131" t="s">
        <v>44</v>
      </c>
      <c r="OKQ38" s="133" t="s">
        <v>45</v>
      </c>
      <c r="OKR38" s="134"/>
      <c r="OKS38" s="135"/>
      <c r="OKT38" s="125">
        <v>0</v>
      </c>
      <c r="OKU38" s="125">
        <v>40</v>
      </c>
      <c r="OKV38" s="127">
        <f>SUM(OKU38)</f>
        <v>40</v>
      </c>
      <c r="OKW38" s="129" t="s">
        <v>46</v>
      </c>
      <c r="OKX38" s="131" t="s">
        <v>44</v>
      </c>
      <c r="OKY38" s="133" t="s">
        <v>45</v>
      </c>
      <c r="OKZ38" s="134"/>
      <c r="OLA38" s="135"/>
      <c r="OLB38" s="125">
        <v>0</v>
      </c>
      <c r="OLC38" s="125">
        <v>40</v>
      </c>
      <c r="OLD38" s="127">
        <f>SUM(OLC38)</f>
        <v>40</v>
      </c>
      <c r="OLE38" s="129" t="s">
        <v>46</v>
      </c>
      <c r="OLF38" s="131" t="s">
        <v>44</v>
      </c>
      <c r="OLG38" s="133" t="s">
        <v>45</v>
      </c>
      <c r="OLH38" s="134"/>
      <c r="OLI38" s="135"/>
      <c r="OLJ38" s="125">
        <v>0</v>
      </c>
      <c r="OLK38" s="125">
        <v>40</v>
      </c>
      <c r="OLL38" s="127">
        <f>SUM(OLK38)</f>
        <v>40</v>
      </c>
      <c r="OLM38" s="129" t="s">
        <v>46</v>
      </c>
      <c r="OLN38" s="131" t="s">
        <v>44</v>
      </c>
      <c r="OLO38" s="133" t="s">
        <v>45</v>
      </c>
      <c r="OLP38" s="134"/>
      <c r="OLQ38" s="135"/>
      <c r="OLR38" s="125">
        <v>0</v>
      </c>
      <c r="OLS38" s="125">
        <v>40</v>
      </c>
      <c r="OLT38" s="127">
        <f>SUM(OLS38)</f>
        <v>40</v>
      </c>
      <c r="OLU38" s="129" t="s">
        <v>46</v>
      </c>
      <c r="OLV38" s="131" t="s">
        <v>44</v>
      </c>
      <c r="OLW38" s="133" t="s">
        <v>45</v>
      </c>
      <c r="OLX38" s="134"/>
      <c r="OLY38" s="135"/>
      <c r="OLZ38" s="125">
        <v>0</v>
      </c>
      <c r="OMA38" s="125">
        <v>40</v>
      </c>
      <c r="OMB38" s="127">
        <f>SUM(OMA38)</f>
        <v>40</v>
      </c>
      <c r="OMC38" s="129" t="s">
        <v>46</v>
      </c>
      <c r="OMD38" s="131" t="s">
        <v>44</v>
      </c>
      <c r="OME38" s="133" t="s">
        <v>45</v>
      </c>
      <c r="OMF38" s="134"/>
      <c r="OMG38" s="135"/>
      <c r="OMH38" s="125">
        <v>0</v>
      </c>
      <c r="OMI38" s="125">
        <v>40</v>
      </c>
      <c r="OMJ38" s="127">
        <f>SUM(OMI38)</f>
        <v>40</v>
      </c>
      <c r="OMK38" s="129" t="s">
        <v>46</v>
      </c>
      <c r="OML38" s="131" t="s">
        <v>44</v>
      </c>
      <c r="OMM38" s="133" t="s">
        <v>45</v>
      </c>
      <c r="OMN38" s="134"/>
      <c r="OMO38" s="135"/>
      <c r="OMP38" s="125">
        <v>0</v>
      </c>
      <c r="OMQ38" s="125">
        <v>40</v>
      </c>
      <c r="OMR38" s="127">
        <f>SUM(OMQ38)</f>
        <v>40</v>
      </c>
      <c r="OMS38" s="129" t="s">
        <v>46</v>
      </c>
      <c r="OMT38" s="131" t="s">
        <v>44</v>
      </c>
      <c r="OMU38" s="133" t="s">
        <v>45</v>
      </c>
      <c r="OMV38" s="134"/>
      <c r="OMW38" s="135"/>
      <c r="OMX38" s="125">
        <v>0</v>
      </c>
      <c r="OMY38" s="125">
        <v>40</v>
      </c>
      <c r="OMZ38" s="127">
        <f>SUM(OMY38)</f>
        <v>40</v>
      </c>
      <c r="ONA38" s="129" t="s">
        <v>46</v>
      </c>
      <c r="ONB38" s="131" t="s">
        <v>44</v>
      </c>
      <c r="ONC38" s="133" t="s">
        <v>45</v>
      </c>
      <c r="OND38" s="134"/>
      <c r="ONE38" s="135"/>
      <c r="ONF38" s="125">
        <v>0</v>
      </c>
      <c r="ONG38" s="125">
        <v>40</v>
      </c>
      <c r="ONH38" s="127">
        <f>SUM(ONG38)</f>
        <v>40</v>
      </c>
      <c r="ONI38" s="129" t="s">
        <v>46</v>
      </c>
      <c r="ONJ38" s="131" t="s">
        <v>44</v>
      </c>
      <c r="ONK38" s="133" t="s">
        <v>45</v>
      </c>
      <c r="ONL38" s="134"/>
      <c r="ONM38" s="135"/>
      <c r="ONN38" s="125">
        <v>0</v>
      </c>
      <c r="ONO38" s="125">
        <v>40</v>
      </c>
      <c r="ONP38" s="127">
        <f>SUM(ONO38)</f>
        <v>40</v>
      </c>
      <c r="ONQ38" s="129" t="s">
        <v>46</v>
      </c>
      <c r="ONR38" s="131" t="s">
        <v>44</v>
      </c>
      <c r="ONS38" s="133" t="s">
        <v>45</v>
      </c>
      <c r="ONT38" s="134"/>
      <c r="ONU38" s="135"/>
      <c r="ONV38" s="125">
        <v>0</v>
      </c>
      <c r="ONW38" s="125">
        <v>40</v>
      </c>
      <c r="ONX38" s="127">
        <f>SUM(ONW38)</f>
        <v>40</v>
      </c>
      <c r="ONY38" s="129" t="s">
        <v>46</v>
      </c>
      <c r="ONZ38" s="131" t="s">
        <v>44</v>
      </c>
      <c r="OOA38" s="133" t="s">
        <v>45</v>
      </c>
      <c r="OOB38" s="134"/>
      <c r="OOC38" s="135"/>
      <c r="OOD38" s="125">
        <v>0</v>
      </c>
      <c r="OOE38" s="125">
        <v>40</v>
      </c>
      <c r="OOF38" s="127">
        <f>SUM(OOE38)</f>
        <v>40</v>
      </c>
      <c r="OOG38" s="129" t="s">
        <v>46</v>
      </c>
      <c r="OOH38" s="131" t="s">
        <v>44</v>
      </c>
      <c r="OOI38" s="133" t="s">
        <v>45</v>
      </c>
      <c r="OOJ38" s="134"/>
      <c r="OOK38" s="135"/>
      <c r="OOL38" s="125">
        <v>0</v>
      </c>
      <c r="OOM38" s="125">
        <v>40</v>
      </c>
      <c r="OON38" s="127">
        <f>SUM(OOM38)</f>
        <v>40</v>
      </c>
      <c r="OOO38" s="129" t="s">
        <v>46</v>
      </c>
      <c r="OOP38" s="131" t="s">
        <v>44</v>
      </c>
      <c r="OOQ38" s="133" t="s">
        <v>45</v>
      </c>
      <c r="OOR38" s="134"/>
      <c r="OOS38" s="135"/>
      <c r="OOT38" s="125">
        <v>0</v>
      </c>
      <c r="OOU38" s="125">
        <v>40</v>
      </c>
      <c r="OOV38" s="127">
        <f>SUM(OOU38)</f>
        <v>40</v>
      </c>
      <c r="OOW38" s="129" t="s">
        <v>46</v>
      </c>
      <c r="OOX38" s="131" t="s">
        <v>44</v>
      </c>
      <c r="OOY38" s="133" t="s">
        <v>45</v>
      </c>
      <c r="OOZ38" s="134"/>
      <c r="OPA38" s="135"/>
      <c r="OPB38" s="125">
        <v>0</v>
      </c>
      <c r="OPC38" s="125">
        <v>40</v>
      </c>
      <c r="OPD38" s="127">
        <f>SUM(OPC38)</f>
        <v>40</v>
      </c>
      <c r="OPE38" s="129" t="s">
        <v>46</v>
      </c>
      <c r="OPF38" s="131" t="s">
        <v>44</v>
      </c>
      <c r="OPG38" s="133" t="s">
        <v>45</v>
      </c>
      <c r="OPH38" s="134"/>
      <c r="OPI38" s="135"/>
      <c r="OPJ38" s="125">
        <v>0</v>
      </c>
      <c r="OPK38" s="125">
        <v>40</v>
      </c>
      <c r="OPL38" s="127">
        <f>SUM(OPK38)</f>
        <v>40</v>
      </c>
      <c r="OPM38" s="129" t="s">
        <v>46</v>
      </c>
      <c r="OPN38" s="131" t="s">
        <v>44</v>
      </c>
      <c r="OPO38" s="133" t="s">
        <v>45</v>
      </c>
      <c r="OPP38" s="134"/>
      <c r="OPQ38" s="135"/>
      <c r="OPR38" s="125">
        <v>0</v>
      </c>
      <c r="OPS38" s="125">
        <v>40</v>
      </c>
      <c r="OPT38" s="127">
        <f>SUM(OPS38)</f>
        <v>40</v>
      </c>
      <c r="OPU38" s="129" t="s">
        <v>46</v>
      </c>
      <c r="OPV38" s="131" t="s">
        <v>44</v>
      </c>
      <c r="OPW38" s="133" t="s">
        <v>45</v>
      </c>
      <c r="OPX38" s="134"/>
      <c r="OPY38" s="135"/>
      <c r="OPZ38" s="125">
        <v>0</v>
      </c>
      <c r="OQA38" s="125">
        <v>40</v>
      </c>
      <c r="OQB38" s="127">
        <f>SUM(OQA38)</f>
        <v>40</v>
      </c>
      <c r="OQC38" s="129" t="s">
        <v>46</v>
      </c>
      <c r="OQD38" s="131" t="s">
        <v>44</v>
      </c>
      <c r="OQE38" s="133" t="s">
        <v>45</v>
      </c>
      <c r="OQF38" s="134"/>
      <c r="OQG38" s="135"/>
      <c r="OQH38" s="125">
        <v>0</v>
      </c>
      <c r="OQI38" s="125">
        <v>40</v>
      </c>
      <c r="OQJ38" s="127">
        <f>SUM(OQI38)</f>
        <v>40</v>
      </c>
      <c r="OQK38" s="129" t="s">
        <v>46</v>
      </c>
      <c r="OQL38" s="131" t="s">
        <v>44</v>
      </c>
      <c r="OQM38" s="133" t="s">
        <v>45</v>
      </c>
      <c r="OQN38" s="134"/>
      <c r="OQO38" s="135"/>
      <c r="OQP38" s="125">
        <v>0</v>
      </c>
      <c r="OQQ38" s="125">
        <v>40</v>
      </c>
      <c r="OQR38" s="127">
        <f>SUM(OQQ38)</f>
        <v>40</v>
      </c>
      <c r="OQS38" s="129" t="s">
        <v>46</v>
      </c>
      <c r="OQT38" s="131" t="s">
        <v>44</v>
      </c>
      <c r="OQU38" s="133" t="s">
        <v>45</v>
      </c>
      <c r="OQV38" s="134"/>
      <c r="OQW38" s="135"/>
      <c r="OQX38" s="125">
        <v>0</v>
      </c>
      <c r="OQY38" s="125">
        <v>40</v>
      </c>
      <c r="OQZ38" s="127">
        <f>SUM(OQY38)</f>
        <v>40</v>
      </c>
      <c r="ORA38" s="129" t="s">
        <v>46</v>
      </c>
      <c r="ORB38" s="131" t="s">
        <v>44</v>
      </c>
      <c r="ORC38" s="133" t="s">
        <v>45</v>
      </c>
      <c r="ORD38" s="134"/>
      <c r="ORE38" s="135"/>
      <c r="ORF38" s="125">
        <v>0</v>
      </c>
      <c r="ORG38" s="125">
        <v>40</v>
      </c>
      <c r="ORH38" s="127">
        <f>SUM(ORG38)</f>
        <v>40</v>
      </c>
      <c r="ORI38" s="129" t="s">
        <v>46</v>
      </c>
      <c r="ORJ38" s="131" t="s">
        <v>44</v>
      </c>
      <c r="ORK38" s="133" t="s">
        <v>45</v>
      </c>
      <c r="ORL38" s="134"/>
      <c r="ORM38" s="135"/>
      <c r="ORN38" s="125">
        <v>0</v>
      </c>
      <c r="ORO38" s="125">
        <v>40</v>
      </c>
      <c r="ORP38" s="127">
        <f>SUM(ORO38)</f>
        <v>40</v>
      </c>
      <c r="ORQ38" s="129" t="s">
        <v>46</v>
      </c>
      <c r="ORR38" s="131" t="s">
        <v>44</v>
      </c>
      <c r="ORS38" s="133" t="s">
        <v>45</v>
      </c>
      <c r="ORT38" s="134"/>
      <c r="ORU38" s="135"/>
      <c r="ORV38" s="125">
        <v>0</v>
      </c>
      <c r="ORW38" s="125">
        <v>40</v>
      </c>
      <c r="ORX38" s="127">
        <f>SUM(ORW38)</f>
        <v>40</v>
      </c>
      <c r="ORY38" s="129" t="s">
        <v>46</v>
      </c>
      <c r="ORZ38" s="131" t="s">
        <v>44</v>
      </c>
      <c r="OSA38" s="133" t="s">
        <v>45</v>
      </c>
      <c r="OSB38" s="134"/>
      <c r="OSC38" s="135"/>
      <c r="OSD38" s="125">
        <v>0</v>
      </c>
      <c r="OSE38" s="125">
        <v>40</v>
      </c>
      <c r="OSF38" s="127">
        <f>SUM(OSE38)</f>
        <v>40</v>
      </c>
      <c r="OSG38" s="129" t="s">
        <v>46</v>
      </c>
      <c r="OSH38" s="131" t="s">
        <v>44</v>
      </c>
      <c r="OSI38" s="133" t="s">
        <v>45</v>
      </c>
      <c r="OSJ38" s="134"/>
      <c r="OSK38" s="135"/>
      <c r="OSL38" s="125">
        <v>0</v>
      </c>
      <c r="OSM38" s="125">
        <v>40</v>
      </c>
      <c r="OSN38" s="127">
        <f>SUM(OSM38)</f>
        <v>40</v>
      </c>
      <c r="OSO38" s="129" t="s">
        <v>46</v>
      </c>
      <c r="OSP38" s="131" t="s">
        <v>44</v>
      </c>
      <c r="OSQ38" s="133" t="s">
        <v>45</v>
      </c>
      <c r="OSR38" s="134"/>
      <c r="OSS38" s="135"/>
      <c r="OST38" s="125">
        <v>0</v>
      </c>
      <c r="OSU38" s="125">
        <v>40</v>
      </c>
      <c r="OSV38" s="127">
        <f>SUM(OSU38)</f>
        <v>40</v>
      </c>
      <c r="OSW38" s="129" t="s">
        <v>46</v>
      </c>
      <c r="OSX38" s="131" t="s">
        <v>44</v>
      </c>
      <c r="OSY38" s="133" t="s">
        <v>45</v>
      </c>
      <c r="OSZ38" s="134"/>
      <c r="OTA38" s="135"/>
      <c r="OTB38" s="125">
        <v>0</v>
      </c>
      <c r="OTC38" s="125">
        <v>40</v>
      </c>
      <c r="OTD38" s="127">
        <f>SUM(OTC38)</f>
        <v>40</v>
      </c>
      <c r="OTE38" s="129" t="s">
        <v>46</v>
      </c>
      <c r="OTF38" s="131" t="s">
        <v>44</v>
      </c>
      <c r="OTG38" s="133" t="s">
        <v>45</v>
      </c>
      <c r="OTH38" s="134"/>
      <c r="OTI38" s="135"/>
      <c r="OTJ38" s="125">
        <v>0</v>
      </c>
      <c r="OTK38" s="125">
        <v>40</v>
      </c>
      <c r="OTL38" s="127">
        <f>SUM(OTK38)</f>
        <v>40</v>
      </c>
      <c r="OTM38" s="129" t="s">
        <v>46</v>
      </c>
      <c r="OTN38" s="131" t="s">
        <v>44</v>
      </c>
      <c r="OTO38" s="133" t="s">
        <v>45</v>
      </c>
      <c r="OTP38" s="134"/>
      <c r="OTQ38" s="135"/>
      <c r="OTR38" s="125">
        <v>0</v>
      </c>
      <c r="OTS38" s="125">
        <v>40</v>
      </c>
      <c r="OTT38" s="127">
        <f>SUM(OTS38)</f>
        <v>40</v>
      </c>
      <c r="OTU38" s="129" t="s">
        <v>46</v>
      </c>
      <c r="OTV38" s="131" t="s">
        <v>44</v>
      </c>
      <c r="OTW38" s="133" t="s">
        <v>45</v>
      </c>
      <c r="OTX38" s="134"/>
      <c r="OTY38" s="135"/>
      <c r="OTZ38" s="125">
        <v>0</v>
      </c>
      <c r="OUA38" s="125">
        <v>40</v>
      </c>
      <c r="OUB38" s="127">
        <f>SUM(OUA38)</f>
        <v>40</v>
      </c>
      <c r="OUC38" s="129" t="s">
        <v>46</v>
      </c>
      <c r="OUD38" s="131" t="s">
        <v>44</v>
      </c>
      <c r="OUE38" s="133" t="s">
        <v>45</v>
      </c>
      <c r="OUF38" s="134"/>
      <c r="OUG38" s="135"/>
      <c r="OUH38" s="125">
        <v>0</v>
      </c>
      <c r="OUI38" s="125">
        <v>40</v>
      </c>
      <c r="OUJ38" s="127">
        <f>SUM(OUI38)</f>
        <v>40</v>
      </c>
      <c r="OUK38" s="129" t="s">
        <v>46</v>
      </c>
      <c r="OUL38" s="131" t="s">
        <v>44</v>
      </c>
      <c r="OUM38" s="133" t="s">
        <v>45</v>
      </c>
      <c r="OUN38" s="134"/>
      <c r="OUO38" s="135"/>
      <c r="OUP38" s="125">
        <v>0</v>
      </c>
      <c r="OUQ38" s="125">
        <v>40</v>
      </c>
      <c r="OUR38" s="127">
        <f>SUM(OUQ38)</f>
        <v>40</v>
      </c>
      <c r="OUS38" s="129" t="s">
        <v>46</v>
      </c>
      <c r="OUT38" s="131" t="s">
        <v>44</v>
      </c>
      <c r="OUU38" s="133" t="s">
        <v>45</v>
      </c>
      <c r="OUV38" s="134"/>
      <c r="OUW38" s="135"/>
      <c r="OUX38" s="125">
        <v>0</v>
      </c>
      <c r="OUY38" s="125">
        <v>40</v>
      </c>
      <c r="OUZ38" s="127">
        <f>SUM(OUY38)</f>
        <v>40</v>
      </c>
      <c r="OVA38" s="129" t="s">
        <v>46</v>
      </c>
      <c r="OVB38" s="131" t="s">
        <v>44</v>
      </c>
      <c r="OVC38" s="133" t="s">
        <v>45</v>
      </c>
      <c r="OVD38" s="134"/>
      <c r="OVE38" s="135"/>
      <c r="OVF38" s="125">
        <v>0</v>
      </c>
      <c r="OVG38" s="125">
        <v>40</v>
      </c>
      <c r="OVH38" s="127">
        <f>SUM(OVG38)</f>
        <v>40</v>
      </c>
      <c r="OVI38" s="129" t="s">
        <v>46</v>
      </c>
      <c r="OVJ38" s="131" t="s">
        <v>44</v>
      </c>
      <c r="OVK38" s="133" t="s">
        <v>45</v>
      </c>
      <c r="OVL38" s="134"/>
      <c r="OVM38" s="135"/>
      <c r="OVN38" s="125">
        <v>0</v>
      </c>
      <c r="OVO38" s="125">
        <v>40</v>
      </c>
      <c r="OVP38" s="127">
        <f>SUM(OVO38)</f>
        <v>40</v>
      </c>
      <c r="OVQ38" s="129" t="s">
        <v>46</v>
      </c>
      <c r="OVR38" s="131" t="s">
        <v>44</v>
      </c>
      <c r="OVS38" s="133" t="s">
        <v>45</v>
      </c>
      <c r="OVT38" s="134"/>
      <c r="OVU38" s="135"/>
      <c r="OVV38" s="125">
        <v>0</v>
      </c>
      <c r="OVW38" s="125">
        <v>40</v>
      </c>
      <c r="OVX38" s="127">
        <f>SUM(OVW38)</f>
        <v>40</v>
      </c>
      <c r="OVY38" s="129" t="s">
        <v>46</v>
      </c>
      <c r="OVZ38" s="131" t="s">
        <v>44</v>
      </c>
      <c r="OWA38" s="133" t="s">
        <v>45</v>
      </c>
      <c r="OWB38" s="134"/>
      <c r="OWC38" s="135"/>
      <c r="OWD38" s="125">
        <v>0</v>
      </c>
      <c r="OWE38" s="125">
        <v>40</v>
      </c>
      <c r="OWF38" s="127">
        <f>SUM(OWE38)</f>
        <v>40</v>
      </c>
      <c r="OWG38" s="129" t="s">
        <v>46</v>
      </c>
      <c r="OWH38" s="131" t="s">
        <v>44</v>
      </c>
      <c r="OWI38" s="133" t="s">
        <v>45</v>
      </c>
      <c r="OWJ38" s="134"/>
      <c r="OWK38" s="135"/>
      <c r="OWL38" s="125">
        <v>0</v>
      </c>
      <c r="OWM38" s="125">
        <v>40</v>
      </c>
      <c r="OWN38" s="127">
        <f>SUM(OWM38)</f>
        <v>40</v>
      </c>
      <c r="OWO38" s="129" t="s">
        <v>46</v>
      </c>
      <c r="OWP38" s="131" t="s">
        <v>44</v>
      </c>
      <c r="OWQ38" s="133" t="s">
        <v>45</v>
      </c>
      <c r="OWR38" s="134"/>
      <c r="OWS38" s="135"/>
      <c r="OWT38" s="125">
        <v>0</v>
      </c>
      <c r="OWU38" s="125">
        <v>40</v>
      </c>
      <c r="OWV38" s="127">
        <f>SUM(OWU38)</f>
        <v>40</v>
      </c>
      <c r="OWW38" s="129" t="s">
        <v>46</v>
      </c>
      <c r="OWX38" s="131" t="s">
        <v>44</v>
      </c>
      <c r="OWY38" s="133" t="s">
        <v>45</v>
      </c>
      <c r="OWZ38" s="134"/>
      <c r="OXA38" s="135"/>
      <c r="OXB38" s="125">
        <v>0</v>
      </c>
      <c r="OXC38" s="125">
        <v>40</v>
      </c>
      <c r="OXD38" s="127">
        <f>SUM(OXC38)</f>
        <v>40</v>
      </c>
      <c r="OXE38" s="129" t="s">
        <v>46</v>
      </c>
      <c r="OXF38" s="131" t="s">
        <v>44</v>
      </c>
      <c r="OXG38" s="133" t="s">
        <v>45</v>
      </c>
      <c r="OXH38" s="134"/>
      <c r="OXI38" s="135"/>
      <c r="OXJ38" s="125">
        <v>0</v>
      </c>
      <c r="OXK38" s="125">
        <v>40</v>
      </c>
      <c r="OXL38" s="127">
        <f>SUM(OXK38)</f>
        <v>40</v>
      </c>
      <c r="OXM38" s="129" t="s">
        <v>46</v>
      </c>
      <c r="OXN38" s="131" t="s">
        <v>44</v>
      </c>
      <c r="OXO38" s="133" t="s">
        <v>45</v>
      </c>
      <c r="OXP38" s="134"/>
      <c r="OXQ38" s="135"/>
      <c r="OXR38" s="125">
        <v>0</v>
      </c>
      <c r="OXS38" s="125">
        <v>40</v>
      </c>
      <c r="OXT38" s="127">
        <f>SUM(OXS38)</f>
        <v>40</v>
      </c>
      <c r="OXU38" s="129" t="s">
        <v>46</v>
      </c>
      <c r="OXV38" s="131" t="s">
        <v>44</v>
      </c>
      <c r="OXW38" s="133" t="s">
        <v>45</v>
      </c>
      <c r="OXX38" s="134"/>
      <c r="OXY38" s="135"/>
      <c r="OXZ38" s="125">
        <v>0</v>
      </c>
      <c r="OYA38" s="125">
        <v>40</v>
      </c>
      <c r="OYB38" s="127">
        <f>SUM(OYA38)</f>
        <v>40</v>
      </c>
      <c r="OYC38" s="129" t="s">
        <v>46</v>
      </c>
      <c r="OYD38" s="131" t="s">
        <v>44</v>
      </c>
      <c r="OYE38" s="133" t="s">
        <v>45</v>
      </c>
      <c r="OYF38" s="134"/>
      <c r="OYG38" s="135"/>
      <c r="OYH38" s="125">
        <v>0</v>
      </c>
      <c r="OYI38" s="125">
        <v>40</v>
      </c>
      <c r="OYJ38" s="127">
        <f>SUM(OYI38)</f>
        <v>40</v>
      </c>
      <c r="OYK38" s="129" t="s">
        <v>46</v>
      </c>
      <c r="OYL38" s="131" t="s">
        <v>44</v>
      </c>
      <c r="OYM38" s="133" t="s">
        <v>45</v>
      </c>
      <c r="OYN38" s="134"/>
      <c r="OYO38" s="135"/>
      <c r="OYP38" s="125">
        <v>0</v>
      </c>
      <c r="OYQ38" s="125">
        <v>40</v>
      </c>
      <c r="OYR38" s="127">
        <f>SUM(OYQ38)</f>
        <v>40</v>
      </c>
      <c r="OYS38" s="129" t="s">
        <v>46</v>
      </c>
      <c r="OYT38" s="131" t="s">
        <v>44</v>
      </c>
      <c r="OYU38" s="133" t="s">
        <v>45</v>
      </c>
      <c r="OYV38" s="134"/>
      <c r="OYW38" s="135"/>
      <c r="OYX38" s="125">
        <v>0</v>
      </c>
      <c r="OYY38" s="125">
        <v>40</v>
      </c>
      <c r="OYZ38" s="127">
        <f>SUM(OYY38)</f>
        <v>40</v>
      </c>
      <c r="OZA38" s="129" t="s">
        <v>46</v>
      </c>
      <c r="OZB38" s="131" t="s">
        <v>44</v>
      </c>
      <c r="OZC38" s="133" t="s">
        <v>45</v>
      </c>
      <c r="OZD38" s="134"/>
      <c r="OZE38" s="135"/>
      <c r="OZF38" s="125">
        <v>0</v>
      </c>
      <c r="OZG38" s="125">
        <v>40</v>
      </c>
      <c r="OZH38" s="127">
        <f>SUM(OZG38)</f>
        <v>40</v>
      </c>
      <c r="OZI38" s="129" t="s">
        <v>46</v>
      </c>
      <c r="OZJ38" s="131" t="s">
        <v>44</v>
      </c>
      <c r="OZK38" s="133" t="s">
        <v>45</v>
      </c>
      <c r="OZL38" s="134"/>
      <c r="OZM38" s="135"/>
      <c r="OZN38" s="125">
        <v>0</v>
      </c>
      <c r="OZO38" s="125">
        <v>40</v>
      </c>
      <c r="OZP38" s="127">
        <f>SUM(OZO38)</f>
        <v>40</v>
      </c>
      <c r="OZQ38" s="129" t="s">
        <v>46</v>
      </c>
      <c r="OZR38" s="131" t="s">
        <v>44</v>
      </c>
      <c r="OZS38" s="133" t="s">
        <v>45</v>
      </c>
      <c r="OZT38" s="134"/>
      <c r="OZU38" s="135"/>
      <c r="OZV38" s="125">
        <v>0</v>
      </c>
      <c r="OZW38" s="125">
        <v>40</v>
      </c>
      <c r="OZX38" s="127">
        <f>SUM(OZW38)</f>
        <v>40</v>
      </c>
      <c r="OZY38" s="129" t="s">
        <v>46</v>
      </c>
      <c r="OZZ38" s="131" t="s">
        <v>44</v>
      </c>
      <c r="PAA38" s="133" t="s">
        <v>45</v>
      </c>
      <c r="PAB38" s="134"/>
      <c r="PAC38" s="135"/>
      <c r="PAD38" s="125">
        <v>0</v>
      </c>
      <c r="PAE38" s="125">
        <v>40</v>
      </c>
      <c r="PAF38" s="127">
        <f>SUM(PAE38)</f>
        <v>40</v>
      </c>
      <c r="PAG38" s="129" t="s">
        <v>46</v>
      </c>
      <c r="PAH38" s="131" t="s">
        <v>44</v>
      </c>
      <c r="PAI38" s="133" t="s">
        <v>45</v>
      </c>
      <c r="PAJ38" s="134"/>
      <c r="PAK38" s="135"/>
      <c r="PAL38" s="125">
        <v>0</v>
      </c>
      <c r="PAM38" s="125">
        <v>40</v>
      </c>
      <c r="PAN38" s="127">
        <f>SUM(PAM38)</f>
        <v>40</v>
      </c>
      <c r="PAO38" s="129" t="s">
        <v>46</v>
      </c>
      <c r="PAP38" s="131" t="s">
        <v>44</v>
      </c>
      <c r="PAQ38" s="133" t="s">
        <v>45</v>
      </c>
      <c r="PAR38" s="134"/>
      <c r="PAS38" s="135"/>
      <c r="PAT38" s="125">
        <v>0</v>
      </c>
      <c r="PAU38" s="125">
        <v>40</v>
      </c>
      <c r="PAV38" s="127">
        <f>SUM(PAU38)</f>
        <v>40</v>
      </c>
      <c r="PAW38" s="129" t="s">
        <v>46</v>
      </c>
      <c r="PAX38" s="131" t="s">
        <v>44</v>
      </c>
      <c r="PAY38" s="133" t="s">
        <v>45</v>
      </c>
      <c r="PAZ38" s="134"/>
      <c r="PBA38" s="135"/>
      <c r="PBB38" s="125">
        <v>0</v>
      </c>
      <c r="PBC38" s="125">
        <v>40</v>
      </c>
      <c r="PBD38" s="127">
        <f>SUM(PBC38)</f>
        <v>40</v>
      </c>
      <c r="PBE38" s="129" t="s">
        <v>46</v>
      </c>
      <c r="PBF38" s="131" t="s">
        <v>44</v>
      </c>
      <c r="PBG38" s="133" t="s">
        <v>45</v>
      </c>
      <c r="PBH38" s="134"/>
      <c r="PBI38" s="135"/>
      <c r="PBJ38" s="125">
        <v>0</v>
      </c>
      <c r="PBK38" s="125">
        <v>40</v>
      </c>
      <c r="PBL38" s="127">
        <f>SUM(PBK38)</f>
        <v>40</v>
      </c>
      <c r="PBM38" s="129" t="s">
        <v>46</v>
      </c>
      <c r="PBN38" s="131" t="s">
        <v>44</v>
      </c>
      <c r="PBO38" s="133" t="s">
        <v>45</v>
      </c>
      <c r="PBP38" s="134"/>
      <c r="PBQ38" s="135"/>
      <c r="PBR38" s="125">
        <v>0</v>
      </c>
      <c r="PBS38" s="125">
        <v>40</v>
      </c>
      <c r="PBT38" s="127">
        <f>SUM(PBS38)</f>
        <v>40</v>
      </c>
      <c r="PBU38" s="129" t="s">
        <v>46</v>
      </c>
      <c r="PBV38" s="131" t="s">
        <v>44</v>
      </c>
      <c r="PBW38" s="133" t="s">
        <v>45</v>
      </c>
      <c r="PBX38" s="134"/>
      <c r="PBY38" s="135"/>
      <c r="PBZ38" s="125">
        <v>0</v>
      </c>
      <c r="PCA38" s="125">
        <v>40</v>
      </c>
      <c r="PCB38" s="127">
        <f>SUM(PCA38)</f>
        <v>40</v>
      </c>
      <c r="PCC38" s="129" t="s">
        <v>46</v>
      </c>
      <c r="PCD38" s="131" t="s">
        <v>44</v>
      </c>
      <c r="PCE38" s="133" t="s">
        <v>45</v>
      </c>
      <c r="PCF38" s="134"/>
      <c r="PCG38" s="135"/>
      <c r="PCH38" s="125">
        <v>0</v>
      </c>
      <c r="PCI38" s="125">
        <v>40</v>
      </c>
      <c r="PCJ38" s="127">
        <f>SUM(PCI38)</f>
        <v>40</v>
      </c>
      <c r="PCK38" s="129" t="s">
        <v>46</v>
      </c>
      <c r="PCL38" s="131" t="s">
        <v>44</v>
      </c>
      <c r="PCM38" s="133" t="s">
        <v>45</v>
      </c>
      <c r="PCN38" s="134"/>
      <c r="PCO38" s="135"/>
      <c r="PCP38" s="125">
        <v>0</v>
      </c>
      <c r="PCQ38" s="125">
        <v>40</v>
      </c>
      <c r="PCR38" s="127">
        <f>SUM(PCQ38)</f>
        <v>40</v>
      </c>
      <c r="PCS38" s="129" t="s">
        <v>46</v>
      </c>
      <c r="PCT38" s="131" t="s">
        <v>44</v>
      </c>
      <c r="PCU38" s="133" t="s">
        <v>45</v>
      </c>
      <c r="PCV38" s="134"/>
      <c r="PCW38" s="135"/>
      <c r="PCX38" s="125">
        <v>0</v>
      </c>
      <c r="PCY38" s="125">
        <v>40</v>
      </c>
      <c r="PCZ38" s="127">
        <f>SUM(PCY38)</f>
        <v>40</v>
      </c>
      <c r="PDA38" s="129" t="s">
        <v>46</v>
      </c>
      <c r="PDB38" s="131" t="s">
        <v>44</v>
      </c>
      <c r="PDC38" s="133" t="s">
        <v>45</v>
      </c>
      <c r="PDD38" s="134"/>
      <c r="PDE38" s="135"/>
      <c r="PDF38" s="125">
        <v>0</v>
      </c>
      <c r="PDG38" s="125">
        <v>40</v>
      </c>
      <c r="PDH38" s="127">
        <f>SUM(PDG38)</f>
        <v>40</v>
      </c>
      <c r="PDI38" s="129" t="s">
        <v>46</v>
      </c>
      <c r="PDJ38" s="131" t="s">
        <v>44</v>
      </c>
      <c r="PDK38" s="133" t="s">
        <v>45</v>
      </c>
      <c r="PDL38" s="134"/>
      <c r="PDM38" s="135"/>
      <c r="PDN38" s="125">
        <v>0</v>
      </c>
      <c r="PDO38" s="125">
        <v>40</v>
      </c>
      <c r="PDP38" s="127">
        <f>SUM(PDO38)</f>
        <v>40</v>
      </c>
      <c r="PDQ38" s="129" t="s">
        <v>46</v>
      </c>
      <c r="PDR38" s="131" t="s">
        <v>44</v>
      </c>
      <c r="PDS38" s="133" t="s">
        <v>45</v>
      </c>
      <c r="PDT38" s="134"/>
      <c r="PDU38" s="135"/>
      <c r="PDV38" s="125">
        <v>0</v>
      </c>
      <c r="PDW38" s="125">
        <v>40</v>
      </c>
      <c r="PDX38" s="127">
        <f>SUM(PDW38)</f>
        <v>40</v>
      </c>
      <c r="PDY38" s="129" t="s">
        <v>46</v>
      </c>
      <c r="PDZ38" s="131" t="s">
        <v>44</v>
      </c>
      <c r="PEA38" s="133" t="s">
        <v>45</v>
      </c>
      <c r="PEB38" s="134"/>
      <c r="PEC38" s="135"/>
      <c r="PED38" s="125">
        <v>0</v>
      </c>
      <c r="PEE38" s="125">
        <v>40</v>
      </c>
      <c r="PEF38" s="127">
        <f>SUM(PEE38)</f>
        <v>40</v>
      </c>
      <c r="PEG38" s="129" t="s">
        <v>46</v>
      </c>
      <c r="PEH38" s="131" t="s">
        <v>44</v>
      </c>
      <c r="PEI38" s="133" t="s">
        <v>45</v>
      </c>
      <c r="PEJ38" s="134"/>
      <c r="PEK38" s="135"/>
      <c r="PEL38" s="125">
        <v>0</v>
      </c>
      <c r="PEM38" s="125">
        <v>40</v>
      </c>
      <c r="PEN38" s="127">
        <f>SUM(PEM38)</f>
        <v>40</v>
      </c>
      <c r="PEO38" s="129" t="s">
        <v>46</v>
      </c>
      <c r="PEP38" s="131" t="s">
        <v>44</v>
      </c>
      <c r="PEQ38" s="133" t="s">
        <v>45</v>
      </c>
      <c r="PER38" s="134"/>
      <c r="PES38" s="135"/>
      <c r="PET38" s="125">
        <v>0</v>
      </c>
      <c r="PEU38" s="125">
        <v>40</v>
      </c>
      <c r="PEV38" s="127">
        <f>SUM(PEU38)</f>
        <v>40</v>
      </c>
      <c r="PEW38" s="129" t="s">
        <v>46</v>
      </c>
      <c r="PEX38" s="131" t="s">
        <v>44</v>
      </c>
      <c r="PEY38" s="133" t="s">
        <v>45</v>
      </c>
      <c r="PEZ38" s="134"/>
      <c r="PFA38" s="135"/>
      <c r="PFB38" s="125">
        <v>0</v>
      </c>
      <c r="PFC38" s="125">
        <v>40</v>
      </c>
      <c r="PFD38" s="127">
        <f>SUM(PFC38)</f>
        <v>40</v>
      </c>
      <c r="PFE38" s="129" t="s">
        <v>46</v>
      </c>
      <c r="PFF38" s="131" t="s">
        <v>44</v>
      </c>
      <c r="PFG38" s="133" t="s">
        <v>45</v>
      </c>
      <c r="PFH38" s="134"/>
      <c r="PFI38" s="135"/>
      <c r="PFJ38" s="125">
        <v>0</v>
      </c>
      <c r="PFK38" s="125">
        <v>40</v>
      </c>
      <c r="PFL38" s="127">
        <f>SUM(PFK38)</f>
        <v>40</v>
      </c>
      <c r="PFM38" s="129" t="s">
        <v>46</v>
      </c>
      <c r="PFN38" s="131" t="s">
        <v>44</v>
      </c>
      <c r="PFO38" s="133" t="s">
        <v>45</v>
      </c>
      <c r="PFP38" s="134"/>
      <c r="PFQ38" s="135"/>
      <c r="PFR38" s="125">
        <v>0</v>
      </c>
      <c r="PFS38" s="125">
        <v>40</v>
      </c>
      <c r="PFT38" s="127">
        <f>SUM(PFS38)</f>
        <v>40</v>
      </c>
      <c r="PFU38" s="129" t="s">
        <v>46</v>
      </c>
      <c r="PFV38" s="131" t="s">
        <v>44</v>
      </c>
      <c r="PFW38" s="133" t="s">
        <v>45</v>
      </c>
      <c r="PFX38" s="134"/>
      <c r="PFY38" s="135"/>
      <c r="PFZ38" s="125">
        <v>0</v>
      </c>
      <c r="PGA38" s="125">
        <v>40</v>
      </c>
      <c r="PGB38" s="127">
        <f>SUM(PGA38)</f>
        <v>40</v>
      </c>
      <c r="PGC38" s="129" t="s">
        <v>46</v>
      </c>
      <c r="PGD38" s="131" t="s">
        <v>44</v>
      </c>
      <c r="PGE38" s="133" t="s">
        <v>45</v>
      </c>
      <c r="PGF38" s="134"/>
      <c r="PGG38" s="135"/>
      <c r="PGH38" s="125">
        <v>0</v>
      </c>
      <c r="PGI38" s="125">
        <v>40</v>
      </c>
      <c r="PGJ38" s="127">
        <f>SUM(PGI38)</f>
        <v>40</v>
      </c>
      <c r="PGK38" s="129" t="s">
        <v>46</v>
      </c>
      <c r="PGL38" s="131" t="s">
        <v>44</v>
      </c>
      <c r="PGM38" s="133" t="s">
        <v>45</v>
      </c>
      <c r="PGN38" s="134"/>
      <c r="PGO38" s="135"/>
      <c r="PGP38" s="125">
        <v>0</v>
      </c>
      <c r="PGQ38" s="125">
        <v>40</v>
      </c>
      <c r="PGR38" s="127">
        <f>SUM(PGQ38)</f>
        <v>40</v>
      </c>
      <c r="PGS38" s="129" t="s">
        <v>46</v>
      </c>
      <c r="PGT38" s="131" t="s">
        <v>44</v>
      </c>
      <c r="PGU38" s="133" t="s">
        <v>45</v>
      </c>
      <c r="PGV38" s="134"/>
      <c r="PGW38" s="135"/>
      <c r="PGX38" s="125">
        <v>0</v>
      </c>
      <c r="PGY38" s="125">
        <v>40</v>
      </c>
      <c r="PGZ38" s="127">
        <f>SUM(PGY38)</f>
        <v>40</v>
      </c>
      <c r="PHA38" s="129" t="s">
        <v>46</v>
      </c>
      <c r="PHB38" s="131" t="s">
        <v>44</v>
      </c>
      <c r="PHC38" s="133" t="s">
        <v>45</v>
      </c>
      <c r="PHD38" s="134"/>
      <c r="PHE38" s="135"/>
      <c r="PHF38" s="125">
        <v>0</v>
      </c>
      <c r="PHG38" s="125">
        <v>40</v>
      </c>
      <c r="PHH38" s="127">
        <f>SUM(PHG38)</f>
        <v>40</v>
      </c>
      <c r="PHI38" s="129" t="s">
        <v>46</v>
      </c>
      <c r="PHJ38" s="131" t="s">
        <v>44</v>
      </c>
      <c r="PHK38" s="133" t="s">
        <v>45</v>
      </c>
      <c r="PHL38" s="134"/>
      <c r="PHM38" s="135"/>
      <c r="PHN38" s="125">
        <v>0</v>
      </c>
      <c r="PHO38" s="125">
        <v>40</v>
      </c>
      <c r="PHP38" s="127">
        <f>SUM(PHO38)</f>
        <v>40</v>
      </c>
      <c r="PHQ38" s="129" t="s">
        <v>46</v>
      </c>
      <c r="PHR38" s="131" t="s">
        <v>44</v>
      </c>
      <c r="PHS38" s="133" t="s">
        <v>45</v>
      </c>
      <c r="PHT38" s="134"/>
      <c r="PHU38" s="135"/>
      <c r="PHV38" s="125">
        <v>0</v>
      </c>
      <c r="PHW38" s="125">
        <v>40</v>
      </c>
      <c r="PHX38" s="127">
        <f>SUM(PHW38)</f>
        <v>40</v>
      </c>
      <c r="PHY38" s="129" t="s">
        <v>46</v>
      </c>
      <c r="PHZ38" s="131" t="s">
        <v>44</v>
      </c>
      <c r="PIA38" s="133" t="s">
        <v>45</v>
      </c>
      <c r="PIB38" s="134"/>
      <c r="PIC38" s="135"/>
      <c r="PID38" s="125">
        <v>0</v>
      </c>
      <c r="PIE38" s="125">
        <v>40</v>
      </c>
      <c r="PIF38" s="127">
        <f>SUM(PIE38)</f>
        <v>40</v>
      </c>
      <c r="PIG38" s="129" t="s">
        <v>46</v>
      </c>
      <c r="PIH38" s="131" t="s">
        <v>44</v>
      </c>
      <c r="PII38" s="133" t="s">
        <v>45</v>
      </c>
      <c r="PIJ38" s="134"/>
      <c r="PIK38" s="135"/>
      <c r="PIL38" s="125">
        <v>0</v>
      </c>
      <c r="PIM38" s="125">
        <v>40</v>
      </c>
      <c r="PIN38" s="127">
        <f>SUM(PIM38)</f>
        <v>40</v>
      </c>
      <c r="PIO38" s="129" t="s">
        <v>46</v>
      </c>
      <c r="PIP38" s="131" t="s">
        <v>44</v>
      </c>
      <c r="PIQ38" s="133" t="s">
        <v>45</v>
      </c>
      <c r="PIR38" s="134"/>
      <c r="PIS38" s="135"/>
      <c r="PIT38" s="125">
        <v>0</v>
      </c>
      <c r="PIU38" s="125">
        <v>40</v>
      </c>
      <c r="PIV38" s="127">
        <f>SUM(PIU38)</f>
        <v>40</v>
      </c>
      <c r="PIW38" s="129" t="s">
        <v>46</v>
      </c>
      <c r="PIX38" s="131" t="s">
        <v>44</v>
      </c>
      <c r="PIY38" s="133" t="s">
        <v>45</v>
      </c>
      <c r="PIZ38" s="134"/>
      <c r="PJA38" s="135"/>
      <c r="PJB38" s="125">
        <v>0</v>
      </c>
      <c r="PJC38" s="125">
        <v>40</v>
      </c>
      <c r="PJD38" s="127">
        <f>SUM(PJC38)</f>
        <v>40</v>
      </c>
      <c r="PJE38" s="129" t="s">
        <v>46</v>
      </c>
      <c r="PJF38" s="131" t="s">
        <v>44</v>
      </c>
      <c r="PJG38" s="133" t="s">
        <v>45</v>
      </c>
      <c r="PJH38" s="134"/>
      <c r="PJI38" s="135"/>
      <c r="PJJ38" s="125">
        <v>0</v>
      </c>
      <c r="PJK38" s="125">
        <v>40</v>
      </c>
      <c r="PJL38" s="127">
        <f>SUM(PJK38)</f>
        <v>40</v>
      </c>
      <c r="PJM38" s="129" t="s">
        <v>46</v>
      </c>
      <c r="PJN38" s="131" t="s">
        <v>44</v>
      </c>
      <c r="PJO38" s="133" t="s">
        <v>45</v>
      </c>
      <c r="PJP38" s="134"/>
      <c r="PJQ38" s="135"/>
      <c r="PJR38" s="125">
        <v>0</v>
      </c>
      <c r="PJS38" s="125">
        <v>40</v>
      </c>
      <c r="PJT38" s="127">
        <f>SUM(PJS38)</f>
        <v>40</v>
      </c>
      <c r="PJU38" s="129" t="s">
        <v>46</v>
      </c>
      <c r="PJV38" s="131" t="s">
        <v>44</v>
      </c>
      <c r="PJW38" s="133" t="s">
        <v>45</v>
      </c>
      <c r="PJX38" s="134"/>
      <c r="PJY38" s="135"/>
      <c r="PJZ38" s="125">
        <v>0</v>
      </c>
      <c r="PKA38" s="125">
        <v>40</v>
      </c>
      <c r="PKB38" s="127">
        <f>SUM(PKA38)</f>
        <v>40</v>
      </c>
      <c r="PKC38" s="129" t="s">
        <v>46</v>
      </c>
      <c r="PKD38" s="131" t="s">
        <v>44</v>
      </c>
      <c r="PKE38" s="133" t="s">
        <v>45</v>
      </c>
      <c r="PKF38" s="134"/>
      <c r="PKG38" s="135"/>
      <c r="PKH38" s="125">
        <v>0</v>
      </c>
      <c r="PKI38" s="125">
        <v>40</v>
      </c>
      <c r="PKJ38" s="127">
        <f>SUM(PKI38)</f>
        <v>40</v>
      </c>
      <c r="PKK38" s="129" t="s">
        <v>46</v>
      </c>
      <c r="PKL38" s="131" t="s">
        <v>44</v>
      </c>
      <c r="PKM38" s="133" t="s">
        <v>45</v>
      </c>
      <c r="PKN38" s="134"/>
      <c r="PKO38" s="135"/>
      <c r="PKP38" s="125">
        <v>0</v>
      </c>
      <c r="PKQ38" s="125">
        <v>40</v>
      </c>
      <c r="PKR38" s="127">
        <f>SUM(PKQ38)</f>
        <v>40</v>
      </c>
      <c r="PKS38" s="129" t="s">
        <v>46</v>
      </c>
      <c r="PKT38" s="131" t="s">
        <v>44</v>
      </c>
      <c r="PKU38" s="133" t="s">
        <v>45</v>
      </c>
      <c r="PKV38" s="134"/>
      <c r="PKW38" s="135"/>
      <c r="PKX38" s="125">
        <v>0</v>
      </c>
      <c r="PKY38" s="125">
        <v>40</v>
      </c>
      <c r="PKZ38" s="127">
        <f>SUM(PKY38)</f>
        <v>40</v>
      </c>
      <c r="PLA38" s="129" t="s">
        <v>46</v>
      </c>
      <c r="PLB38" s="131" t="s">
        <v>44</v>
      </c>
      <c r="PLC38" s="133" t="s">
        <v>45</v>
      </c>
      <c r="PLD38" s="134"/>
      <c r="PLE38" s="135"/>
      <c r="PLF38" s="125">
        <v>0</v>
      </c>
      <c r="PLG38" s="125">
        <v>40</v>
      </c>
      <c r="PLH38" s="127">
        <f>SUM(PLG38)</f>
        <v>40</v>
      </c>
      <c r="PLI38" s="129" t="s">
        <v>46</v>
      </c>
      <c r="PLJ38" s="131" t="s">
        <v>44</v>
      </c>
      <c r="PLK38" s="133" t="s">
        <v>45</v>
      </c>
      <c r="PLL38" s="134"/>
      <c r="PLM38" s="135"/>
      <c r="PLN38" s="125">
        <v>0</v>
      </c>
      <c r="PLO38" s="125">
        <v>40</v>
      </c>
      <c r="PLP38" s="127">
        <f>SUM(PLO38)</f>
        <v>40</v>
      </c>
      <c r="PLQ38" s="129" t="s">
        <v>46</v>
      </c>
      <c r="PLR38" s="131" t="s">
        <v>44</v>
      </c>
      <c r="PLS38" s="133" t="s">
        <v>45</v>
      </c>
      <c r="PLT38" s="134"/>
      <c r="PLU38" s="135"/>
      <c r="PLV38" s="125">
        <v>0</v>
      </c>
      <c r="PLW38" s="125">
        <v>40</v>
      </c>
      <c r="PLX38" s="127">
        <f>SUM(PLW38)</f>
        <v>40</v>
      </c>
      <c r="PLY38" s="129" t="s">
        <v>46</v>
      </c>
      <c r="PLZ38" s="131" t="s">
        <v>44</v>
      </c>
      <c r="PMA38" s="133" t="s">
        <v>45</v>
      </c>
      <c r="PMB38" s="134"/>
      <c r="PMC38" s="135"/>
      <c r="PMD38" s="125">
        <v>0</v>
      </c>
      <c r="PME38" s="125">
        <v>40</v>
      </c>
      <c r="PMF38" s="127">
        <f>SUM(PME38)</f>
        <v>40</v>
      </c>
      <c r="PMG38" s="129" t="s">
        <v>46</v>
      </c>
      <c r="PMH38" s="131" t="s">
        <v>44</v>
      </c>
      <c r="PMI38" s="133" t="s">
        <v>45</v>
      </c>
      <c r="PMJ38" s="134"/>
      <c r="PMK38" s="135"/>
      <c r="PML38" s="125">
        <v>0</v>
      </c>
      <c r="PMM38" s="125">
        <v>40</v>
      </c>
      <c r="PMN38" s="127">
        <f>SUM(PMM38)</f>
        <v>40</v>
      </c>
      <c r="PMO38" s="129" t="s">
        <v>46</v>
      </c>
      <c r="PMP38" s="131" t="s">
        <v>44</v>
      </c>
      <c r="PMQ38" s="133" t="s">
        <v>45</v>
      </c>
      <c r="PMR38" s="134"/>
      <c r="PMS38" s="135"/>
      <c r="PMT38" s="125">
        <v>0</v>
      </c>
      <c r="PMU38" s="125">
        <v>40</v>
      </c>
      <c r="PMV38" s="127">
        <f>SUM(PMU38)</f>
        <v>40</v>
      </c>
      <c r="PMW38" s="129" t="s">
        <v>46</v>
      </c>
      <c r="PMX38" s="131" t="s">
        <v>44</v>
      </c>
      <c r="PMY38" s="133" t="s">
        <v>45</v>
      </c>
      <c r="PMZ38" s="134"/>
      <c r="PNA38" s="135"/>
      <c r="PNB38" s="125">
        <v>0</v>
      </c>
      <c r="PNC38" s="125">
        <v>40</v>
      </c>
      <c r="PND38" s="127">
        <f>SUM(PNC38)</f>
        <v>40</v>
      </c>
      <c r="PNE38" s="129" t="s">
        <v>46</v>
      </c>
      <c r="PNF38" s="131" t="s">
        <v>44</v>
      </c>
      <c r="PNG38" s="133" t="s">
        <v>45</v>
      </c>
      <c r="PNH38" s="134"/>
      <c r="PNI38" s="135"/>
      <c r="PNJ38" s="125">
        <v>0</v>
      </c>
      <c r="PNK38" s="125">
        <v>40</v>
      </c>
      <c r="PNL38" s="127">
        <f>SUM(PNK38)</f>
        <v>40</v>
      </c>
      <c r="PNM38" s="129" t="s">
        <v>46</v>
      </c>
      <c r="PNN38" s="131" t="s">
        <v>44</v>
      </c>
      <c r="PNO38" s="133" t="s">
        <v>45</v>
      </c>
      <c r="PNP38" s="134"/>
      <c r="PNQ38" s="135"/>
      <c r="PNR38" s="125">
        <v>0</v>
      </c>
      <c r="PNS38" s="125">
        <v>40</v>
      </c>
      <c r="PNT38" s="127">
        <f>SUM(PNS38)</f>
        <v>40</v>
      </c>
      <c r="PNU38" s="129" t="s">
        <v>46</v>
      </c>
      <c r="PNV38" s="131" t="s">
        <v>44</v>
      </c>
      <c r="PNW38" s="133" t="s">
        <v>45</v>
      </c>
      <c r="PNX38" s="134"/>
      <c r="PNY38" s="135"/>
      <c r="PNZ38" s="125">
        <v>0</v>
      </c>
      <c r="POA38" s="125">
        <v>40</v>
      </c>
      <c r="POB38" s="127">
        <f>SUM(POA38)</f>
        <v>40</v>
      </c>
      <c r="POC38" s="129" t="s">
        <v>46</v>
      </c>
      <c r="POD38" s="131" t="s">
        <v>44</v>
      </c>
      <c r="POE38" s="133" t="s">
        <v>45</v>
      </c>
      <c r="POF38" s="134"/>
      <c r="POG38" s="135"/>
      <c r="POH38" s="125">
        <v>0</v>
      </c>
      <c r="POI38" s="125">
        <v>40</v>
      </c>
      <c r="POJ38" s="127">
        <f>SUM(POI38)</f>
        <v>40</v>
      </c>
      <c r="POK38" s="129" t="s">
        <v>46</v>
      </c>
      <c r="POL38" s="131" t="s">
        <v>44</v>
      </c>
      <c r="POM38" s="133" t="s">
        <v>45</v>
      </c>
      <c r="PON38" s="134"/>
      <c r="POO38" s="135"/>
      <c r="POP38" s="125">
        <v>0</v>
      </c>
      <c r="POQ38" s="125">
        <v>40</v>
      </c>
      <c r="POR38" s="127">
        <f>SUM(POQ38)</f>
        <v>40</v>
      </c>
      <c r="POS38" s="129" t="s">
        <v>46</v>
      </c>
      <c r="POT38" s="131" t="s">
        <v>44</v>
      </c>
      <c r="POU38" s="133" t="s">
        <v>45</v>
      </c>
      <c r="POV38" s="134"/>
      <c r="POW38" s="135"/>
      <c r="POX38" s="125">
        <v>0</v>
      </c>
      <c r="POY38" s="125">
        <v>40</v>
      </c>
      <c r="POZ38" s="127">
        <f>SUM(POY38)</f>
        <v>40</v>
      </c>
      <c r="PPA38" s="129" t="s">
        <v>46</v>
      </c>
      <c r="PPB38" s="131" t="s">
        <v>44</v>
      </c>
      <c r="PPC38" s="133" t="s">
        <v>45</v>
      </c>
      <c r="PPD38" s="134"/>
      <c r="PPE38" s="135"/>
      <c r="PPF38" s="125">
        <v>0</v>
      </c>
      <c r="PPG38" s="125">
        <v>40</v>
      </c>
      <c r="PPH38" s="127">
        <f>SUM(PPG38)</f>
        <v>40</v>
      </c>
      <c r="PPI38" s="129" t="s">
        <v>46</v>
      </c>
      <c r="PPJ38" s="131" t="s">
        <v>44</v>
      </c>
      <c r="PPK38" s="133" t="s">
        <v>45</v>
      </c>
      <c r="PPL38" s="134"/>
      <c r="PPM38" s="135"/>
      <c r="PPN38" s="125">
        <v>0</v>
      </c>
      <c r="PPO38" s="125">
        <v>40</v>
      </c>
      <c r="PPP38" s="127">
        <f>SUM(PPO38)</f>
        <v>40</v>
      </c>
      <c r="PPQ38" s="129" t="s">
        <v>46</v>
      </c>
      <c r="PPR38" s="131" t="s">
        <v>44</v>
      </c>
      <c r="PPS38" s="133" t="s">
        <v>45</v>
      </c>
      <c r="PPT38" s="134"/>
      <c r="PPU38" s="135"/>
      <c r="PPV38" s="125">
        <v>0</v>
      </c>
      <c r="PPW38" s="125">
        <v>40</v>
      </c>
      <c r="PPX38" s="127">
        <f>SUM(PPW38)</f>
        <v>40</v>
      </c>
      <c r="PPY38" s="129" t="s">
        <v>46</v>
      </c>
      <c r="PPZ38" s="131" t="s">
        <v>44</v>
      </c>
      <c r="PQA38" s="133" t="s">
        <v>45</v>
      </c>
      <c r="PQB38" s="134"/>
      <c r="PQC38" s="135"/>
      <c r="PQD38" s="125">
        <v>0</v>
      </c>
      <c r="PQE38" s="125">
        <v>40</v>
      </c>
      <c r="PQF38" s="127">
        <f>SUM(PQE38)</f>
        <v>40</v>
      </c>
      <c r="PQG38" s="129" t="s">
        <v>46</v>
      </c>
      <c r="PQH38" s="131" t="s">
        <v>44</v>
      </c>
      <c r="PQI38" s="133" t="s">
        <v>45</v>
      </c>
      <c r="PQJ38" s="134"/>
      <c r="PQK38" s="135"/>
      <c r="PQL38" s="125">
        <v>0</v>
      </c>
      <c r="PQM38" s="125">
        <v>40</v>
      </c>
      <c r="PQN38" s="127">
        <f>SUM(PQM38)</f>
        <v>40</v>
      </c>
      <c r="PQO38" s="129" t="s">
        <v>46</v>
      </c>
      <c r="PQP38" s="131" t="s">
        <v>44</v>
      </c>
      <c r="PQQ38" s="133" t="s">
        <v>45</v>
      </c>
      <c r="PQR38" s="134"/>
      <c r="PQS38" s="135"/>
      <c r="PQT38" s="125">
        <v>0</v>
      </c>
      <c r="PQU38" s="125">
        <v>40</v>
      </c>
      <c r="PQV38" s="127">
        <f>SUM(PQU38)</f>
        <v>40</v>
      </c>
      <c r="PQW38" s="129" t="s">
        <v>46</v>
      </c>
      <c r="PQX38" s="131" t="s">
        <v>44</v>
      </c>
      <c r="PQY38" s="133" t="s">
        <v>45</v>
      </c>
      <c r="PQZ38" s="134"/>
      <c r="PRA38" s="135"/>
      <c r="PRB38" s="125">
        <v>0</v>
      </c>
      <c r="PRC38" s="125">
        <v>40</v>
      </c>
      <c r="PRD38" s="127">
        <f>SUM(PRC38)</f>
        <v>40</v>
      </c>
      <c r="PRE38" s="129" t="s">
        <v>46</v>
      </c>
      <c r="PRF38" s="131" t="s">
        <v>44</v>
      </c>
      <c r="PRG38" s="133" t="s">
        <v>45</v>
      </c>
      <c r="PRH38" s="134"/>
      <c r="PRI38" s="135"/>
      <c r="PRJ38" s="125">
        <v>0</v>
      </c>
      <c r="PRK38" s="125">
        <v>40</v>
      </c>
      <c r="PRL38" s="127">
        <f>SUM(PRK38)</f>
        <v>40</v>
      </c>
      <c r="PRM38" s="129" t="s">
        <v>46</v>
      </c>
      <c r="PRN38" s="131" t="s">
        <v>44</v>
      </c>
      <c r="PRO38" s="133" t="s">
        <v>45</v>
      </c>
      <c r="PRP38" s="134"/>
      <c r="PRQ38" s="135"/>
      <c r="PRR38" s="125">
        <v>0</v>
      </c>
      <c r="PRS38" s="125">
        <v>40</v>
      </c>
      <c r="PRT38" s="127">
        <f>SUM(PRS38)</f>
        <v>40</v>
      </c>
      <c r="PRU38" s="129" t="s">
        <v>46</v>
      </c>
      <c r="PRV38" s="131" t="s">
        <v>44</v>
      </c>
      <c r="PRW38" s="133" t="s">
        <v>45</v>
      </c>
      <c r="PRX38" s="134"/>
      <c r="PRY38" s="135"/>
      <c r="PRZ38" s="125">
        <v>0</v>
      </c>
      <c r="PSA38" s="125">
        <v>40</v>
      </c>
      <c r="PSB38" s="127">
        <f>SUM(PSA38)</f>
        <v>40</v>
      </c>
      <c r="PSC38" s="129" t="s">
        <v>46</v>
      </c>
      <c r="PSD38" s="131" t="s">
        <v>44</v>
      </c>
      <c r="PSE38" s="133" t="s">
        <v>45</v>
      </c>
      <c r="PSF38" s="134"/>
      <c r="PSG38" s="135"/>
      <c r="PSH38" s="125">
        <v>0</v>
      </c>
      <c r="PSI38" s="125">
        <v>40</v>
      </c>
      <c r="PSJ38" s="127">
        <f>SUM(PSI38)</f>
        <v>40</v>
      </c>
      <c r="PSK38" s="129" t="s">
        <v>46</v>
      </c>
      <c r="PSL38" s="131" t="s">
        <v>44</v>
      </c>
      <c r="PSM38" s="133" t="s">
        <v>45</v>
      </c>
      <c r="PSN38" s="134"/>
      <c r="PSO38" s="135"/>
      <c r="PSP38" s="125">
        <v>0</v>
      </c>
      <c r="PSQ38" s="125">
        <v>40</v>
      </c>
      <c r="PSR38" s="127">
        <f>SUM(PSQ38)</f>
        <v>40</v>
      </c>
      <c r="PSS38" s="129" t="s">
        <v>46</v>
      </c>
      <c r="PST38" s="131" t="s">
        <v>44</v>
      </c>
      <c r="PSU38" s="133" t="s">
        <v>45</v>
      </c>
      <c r="PSV38" s="134"/>
      <c r="PSW38" s="135"/>
      <c r="PSX38" s="125">
        <v>0</v>
      </c>
      <c r="PSY38" s="125">
        <v>40</v>
      </c>
      <c r="PSZ38" s="127">
        <f>SUM(PSY38)</f>
        <v>40</v>
      </c>
      <c r="PTA38" s="129" t="s">
        <v>46</v>
      </c>
      <c r="PTB38" s="131" t="s">
        <v>44</v>
      </c>
      <c r="PTC38" s="133" t="s">
        <v>45</v>
      </c>
      <c r="PTD38" s="134"/>
      <c r="PTE38" s="135"/>
      <c r="PTF38" s="125">
        <v>0</v>
      </c>
      <c r="PTG38" s="125">
        <v>40</v>
      </c>
      <c r="PTH38" s="127">
        <f>SUM(PTG38)</f>
        <v>40</v>
      </c>
      <c r="PTI38" s="129" t="s">
        <v>46</v>
      </c>
      <c r="PTJ38" s="131" t="s">
        <v>44</v>
      </c>
      <c r="PTK38" s="133" t="s">
        <v>45</v>
      </c>
      <c r="PTL38" s="134"/>
      <c r="PTM38" s="135"/>
      <c r="PTN38" s="125">
        <v>0</v>
      </c>
      <c r="PTO38" s="125">
        <v>40</v>
      </c>
      <c r="PTP38" s="127">
        <f>SUM(PTO38)</f>
        <v>40</v>
      </c>
      <c r="PTQ38" s="129" t="s">
        <v>46</v>
      </c>
      <c r="PTR38" s="131" t="s">
        <v>44</v>
      </c>
      <c r="PTS38" s="133" t="s">
        <v>45</v>
      </c>
      <c r="PTT38" s="134"/>
      <c r="PTU38" s="135"/>
      <c r="PTV38" s="125">
        <v>0</v>
      </c>
      <c r="PTW38" s="125">
        <v>40</v>
      </c>
      <c r="PTX38" s="127">
        <f>SUM(PTW38)</f>
        <v>40</v>
      </c>
      <c r="PTY38" s="129" t="s">
        <v>46</v>
      </c>
      <c r="PTZ38" s="131" t="s">
        <v>44</v>
      </c>
      <c r="PUA38" s="133" t="s">
        <v>45</v>
      </c>
      <c r="PUB38" s="134"/>
      <c r="PUC38" s="135"/>
      <c r="PUD38" s="125">
        <v>0</v>
      </c>
      <c r="PUE38" s="125">
        <v>40</v>
      </c>
      <c r="PUF38" s="127">
        <f>SUM(PUE38)</f>
        <v>40</v>
      </c>
      <c r="PUG38" s="129" t="s">
        <v>46</v>
      </c>
      <c r="PUH38" s="131" t="s">
        <v>44</v>
      </c>
      <c r="PUI38" s="133" t="s">
        <v>45</v>
      </c>
      <c r="PUJ38" s="134"/>
      <c r="PUK38" s="135"/>
      <c r="PUL38" s="125">
        <v>0</v>
      </c>
      <c r="PUM38" s="125">
        <v>40</v>
      </c>
      <c r="PUN38" s="127">
        <f>SUM(PUM38)</f>
        <v>40</v>
      </c>
      <c r="PUO38" s="129" t="s">
        <v>46</v>
      </c>
      <c r="PUP38" s="131" t="s">
        <v>44</v>
      </c>
      <c r="PUQ38" s="133" t="s">
        <v>45</v>
      </c>
      <c r="PUR38" s="134"/>
      <c r="PUS38" s="135"/>
      <c r="PUT38" s="125">
        <v>0</v>
      </c>
      <c r="PUU38" s="125">
        <v>40</v>
      </c>
      <c r="PUV38" s="127">
        <f>SUM(PUU38)</f>
        <v>40</v>
      </c>
      <c r="PUW38" s="129" t="s">
        <v>46</v>
      </c>
      <c r="PUX38" s="131" t="s">
        <v>44</v>
      </c>
      <c r="PUY38" s="133" t="s">
        <v>45</v>
      </c>
      <c r="PUZ38" s="134"/>
      <c r="PVA38" s="135"/>
      <c r="PVB38" s="125">
        <v>0</v>
      </c>
      <c r="PVC38" s="125">
        <v>40</v>
      </c>
      <c r="PVD38" s="127">
        <f>SUM(PVC38)</f>
        <v>40</v>
      </c>
      <c r="PVE38" s="129" t="s">
        <v>46</v>
      </c>
      <c r="PVF38" s="131" t="s">
        <v>44</v>
      </c>
      <c r="PVG38" s="133" t="s">
        <v>45</v>
      </c>
      <c r="PVH38" s="134"/>
      <c r="PVI38" s="135"/>
      <c r="PVJ38" s="125">
        <v>0</v>
      </c>
      <c r="PVK38" s="125">
        <v>40</v>
      </c>
      <c r="PVL38" s="127">
        <f>SUM(PVK38)</f>
        <v>40</v>
      </c>
      <c r="PVM38" s="129" t="s">
        <v>46</v>
      </c>
      <c r="PVN38" s="131" t="s">
        <v>44</v>
      </c>
      <c r="PVO38" s="133" t="s">
        <v>45</v>
      </c>
      <c r="PVP38" s="134"/>
      <c r="PVQ38" s="135"/>
      <c r="PVR38" s="125">
        <v>0</v>
      </c>
      <c r="PVS38" s="125">
        <v>40</v>
      </c>
      <c r="PVT38" s="127">
        <f>SUM(PVS38)</f>
        <v>40</v>
      </c>
      <c r="PVU38" s="129" t="s">
        <v>46</v>
      </c>
      <c r="PVV38" s="131" t="s">
        <v>44</v>
      </c>
      <c r="PVW38" s="133" t="s">
        <v>45</v>
      </c>
      <c r="PVX38" s="134"/>
      <c r="PVY38" s="135"/>
      <c r="PVZ38" s="125">
        <v>0</v>
      </c>
      <c r="PWA38" s="125">
        <v>40</v>
      </c>
      <c r="PWB38" s="127">
        <f>SUM(PWA38)</f>
        <v>40</v>
      </c>
      <c r="PWC38" s="129" t="s">
        <v>46</v>
      </c>
      <c r="PWD38" s="131" t="s">
        <v>44</v>
      </c>
      <c r="PWE38" s="133" t="s">
        <v>45</v>
      </c>
      <c r="PWF38" s="134"/>
      <c r="PWG38" s="135"/>
      <c r="PWH38" s="125">
        <v>0</v>
      </c>
      <c r="PWI38" s="125">
        <v>40</v>
      </c>
      <c r="PWJ38" s="127">
        <f>SUM(PWI38)</f>
        <v>40</v>
      </c>
      <c r="PWK38" s="129" t="s">
        <v>46</v>
      </c>
      <c r="PWL38" s="131" t="s">
        <v>44</v>
      </c>
      <c r="PWM38" s="133" t="s">
        <v>45</v>
      </c>
      <c r="PWN38" s="134"/>
      <c r="PWO38" s="135"/>
      <c r="PWP38" s="125">
        <v>0</v>
      </c>
      <c r="PWQ38" s="125">
        <v>40</v>
      </c>
      <c r="PWR38" s="127">
        <f>SUM(PWQ38)</f>
        <v>40</v>
      </c>
      <c r="PWS38" s="129" t="s">
        <v>46</v>
      </c>
      <c r="PWT38" s="131" t="s">
        <v>44</v>
      </c>
      <c r="PWU38" s="133" t="s">
        <v>45</v>
      </c>
      <c r="PWV38" s="134"/>
      <c r="PWW38" s="135"/>
      <c r="PWX38" s="125">
        <v>0</v>
      </c>
      <c r="PWY38" s="125">
        <v>40</v>
      </c>
      <c r="PWZ38" s="127">
        <f>SUM(PWY38)</f>
        <v>40</v>
      </c>
      <c r="PXA38" s="129" t="s">
        <v>46</v>
      </c>
      <c r="PXB38" s="131" t="s">
        <v>44</v>
      </c>
      <c r="PXC38" s="133" t="s">
        <v>45</v>
      </c>
      <c r="PXD38" s="134"/>
      <c r="PXE38" s="135"/>
      <c r="PXF38" s="125">
        <v>0</v>
      </c>
      <c r="PXG38" s="125">
        <v>40</v>
      </c>
      <c r="PXH38" s="127">
        <f>SUM(PXG38)</f>
        <v>40</v>
      </c>
      <c r="PXI38" s="129" t="s">
        <v>46</v>
      </c>
      <c r="PXJ38" s="131" t="s">
        <v>44</v>
      </c>
      <c r="PXK38" s="133" t="s">
        <v>45</v>
      </c>
      <c r="PXL38" s="134"/>
      <c r="PXM38" s="135"/>
      <c r="PXN38" s="125">
        <v>0</v>
      </c>
      <c r="PXO38" s="125">
        <v>40</v>
      </c>
      <c r="PXP38" s="127">
        <f>SUM(PXO38)</f>
        <v>40</v>
      </c>
      <c r="PXQ38" s="129" t="s">
        <v>46</v>
      </c>
      <c r="PXR38" s="131" t="s">
        <v>44</v>
      </c>
      <c r="PXS38" s="133" t="s">
        <v>45</v>
      </c>
      <c r="PXT38" s="134"/>
      <c r="PXU38" s="135"/>
      <c r="PXV38" s="125">
        <v>0</v>
      </c>
      <c r="PXW38" s="125">
        <v>40</v>
      </c>
      <c r="PXX38" s="127">
        <f>SUM(PXW38)</f>
        <v>40</v>
      </c>
      <c r="PXY38" s="129" t="s">
        <v>46</v>
      </c>
      <c r="PXZ38" s="131" t="s">
        <v>44</v>
      </c>
      <c r="PYA38" s="133" t="s">
        <v>45</v>
      </c>
      <c r="PYB38" s="134"/>
      <c r="PYC38" s="135"/>
      <c r="PYD38" s="125">
        <v>0</v>
      </c>
      <c r="PYE38" s="125">
        <v>40</v>
      </c>
      <c r="PYF38" s="127">
        <f>SUM(PYE38)</f>
        <v>40</v>
      </c>
      <c r="PYG38" s="129" t="s">
        <v>46</v>
      </c>
      <c r="PYH38" s="131" t="s">
        <v>44</v>
      </c>
      <c r="PYI38" s="133" t="s">
        <v>45</v>
      </c>
      <c r="PYJ38" s="134"/>
      <c r="PYK38" s="135"/>
      <c r="PYL38" s="125">
        <v>0</v>
      </c>
      <c r="PYM38" s="125">
        <v>40</v>
      </c>
      <c r="PYN38" s="127">
        <f>SUM(PYM38)</f>
        <v>40</v>
      </c>
      <c r="PYO38" s="129" t="s">
        <v>46</v>
      </c>
      <c r="PYP38" s="131" t="s">
        <v>44</v>
      </c>
      <c r="PYQ38" s="133" t="s">
        <v>45</v>
      </c>
      <c r="PYR38" s="134"/>
      <c r="PYS38" s="135"/>
      <c r="PYT38" s="125">
        <v>0</v>
      </c>
      <c r="PYU38" s="125">
        <v>40</v>
      </c>
      <c r="PYV38" s="127">
        <f>SUM(PYU38)</f>
        <v>40</v>
      </c>
      <c r="PYW38" s="129" t="s">
        <v>46</v>
      </c>
      <c r="PYX38" s="131" t="s">
        <v>44</v>
      </c>
      <c r="PYY38" s="133" t="s">
        <v>45</v>
      </c>
      <c r="PYZ38" s="134"/>
      <c r="PZA38" s="135"/>
      <c r="PZB38" s="125">
        <v>0</v>
      </c>
      <c r="PZC38" s="125">
        <v>40</v>
      </c>
      <c r="PZD38" s="127">
        <f>SUM(PZC38)</f>
        <v>40</v>
      </c>
      <c r="PZE38" s="129" t="s">
        <v>46</v>
      </c>
      <c r="PZF38" s="131" t="s">
        <v>44</v>
      </c>
      <c r="PZG38" s="133" t="s">
        <v>45</v>
      </c>
      <c r="PZH38" s="134"/>
      <c r="PZI38" s="135"/>
      <c r="PZJ38" s="125">
        <v>0</v>
      </c>
      <c r="PZK38" s="125">
        <v>40</v>
      </c>
      <c r="PZL38" s="127">
        <f>SUM(PZK38)</f>
        <v>40</v>
      </c>
      <c r="PZM38" s="129" t="s">
        <v>46</v>
      </c>
      <c r="PZN38" s="131" t="s">
        <v>44</v>
      </c>
      <c r="PZO38" s="133" t="s">
        <v>45</v>
      </c>
      <c r="PZP38" s="134"/>
      <c r="PZQ38" s="135"/>
      <c r="PZR38" s="125">
        <v>0</v>
      </c>
      <c r="PZS38" s="125">
        <v>40</v>
      </c>
      <c r="PZT38" s="127">
        <f>SUM(PZS38)</f>
        <v>40</v>
      </c>
      <c r="PZU38" s="129" t="s">
        <v>46</v>
      </c>
      <c r="PZV38" s="131" t="s">
        <v>44</v>
      </c>
      <c r="PZW38" s="133" t="s">
        <v>45</v>
      </c>
      <c r="PZX38" s="134"/>
      <c r="PZY38" s="135"/>
      <c r="PZZ38" s="125">
        <v>0</v>
      </c>
      <c r="QAA38" s="125">
        <v>40</v>
      </c>
      <c r="QAB38" s="127">
        <f>SUM(QAA38)</f>
        <v>40</v>
      </c>
      <c r="QAC38" s="129" t="s">
        <v>46</v>
      </c>
      <c r="QAD38" s="131" t="s">
        <v>44</v>
      </c>
      <c r="QAE38" s="133" t="s">
        <v>45</v>
      </c>
      <c r="QAF38" s="134"/>
      <c r="QAG38" s="135"/>
      <c r="QAH38" s="125">
        <v>0</v>
      </c>
      <c r="QAI38" s="125">
        <v>40</v>
      </c>
      <c r="QAJ38" s="127">
        <f>SUM(QAI38)</f>
        <v>40</v>
      </c>
      <c r="QAK38" s="129" t="s">
        <v>46</v>
      </c>
      <c r="QAL38" s="131" t="s">
        <v>44</v>
      </c>
      <c r="QAM38" s="133" t="s">
        <v>45</v>
      </c>
      <c r="QAN38" s="134"/>
      <c r="QAO38" s="135"/>
      <c r="QAP38" s="125">
        <v>0</v>
      </c>
      <c r="QAQ38" s="125">
        <v>40</v>
      </c>
      <c r="QAR38" s="127">
        <f>SUM(QAQ38)</f>
        <v>40</v>
      </c>
      <c r="QAS38" s="129" t="s">
        <v>46</v>
      </c>
      <c r="QAT38" s="131" t="s">
        <v>44</v>
      </c>
      <c r="QAU38" s="133" t="s">
        <v>45</v>
      </c>
      <c r="QAV38" s="134"/>
      <c r="QAW38" s="135"/>
      <c r="QAX38" s="125">
        <v>0</v>
      </c>
      <c r="QAY38" s="125">
        <v>40</v>
      </c>
      <c r="QAZ38" s="127">
        <f>SUM(QAY38)</f>
        <v>40</v>
      </c>
      <c r="QBA38" s="129" t="s">
        <v>46</v>
      </c>
      <c r="QBB38" s="131" t="s">
        <v>44</v>
      </c>
      <c r="QBC38" s="133" t="s">
        <v>45</v>
      </c>
      <c r="QBD38" s="134"/>
      <c r="QBE38" s="135"/>
      <c r="QBF38" s="125">
        <v>0</v>
      </c>
      <c r="QBG38" s="125">
        <v>40</v>
      </c>
      <c r="QBH38" s="127">
        <f>SUM(QBG38)</f>
        <v>40</v>
      </c>
      <c r="QBI38" s="129" t="s">
        <v>46</v>
      </c>
      <c r="QBJ38" s="131" t="s">
        <v>44</v>
      </c>
      <c r="QBK38" s="133" t="s">
        <v>45</v>
      </c>
      <c r="QBL38" s="134"/>
      <c r="QBM38" s="135"/>
      <c r="QBN38" s="125">
        <v>0</v>
      </c>
      <c r="QBO38" s="125">
        <v>40</v>
      </c>
      <c r="QBP38" s="127">
        <f>SUM(QBO38)</f>
        <v>40</v>
      </c>
      <c r="QBQ38" s="129" t="s">
        <v>46</v>
      </c>
      <c r="QBR38" s="131" t="s">
        <v>44</v>
      </c>
      <c r="QBS38" s="133" t="s">
        <v>45</v>
      </c>
      <c r="QBT38" s="134"/>
      <c r="QBU38" s="135"/>
      <c r="QBV38" s="125">
        <v>0</v>
      </c>
      <c r="QBW38" s="125">
        <v>40</v>
      </c>
      <c r="QBX38" s="127">
        <f>SUM(QBW38)</f>
        <v>40</v>
      </c>
      <c r="QBY38" s="129" t="s">
        <v>46</v>
      </c>
      <c r="QBZ38" s="131" t="s">
        <v>44</v>
      </c>
      <c r="QCA38" s="133" t="s">
        <v>45</v>
      </c>
      <c r="QCB38" s="134"/>
      <c r="QCC38" s="135"/>
      <c r="QCD38" s="125">
        <v>0</v>
      </c>
      <c r="QCE38" s="125">
        <v>40</v>
      </c>
      <c r="QCF38" s="127">
        <f>SUM(QCE38)</f>
        <v>40</v>
      </c>
      <c r="QCG38" s="129" t="s">
        <v>46</v>
      </c>
      <c r="QCH38" s="131" t="s">
        <v>44</v>
      </c>
      <c r="QCI38" s="133" t="s">
        <v>45</v>
      </c>
      <c r="QCJ38" s="134"/>
      <c r="QCK38" s="135"/>
      <c r="QCL38" s="125">
        <v>0</v>
      </c>
      <c r="QCM38" s="125">
        <v>40</v>
      </c>
      <c r="QCN38" s="127">
        <f>SUM(QCM38)</f>
        <v>40</v>
      </c>
      <c r="QCO38" s="129" t="s">
        <v>46</v>
      </c>
      <c r="QCP38" s="131" t="s">
        <v>44</v>
      </c>
      <c r="QCQ38" s="133" t="s">
        <v>45</v>
      </c>
      <c r="QCR38" s="134"/>
      <c r="QCS38" s="135"/>
      <c r="QCT38" s="125">
        <v>0</v>
      </c>
      <c r="QCU38" s="125">
        <v>40</v>
      </c>
      <c r="QCV38" s="127">
        <f>SUM(QCU38)</f>
        <v>40</v>
      </c>
      <c r="QCW38" s="129" t="s">
        <v>46</v>
      </c>
      <c r="QCX38" s="131" t="s">
        <v>44</v>
      </c>
      <c r="QCY38" s="133" t="s">
        <v>45</v>
      </c>
      <c r="QCZ38" s="134"/>
      <c r="QDA38" s="135"/>
      <c r="QDB38" s="125">
        <v>0</v>
      </c>
      <c r="QDC38" s="125">
        <v>40</v>
      </c>
      <c r="QDD38" s="127">
        <f>SUM(QDC38)</f>
        <v>40</v>
      </c>
      <c r="QDE38" s="129" t="s">
        <v>46</v>
      </c>
      <c r="QDF38" s="131" t="s">
        <v>44</v>
      </c>
      <c r="QDG38" s="133" t="s">
        <v>45</v>
      </c>
      <c r="QDH38" s="134"/>
      <c r="QDI38" s="135"/>
      <c r="QDJ38" s="125">
        <v>0</v>
      </c>
      <c r="QDK38" s="125">
        <v>40</v>
      </c>
      <c r="QDL38" s="127">
        <f>SUM(QDK38)</f>
        <v>40</v>
      </c>
      <c r="QDM38" s="129" t="s">
        <v>46</v>
      </c>
      <c r="QDN38" s="131" t="s">
        <v>44</v>
      </c>
      <c r="QDO38" s="133" t="s">
        <v>45</v>
      </c>
      <c r="QDP38" s="134"/>
      <c r="QDQ38" s="135"/>
      <c r="QDR38" s="125">
        <v>0</v>
      </c>
      <c r="QDS38" s="125">
        <v>40</v>
      </c>
      <c r="QDT38" s="127">
        <f>SUM(QDS38)</f>
        <v>40</v>
      </c>
      <c r="QDU38" s="129" t="s">
        <v>46</v>
      </c>
      <c r="QDV38" s="131" t="s">
        <v>44</v>
      </c>
      <c r="QDW38" s="133" t="s">
        <v>45</v>
      </c>
      <c r="QDX38" s="134"/>
      <c r="QDY38" s="135"/>
      <c r="QDZ38" s="125">
        <v>0</v>
      </c>
      <c r="QEA38" s="125">
        <v>40</v>
      </c>
      <c r="QEB38" s="127">
        <f>SUM(QEA38)</f>
        <v>40</v>
      </c>
      <c r="QEC38" s="129" t="s">
        <v>46</v>
      </c>
      <c r="QED38" s="131" t="s">
        <v>44</v>
      </c>
      <c r="QEE38" s="133" t="s">
        <v>45</v>
      </c>
      <c r="QEF38" s="134"/>
      <c r="QEG38" s="135"/>
      <c r="QEH38" s="125">
        <v>0</v>
      </c>
      <c r="QEI38" s="125">
        <v>40</v>
      </c>
      <c r="QEJ38" s="127">
        <f>SUM(QEI38)</f>
        <v>40</v>
      </c>
      <c r="QEK38" s="129" t="s">
        <v>46</v>
      </c>
      <c r="QEL38" s="131" t="s">
        <v>44</v>
      </c>
      <c r="QEM38" s="133" t="s">
        <v>45</v>
      </c>
      <c r="QEN38" s="134"/>
      <c r="QEO38" s="135"/>
      <c r="QEP38" s="125">
        <v>0</v>
      </c>
      <c r="QEQ38" s="125">
        <v>40</v>
      </c>
      <c r="QER38" s="127">
        <f>SUM(QEQ38)</f>
        <v>40</v>
      </c>
      <c r="QES38" s="129" t="s">
        <v>46</v>
      </c>
      <c r="QET38" s="131" t="s">
        <v>44</v>
      </c>
      <c r="QEU38" s="133" t="s">
        <v>45</v>
      </c>
      <c r="QEV38" s="134"/>
      <c r="QEW38" s="135"/>
      <c r="QEX38" s="125">
        <v>0</v>
      </c>
      <c r="QEY38" s="125">
        <v>40</v>
      </c>
      <c r="QEZ38" s="127">
        <f>SUM(QEY38)</f>
        <v>40</v>
      </c>
      <c r="QFA38" s="129" t="s">
        <v>46</v>
      </c>
      <c r="QFB38" s="131" t="s">
        <v>44</v>
      </c>
      <c r="QFC38" s="133" t="s">
        <v>45</v>
      </c>
      <c r="QFD38" s="134"/>
      <c r="QFE38" s="135"/>
      <c r="QFF38" s="125">
        <v>0</v>
      </c>
      <c r="QFG38" s="125">
        <v>40</v>
      </c>
      <c r="QFH38" s="127">
        <f>SUM(QFG38)</f>
        <v>40</v>
      </c>
      <c r="QFI38" s="129" t="s">
        <v>46</v>
      </c>
      <c r="QFJ38" s="131" t="s">
        <v>44</v>
      </c>
      <c r="QFK38" s="133" t="s">
        <v>45</v>
      </c>
      <c r="QFL38" s="134"/>
      <c r="QFM38" s="135"/>
      <c r="QFN38" s="125">
        <v>0</v>
      </c>
      <c r="QFO38" s="125">
        <v>40</v>
      </c>
      <c r="QFP38" s="127">
        <f>SUM(QFO38)</f>
        <v>40</v>
      </c>
      <c r="QFQ38" s="129" t="s">
        <v>46</v>
      </c>
      <c r="QFR38" s="131" t="s">
        <v>44</v>
      </c>
      <c r="QFS38" s="133" t="s">
        <v>45</v>
      </c>
      <c r="QFT38" s="134"/>
      <c r="QFU38" s="135"/>
      <c r="QFV38" s="125">
        <v>0</v>
      </c>
      <c r="QFW38" s="125">
        <v>40</v>
      </c>
      <c r="QFX38" s="127">
        <f>SUM(QFW38)</f>
        <v>40</v>
      </c>
      <c r="QFY38" s="129" t="s">
        <v>46</v>
      </c>
      <c r="QFZ38" s="131" t="s">
        <v>44</v>
      </c>
      <c r="QGA38" s="133" t="s">
        <v>45</v>
      </c>
      <c r="QGB38" s="134"/>
      <c r="QGC38" s="135"/>
      <c r="QGD38" s="125">
        <v>0</v>
      </c>
      <c r="QGE38" s="125">
        <v>40</v>
      </c>
      <c r="QGF38" s="127">
        <f>SUM(QGE38)</f>
        <v>40</v>
      </c>
      <c r="QGG38" s="129" t="s">
        <v>46</v>
      </c>
      <c r="QGH38" s="131" t="s">
        <v>44</v>
      </c>
      <c r="QGI38" s="133" t="s">
        <v>45</v>
      </c>
      <c r="QGJ38" s="134"/>
      <c r="QGK38" s="135"/>
      <c r="QGL38" s="125">
        <v>0</v>
      </c>
      <c r="QGM38" s="125">
        <v>40</v>
      </c>
      <c r="QGN38" s="127">
        <f>SUM(QGM38)</f>
        <v>40</v>
      </c>
      <c r="QGO38" s="129" t="s">
        <v>46</v>
      </c>
      <c r="QGP38" s="131" t="s">
        <v>44</v>
      </c>
      <c r="QGQ38" s="133" t="s">
        <v>45</v>
      </c>
      <c r="QGR38" s="134"/>
      <c r="QGS38" s="135"/>
      <c r="QGT38" s="125">
        <v>0</v>
      </c>
      <c r="QGU38" s="125">
        <v>40</v>
      </c>
      <c r="QGV38" s="127">
        <f>SUM(QGU38)</f>
        <v>40</v>
      </c>
      <c r="QGW38" s="129" t="s">
        <v>46</v>
      </c>
      <c r="QGX38" s="131" t="s">
        <v>44</v>
      </c>
      <c r="QGY38" s="133" t="s">
        <v>45</v>
      </c>
      <c r="QGZ38" s="134"/>
      <c r="QHA38" s="135"/>
      <c r="QHB38" s="125">
        <v>0</v>
      </c>
      <c r="QHC38" s="125">
        <v>40</v>
      </c>
      <c r="QHD38" s="127">
        <f>SUM(QHC38)</f>
        <v>40</v>
      </c>
      <c r="QHE38" s="129" t="s">
        <v>46</v>
      </c>
      <c r="QHF38" s="131" t="s">
        <v>44</v>
      </c>
      <c r="QHG38" s="133" t="s">
        <v>45</v>
      </c>
      <c r="QHH38" s="134"/>
      <c r="QHI38" s="135"/>
      <c r="QHJ38" s="125">
        <v>0</v>
      </c>
      <c r="QHK38" s="125">
        <v>40</v>
      </c>
      <c r="QHL38" s="127">
        <f>SUM(QHK38)</f>
        <v>40</v>
      </c>
      <c r="QHM38" s="129" t="s">
        <v>46</v>
      </c>
      <c r="QHN38" s="131" t="s">
        <v>44</v>
      </c>
      <c r="QHO38" s="133" t="s">
        <v>45</v>
      </c>
      <c r="QHP38" s="134"/>
      <c r="QHQ38" s="135"/>
      <c r="QHR38" s="125">
        <v>0</v>
      </c>
      <c r="QHS38" s="125">
        <v>40</v>
      </c>
      <c r="QHT38" s="127">
        <f>SUM(QHS38)</f>
        <v>40</v>
      </c>
      <c r="QHU38" s="129" t="s">
        <v>46</v>
      </c>
      <c r="QHV38" s="131" t="s">
        <v>44</v>
      </c>
      <c r="QHW38" s="133" t="s">
        <v>45</v>
      </c>
      <c r="QHX38" s="134"/>
      <c r="QHY38" s="135"/>
      <c r="QHZ38" s="125">
        <v>0</v>
      </c>
      <c r="QIA38" s="125">
        <v>40</v>
      </c>
      <c r="QIB38" s="127">
        <f>SUM(QIA38)</f>
        <v>40</v>
      </c>
      <c r="QIC38" s="129" t="s">
        <v>46</v>
      </c>
      <c r="QID38" s="131" t="s">
        <v>44</v>
      </c>
      <c r="QIE38" s="133" t="s">
        <v>45</v>
      </c>
      <c r="QIF38" s="134"/>
      <c r="QIG38" s="135"/>
      <c r="QIH38" s="125">
        <v>0</v>
      </c>
      <c r="QII38" s="125">
        <v>40</v>
      </c>
      <c r="QIJ38" s="127">
        <f>SUM(QII38)</f>
        <v>40</v>
      </c>
      <c r="QIK38" s="129" t="s">
        <v>46</v>
      </c>
      <c r="QIL38" s="131" t="s">
        <v>44</v>
      </c>
      <c r="QIM38" s="133" t="s">
        <v>45</v>
      </c>
      <c r="QIN38" s="134"/>
      <c r="QIO38" s="135"/>
      <c r="QIP38" s="125">
        <v>0</v>
      </c>
      <c r="QIQ38" s="125">
        <v>40</v>
      </c>
      <c r="QIR38" s="127">
        <f>SUM(QIQ38)</f>
        <v>40</v>
      </c>
      <c r="QIS38" s="129" t="s">
        <v>46</v>
      </c>
      <c r="QIT38" s="131" t="s">
        <v>44</v>
      </c>
      <c r="QIU38" s="133" t="s">
        <v>45</v>
      </c>
      <c r="QIV38" s="134"/>
      <c r="QIW38" s="135"/>
      <c r="QIX38" s="125">
        <v>0</v>
      </c>
      <c r="QIY38" s="125">
        <v>40</v>
      </c>
      <c r="QIZ38" s="127">
        <f>SUM(QIY38)</f>
        <v>40</v>
      </c>
      <c r="QJA38" s="129" t="s">
        <v>46</v>
      </c>
      <c r="QJB38" s="131" t="s">
        <v>44</v>
      </c>
      <c r="QJC38" s="133" t="s">
        <v>45</v>
      </c>
      <c r="QJD38" s="134"/>
      <c r="QJE38" s="135"/>
      <c r="QJF38" s="125">
        <v>0</v>
      </c>
      <c r="QJG38" s="125">
        <v>40</v>
      </c>
      <c r="QJH38" s="127">
        <f>SUM(QJG38)</f>
        <v>40</v>
      </c>
      <c r="QJI38" s="129" t="s">
        <v>46</v>
      </c>
      <c r="QJJ38" s="131" t="s">
        <v>44</v>
      </c>
      <c r="QJK38" s="133" t="s">
        <v>45</v>
      </c>
      <c r="QJL38" s="134"/>
      <c r="QJM38" s="135"/>
      <c r="QJN38" s="125">
        <v>0</v>
      </c>
      <c r="QJO38" s="125">
        <v>40</v>
      </c>
      <c r="QJP38" s="127">
        <f>SUM(QJO38)</f>
        <v>40</v>
      </c>
      <c r="QJQ38" s="129" t="s">
        <v>46</v>
      </c>
      <c r="QJR38" s="131" t="s">
        <v>44</v>
      </c>
      <c r="QJS38" s="133" t="s">
        <v>45</v>
      </c>
      <c r="QJT38" s="134"/>
      <c r="QJU38" s="135"/>
      <c r="QJV38" s="125">
        <v>0</v>
      </c>
      <c r="QJW38" s="125">
        <v>40</v>
      </c>
      <c r="QJX38" s="127">
        <f>SUM(QJW38)</f>
        <v>40</v>
      </c>
      <c r="QJY38" s="129" t="s">
        <v>46</v>
      </c>
      <c r="QJZ38" s="131" t="s">
        <v>44</v>
      </c>
      <c r="QKA38" s="133" t="s">
        <v>45</v>
      </c>
      <c r="QKB38" s="134"/>
      <c r="QKC38" s="135"/>
      <c r="QKD38" s="125">
        <v>0</v>
      </c>
      <c r="QKE38" s="125">
        <v>40</v>
      </c>
      <c r="QKF38" s="127">
        <f>SUM(QKE38)</f>
        <v>40</v>
      </c>
      <c r="QKG38" s="129" t="s">
        <v>46</v>
      </c>
      <c r="QKH38" s="131" t="s">
        <v>44</v>
      </c>
      <c r="QKI38" s="133" t="s">
        <v>45</v>
      </c>
      <c r="QKJ38" s="134"/>
      <c r="QKK38" s="135"/>
      <c r="QKL38" s="125">
        <v>0</v>
      </c>
      <c r="QKM38" s="125">
        <v>40</v>
      </c>
      <c r="QKN38" s="127">
        <f>SUM(QKM38)</f>
        <v>40</v>
      </c>
      <c r="QKO38" s="129" t="s">
        <v>46</v>
      </c>
      <c r="QKP38" s="131" t="s">
        <v>44</v>
      </c>
      <c r="QKQ38" s="133" t="s">
        <v>45</v>
      </c>
      <c r="QKR38" s="134"/>
      <c r="QKS38" s="135"/>
      <c r="QKT38" s="125">
        <v>0</v>
      </c>
      <c r="QKU38" s="125">
        <v>40</v>
      </c>
      <c r="QKV38" s="127">
        <f>SUM(QKU38)</f>
        <v>40</v>
      </c>
      <c r="QKW38" s="129" t="s">
        <v>46</v>
      </c>
      <c r="QKX38" s="131" t="s">
        <v>44</v>
      </c>
      <c r="QKY38" s="133" t="s">
        <v>45</v>
      </c>
      <c r="QKZ38" s="134"/>
      <c r="QLA38" s="135"/>
      <c r="QLB38" s="125">
        <v>0</v>
      </c>
      <c r="QLC38" s="125">
        <v>40</v>
      </c>
      <c r="QLD38" s="127">
        <f>SUM(QLC38)</f>
        <v>40</v>
      </c>
      <c r="QLE38" s="129" t="s">
        <v>46</v>
      </c>
      <c r="QLF38" s="131" t="s">
        <v>44</v>
      </c>
      <c r="QLG38" s="133" t="s">
        <v>45</v>
      </c>
      <c r="QLH38" s="134"/>
      <c r="QLI38" s="135"/>
      <c r="QLJ38" s="125">
        <v>0</v>
      </c>
      <c r="QLK38" s="125">
        <v>40</v>
      </c>
      <c r="QLL38" s="127">
        <f>SUM(QLK38)</f>
        <v>40</v>
      </c>
      <c r="QLM38" s="129" t="s">
        <v>46</v>
      </c>
      <c r="QLN38" s="131" t="s">
        <v>44</v>
      </c>
      <c r="QLO38" s="133" t="s">
        <v>45</v>
      </c>
      <c r="QLP38" s="134"/>
      <c r="QLQ38" s="135"/>
      <c r="QLR38" s="125">
        <v>0</v>
      </c>
      <c r="QLS38" s="125">
        <v>40</v>
      </c>
      <c r="QLT38" s="127">
        <f>SUM(QLS38)</f>
        <v>40</v>
      </c>
      <c r="QLU38" s="129" t="s">
        <v>46</v>
      </c>
      <c r="QLV38" s="131" t="s">
        <v>44</v>
      </c>
      <c r="QLW38" s="133" t="s">
        <v>45</v>
      </c>
      <c r="QLX38" s="134"/>
      <c r="QLY38" s="135"/>
      <c r="QLZ38" s="125">
        <v>0</v>
      </c>
      <c r="QMA38" s="125">
        <v>40</v>
      </c>
      <c r="QMB38" s="127">
        <f>SUM(QMA38)</f>
        <v>40</v>
      </c>
      <c r="QMC38" s="129" t="s">
        <v>46</v>
      </c>
      <c r="QMD38" s="131" t="s">
        <v>44</v>
      </c>
      <c r="QME38" s="133" t="s">
        <v>45</v>
      </c>
      <c r="QMF38" s="134"/>
      <c r="QMG38" s="135"/>
      <c r="QMH38" s="125">
        <v>0</v>
      </c>
      <c r="QMI38" s="125">
        <v>40</v>
      </c>
      <c r="QMJ38" s="127">
        <f>SUM(QMI38)</f>
        <v>40</v>
      </c>
      <c r="QMK38" s="129" t="s">
        <v>46</v>
      </c>
      <c r="QML38" s="131" t="s">
        <v>44</v>
      </c>
      <c r="QMM38" s="133" t="s">
        <v>45</v>
      </c>
      <c r="QMN38" s="134"/>
      <c r="QMO38" s="135"/>
      <c r="QMP38" s="125">
        <v>0</v>
      </c>
      <c r="QMQ38" s="125">
        <v>40</v>
      </c>
      <c r="QMR38" s="127">
        <f>SUM(QMQ38)</f>
        <v>40</v>
      </c>
      <c r="QMS38" s="129" t="s">
        <v>46</v>
      </c>
      <c r="QMT38" s="131" t="s">
        <v>44</v>
      </c>
      <c r="QMU38" s="133" t="s">
        <v>45</v>
      </c>
      <c r="QMV38" s="134"/>
      <c r="QMW38" s="135"/>
      <c r="QMX38" s="125">
        <v>0</v>
      </c>
      <c r="QMY38" s="125">
        <v>40</v>
      </c>
      <c r="QMZ38" s="127">
        <f>SUM(QMY38)</f>
        <v>40</v>
      </c>
      <c r="QNA38" s="129" t="s">
        <v>46</v>
      </c>
      <c r="QNB38" s="131" t="s">
        <v>44</v>
      </c>
      <c r="QNC38" s="133" t="s">
        <v>45</v>
      </c>
      <c r="QND38" s="134"/>
      <c r="QNE38" s="135"/>
      <c r="QNF38" s="125">
        <v>0</v>
      </c>
      <c r="QNG38" s="125">
        <v>40</v>
      </c>
      <c r="QNH38" s="127">
        <f>SUM(QNG38)</f>
        <v>40</v>
      </c>
      <c r="QNI38" s="129" t="s">
        <v>46</v>
      </c>
      <c r="QNJ38" s="131" t="s">
        <v>44</v>
      </c>
      <c r="QNK38" s="133" t="s">
        <v>45</v>
      </c>
      <c r="QNL38" s="134"/>
      <c r="QNM38" s="135"/>
      <c r="QNN38" s="125">
        <v>0</v>
      </c>
      <c r="QNO38" s="125">
        <v>40</v>
      </c>
      <c r="QNP38" s="127">
        <f>SUM(QNO38)</f>
        <v>40</v>
      </c>
      <c r="QNQ38" s="129" t="s">
        <v>46</v>
      </c>
      <c r="QNR38" s="131" t="s">
        <v>44</v>
      </c>
      <c r="QNS38" s="133" t="s">
        <v>45</v>
      </c>
      <c r="QNT38" s="134"/>
      <c r="QNU38" s="135"/>
      <c r="QNV38" s="125">
        <v>0</v>
      </c>
      <c r="QNW38" s="125">
        <v>40</v>
      </c>
      <c r="QNX38" s="127">
        <f>SUM(QNW38)</f>
        <v>40</v>
      </c>
      <c r="QNY38" s="129" t="s">
        <v>46</v>
      </c>
      <c r="QNZ38" s="131" t="s">
        <v>44</v>
      </c>
      <c r="QOA38" s="133" t="s">
        <v>45</v>
      </c>
      <c r="QOB38" s="134"/>
      <c r="QOC38" s="135"/>
      <c r="QOD38" s="125">
        <v>0</v>
      </c>
      <c r="QOE38" s="125">
        <v>40</v>
      </c>
      <c r="QOF38" s="127">
        <f>SUM(QOE38)</f>
        <v>40</v>
      </c>
      <c r="QOG38" s="129" t="s">
        <v>46</v>
      </c>
      <c r="QOH38" s="131" t="s">
        <v>44</v>
      </c>
      <c r="QOI38" s="133" t="s">
        <v>45</v>
      </c>
      <c r="QOJ38" s="134"/>
      <c r="QOK38" s="135"/>
      <c r="QOL38" s="125">
        <v>0</v>
      </c>
      <c r="QOM38" s="125">
        <v>40</v>
      </c>
      <c r="QON38" s="127">
        <f>SUM(QOM38)</f>
        <v>40</v>
      </c>
      <c r="QOO38" s="129" t="s">
        <v>46</v>
      </c>
      <c r="QOP38" s="131" t="s">
        <v>44</v>
      </c>
      <c r="QOQ38" s="133" t="s">
        <v>45</v>
      </c>
      <c r="QOR38" s="134"/>
      <c r="QOS38" s="135"/>
      <c r="QOT38" s="125">
        <v>0</v>
      </c>
      <c r="QOU38" s="125">
        <v>40</v>
      </c>
      <c r="QOV38" s="127">
        <f>SUM(QOU38)</f>
        <v>40</v>
      </c>
      <c r="QOW38" s="129" t="s">
        <v>46</v>
      </c>
      <c r="QOX38" s="131" t="s">
        <v>44</v>
      </c>
      <c r="QOY38" s="133" t="s">
        <v>45</v>
      </c>
      <c r="QOZ38" s="134"/>
      <c r="QPA38" s="135"/>
      <c r="QPB38" s="125">
        <v>0</v>
      </c>
      <c r="QPC38" s="125">
        <v>40</v>
      </c>
      <c r="QPD38" s="127">
        <f>SUM(QPC38)</f>
        <v>40</v>
      </c>
      <c r="QPE38" s="129" t="s">
        <v>46</v>
      </c>
      <c r="QPF38" s="131" t="s">
        <v>44</v>
      </c>
      <c r="QPG38" s="133" t="s">
        <v>45</v>
      </c>
      <c r="QPH38" s="134"/>
      <c r="QPI38" s="135"/>
      <c r="QPJ38" s="125">
        <v>0</v>
      </c>
      <c r="QPK38" s="125">
        <v>40</v>
      </c>
      <c r="QPL38" s="127">
        <f>SUM(QPK38)</f>
        <v>40</v>
      </c>
      <c r="QPM38" s="129" t="s">
        <v>46</v>
      </c>
      <c r="QPN38" s="131" t="s">
        <v>44</v>
      </c>
      <c r="QPO38" s="133" t="s">
        <v>45</v>
      </c>
      <c r="QPP38" s="134"/>
      <c r="QPQ38" s="135"/>
      <c r="QPR38" s="125">
        <v>0</v>
      </c>
      <c r="QPS38" s="125">
        <v>40</v>
      </c>
      <c r="QPT38" s="127">
        <f>SUM(QPS38)</f>
        <v>40</v>
      </c>
      <c r="QPU38" s="129" t="s">
        <v>46</v>
      </c>
      <c r="QPV38" s="131" t="s">
        <v>44</v>
      </c>
      <c r="QPW38" s="133" t="s">
        <v>45</v>
      </c>
      <c r="QPX38" s="134"/>
      <c r="QPY38" s="135"/>
      <c r="QPZ38" s="125">
        <v>0</v>
      </c>
      <c r="QQA38" s="125">
        <v>40</v>
      </c>
      <c r="QQB38" s="127">
        <f>SUM(QQA38)</f>
        <v>40</v>
      </c>
      <c r="QQC38" s="129" t="s">
        <v>46</v>
      </c>
      <c r="QQD38" s="131" t="s">
        <v>44</v>
      </c>
      <c r="QQE38" s="133" t="s">
        <v>45</v>
      </c>
      <c r="QQF38" s="134"/>
      <c r="QQG38" s="135"/>
      <c r="QQH38" s="125">
        <v>0</v>
      </c>
      <c r="QQI38" s="125">
        <v>40</v>
      </c>
      <c r="QQJ38" s="127">
        <f>SUM(QQI38)</f>
        <v>40</v>
      </c>
      <c r="QQK38" s="129" t="s">
        <v>46</v>
      </c>
      <c r="QQL38" s="131" t="s">
        <v>44</v>
      </c>
      <c r="QQM38" s="133" t="s">
        <v>45</v>
      </c>
      <c r="QQN38" s="134"/>
      <c r="QQO38" s="135"/>
      <c r="QQP38" s="125">
        <v>0</v>
      </c>
      <c r="QQQ38" s="125">
        <v>40</v>
      </c>
      <c r="QQR38" s="127">
        <f>SUM(QQQ38)</f>
        <v>40</v>
      </c>
      <c r="QQS38" s="129" t="s">
        <v>46</v>
      </c>
      <c r="QQT38" s="131" t="s">
        <v>44</v>
      </c>
      <c r="QQU38" s="133" t="s">
        <v>45</v>
      </c>
      <c r="QQV38" s="134"/>
      <c r="QQW38" s="135"/>
      <c r="QQX38" s="125">
        <v>0</v>
      </c>
      <c r="QQY38" s="125">
        <v>40</v>
      </c>
      <c r="QQZ38" s="127">
        <f>SUM(QQY38)</f>
        <v>40</v>
      </c>
      <c r="QRA38" s="129" t="s">
        <v>46</v>
      </c>
      <c r="QRB38" s="131" t="s">
        <v>44</v>
      </c>
      <c r="QRC38" s="133" t="s">
        <v>45</v>
      </c>
      <c r="QRD38" s="134"/>
      <c r="QRE38" s="135"/>
      <c r="QRF38" s="125">
        <v>0</v>
      </c>
      <c r="QRG38" s="125">
        <v>40</v>
      </c>
      <c r="QRH38" s="127">
        <f>SUM(QRG38)</f>
        <v>40</v>
      </c>
      <c r="QRI38" s="129" t="s">
        <v>46</v>
      </c>
      <c r="QRJ38" s="131" t="s">
        <v>44</v>
      </c>
      <c r="QRK38" s="133" t="s">
        <v>45</v>
      </c>
      <c r="QRL38" s="134"/>
      <c r="QRM38" s="135"/>
      <c r="QRN38" s="125">
        <v>0</v>
      </c>
      <c r="QRO38" s="125">
        <v>40</v>
      </c>
      <c r="QRP38" s="127">
        <f>SUM(QRO38)</f>
        <v>40</v>
      </c>
      <c r="QRQ38" s="129" t="s">
        <v>46</v>
      </c>
      <c r="QRR38" s="131" t="s">
        <v>44</v>
      </c>
      <c r="QRS38" s="133" t="s">
        <v>45</v>
      </c>
      <c r="QRT38" s="134"/>
      <c r="QRU38" s="135"/>
      <c r="QRV38" s="125">
        <v>0</v>
      </c>
      <c r="QRW38" s="125">
        <v>40</v>
      </c>
      <c r="QRX38" s="127">
        <f>SUM(QRW38)</f>
        <v>40</v>
      </c>
      <c r="QRY38" s="129" t="s">
        <v>46</v>
      </c>
      <c r="QRZ38" s="131" t="s">
        <v>44</v>
      </c>
      <c r="QSA38" s="133" t="s">
        <v>45</v>
      </c>
      <c r="QSB38" s="134"/>
      <c r="QSC38" s="135"/>
      <c r="QSD38" s="125">
        <v>0</v>
      </c>
      <c r="QSE38" s="125">
        <v>40</v>
      </c>
      <c r="QSF38" s="127">
        <f>SUM(QSE38)</f>
        <v>40</v>
      </c>
      <c r="QSG38" s="129" t="s">
        <v>46</v>
      </c>
      <c r="QSH38" s="131" t="s">
        <v>44</v>
      </c>
      <c r="QSI38" s="133" t="s">
        <v>45</v>
      </c>
      <c r="QSJ38" s="134"/>
      <c r="QSK38" s="135"/>
      <c r="QSL38" s="125">
        <v>0</v>
      </c>
      <c r="QSM38" s="125">
        <v>40</v>
      </c>
      <c r="QSN38" s="127">
        <f>SUM(QSM38)</f>
        <v>40</v>
      </c>
      <c r="QSO38" s="129" t="s">
        <v>46</v>
      </c>
      <c r="QSP38" s="131" t="s">
        <v>44</v>
      </c>
      <c r="QSQ38" s="133" t="s">
        <v>45</v>
      </c>
      <c r="QSR38" s="134"/>
      <c r="QSS38" s="135"/>
      <c r="QST38" s="125">
        <v>0</v>
      </c>
      <c r="QSU38" s="125">
        <v>40</v>
      </c>
      <c r="QSV38" s="127">
        <f>SUM(QSU38)</f>
        <v>40</v>
      </c>
      <c r="QSW38" s="129" t="s">
        <v>46</v>
      </c>
      <c r="QSX38" s="131" t="s">
        <v>44</v>
      </c>
      <c r="QSY38" s="133" t="s">
        <v>45</v>
      </c>
      <c r="QSZ38" s="134"/>
      <c r="QTA38" s="135"/>
      <c r="QTB38" s="125">
        <v>0</v>
      </c>
      <c r="QTC38" s="125">
        <v>40</v>
      </c>
      <c r="QTD38" s="127">
        <f>SUM(QTC38)</f>
        <v>40</v>
      </c>
      <c r="QTE38" s="129" t="s">
        <v>46</v>
      </c>
      <c r="QTF38" s="131" t="s">
        <v>44</v>
      </c>
      <c r="QTG38" s="133" t="s">
        <v>45</v>
      </c>
      <c r="QTH38" s="134"/>
      <c r="QTI38" s="135"/>
      <c r="QTJ38" s="125">
        <v>0</v>
      </c>
      <c r="QTK38" s="125">
        <v>40</v>
      </c>
      <c r="QTL38" s="127">
        <f>SUM(QTK38)</f>
        <v>40</v>
      </c>
      <c r="QTM38" s="129" t="s">
        <v>46</v>
      </c>
      <c r="QTN38" s="131" t="s">
        <v>44</v>
      </c>
      <c r="QTO38" s="133" t="s">
        <v>45</v>
      </c>
      <c r="QTP38" s="134"/>
      <c r="QTQ38" s="135"/>
      <c r="QTR38" s="125">
        <v>0</v>
      </c>
      <c r="QTS38" s="125">
        <v>40</v>
      </c>
      <c r="QTT38" s="127">
        <f>SUM(QTS38)</f>
        <v>40</v>
      </c>
      <c r="QTU38" s="129" t="s">
        <v>46</v>
      </c>
      <c r="QTV38" s="131" t="s">
        <v>44</v>
      </c>
      <c r="QTW38" s="133" t="s">
        <v>45</v>
      </c>
      <c r="QTX38" s="134"/>
      <c r="QTY38" s="135"/>
      <c r="QTZ38" s="125">
        <v>0</v>
      </c>
      <c r="QUA38" s="125">
        <v>40</v>
      </c>
      <c r="QUB38" s="127">
        <f>SUM(QUA38)</f>
        <v>40</v>
      </c>
      <c r="QUC38" s="129" t="s">
        <v>46</v>
      </c>
      <c r="QUD38" s="131" t="s">
        <v>44</v>
      </c>
      <c r="QUE38" s="133" t="s">
        <v>45</v>
      </c>
      <c r="QUF38" s="134"/>
      <c r="QUG38" s="135"/>
      <c r="QUH38" s="125">
        <v>0</v>
      </c>
      <c r="QUI38" s="125">
        <v>40</v>
      </c>
      <c r="QUJ38" s="127">
        <f>SUM(QUI38)</f>
        <v>40</v>
      </c>
      <c r="QUK38" s="129" t="s">
        <v>46</v>
      </c>
      <c r="QUL38" s="131" t="s">
        <v>44</v>
      </c>
      <c r="QUM38" s="133" t="s">
        <v>45</v>
      </c>
      <c r="QUN38" s="134"/>
      <c r="QUO38" s="135"/>
      <c r="QUP38" s="125">
        <v>0</v>
      </c>
      <c r="QUQ38" s="125">
        <v>40</v>
      </c>
      <c r="QUR38" s="127">
        <f>SUM(QUQ38)</f>
        <v>40</v>
      </c>
      <c r="QUS38" s="129" t="s">
        <v>46</v>
      </c>
      <c r="QUT38" s="131" t="s">
        <v>44</v>
      </c>
      <c r="QUU38" s="133" t="s">
        <v>45</v>
      </c>
      <c r="QUV38" s="134"/>
      <c r="QUW38" s="135"/>
      <c r="QUX38" s="125">
        <v>0</v>
      </c>
      <c r="QUY38" s="125">
        <v>40</v>
      </c>
      <c r="QUZ38" s="127">
        <f>SUM(QUY38)</f>
        <v>40</v>
      </c>
      <c r="QVA38" s="129" t="s">
        <v>46</v>
      </c>
      <c r="QVB38" s="131" t="s">
        <v>44</v>
      </c>
      <c r="QVC38" s="133" t="s">
        <v>45</v>
      </c>
      <c r="QVD38" s="134"/>
      <c r="QVE38" s="135"/>
      <c r="QVF38" s="125">
        <v>0</v>
      </c>
      <c r="QVG38" s="125">
        <v>40</v>
      </c>
      <c r="QVH38" s="127">
        <f>SUM(QVG38)</f>
        <v>40</v>
      </c>
      <c r="QVI38" s="129" t="s">
        <v>46</v>
      </c>
      <c r="QVJ38" s="131" t="s">
        <v>44</v>
      </c>
      <c r="QVK38" s="133" t="s">
        <v>45</v>
      </c>
      <c r="QVL38" s="134"/>
      <c r="QVM38" s="135"/>
      <c r="QVN38" s="125">
        <v>0</v>
      </c>
      <c r="QVO38" s="125">
        <v>40</v>
      </c>
      <c r="QVP38" s="127">
        <f>SUM(QVO38)</f>
        <v>40</v>
      </c>
      <c r="QVQ38" s="129" t="s">
        <v>46</v>
      </c>
      <c r="QVR38" s="131" t="s">
        <v>44</v>
      </c>
      <c r="QVS38" s="133" t="s">
        <v>45</v>
      </c>
      <c r="QVT38" s="134"/>
      <c r="QVU38" s="135"/>
      <c r="QVV38" s="125">
        <v>0</v>
      </c>
      <c r="QVW38" s="125">
        <v>40</v>
      </c>
      <c r="QVX38" s="127">
        <f>SUM(QVW38)</f>
        <v>40</v>
      </c>
      <c r="QVY38" s="129" t="s">
        <v>46</v>
      </c>
      <c r="QVZ38" s="131" t="s">
        <v>44</v>
      </c>
      <c r="QWA38" s="133" t="s">
        <v>45</v>
      </c>
      <c r="QWB38" s="134"/>
      <c r="QWC38" s="135"/>
      <c r="QWD38" s="125">
        <v>0</v>
      </c>
      <c r="QWE38" s="125">
        <v>40</v>
      </c>
      <c r="QWF38" s="127">
        <f>SUM(QWE38)</f>
        <v>40</v>
      </c>
      <c r="QWG38" s="129" t="s">
        <v>46</v>
      </c>
      <c r="QWH38" s="131" t="s">
        <v>44</v>
      </c>
      <c r="QWI38" s="133" t="s">
        <v>45</v>
      </c>
      <c r="QWJ38" s="134"/>
      <c r="QWK38" s="135"/>
      <c r="QWL38" s="125">
        <v>0</v>
      </c>
      <c r="QWM38" s="125">
        <v>40</v>
      </c>
      <c r="QWN38" s="127">
        <f>SUM(QWM38)</f>
        <v>40</v>
      </c>
      <c r="QWO38" s="129" t="s">
        <v>46</v>
      </c>
      <c r="QWP38" s="131" t="s">
        <v>44</v>
      </c>
      <c r="QWQ38" s="133" t="s">
        <v>45</v>
      </c>
      <c r="QWR38" s="134"/>
      <c r="QWS38" s="135"/>
      <c r="QWT38" s="125">
        <v>0</v>
      </c>
      <c r="QWU38" s="125">
        <v>40</v>
      </c>
      <c r="QWV38" s="127">
        <f>SUM(QWU38)</f>
        <v>40</v>
      </c>
      <c r="QWW38" s="129" t="s">
        <v>46</v>
      </c>
      <c r="QWX38" s="131" t="s">
        <v>44</v>
      </c>
      <c r="QWY38" s="133" t="s">
        <v>45</v>
      </c>
      <c r="QWZ38" s="134"/>
      <c r="QXA38" s="135"/>
      <c r="QXB38" s="125">
        <v>0</v>
      </c>
      <c r="QXC38" s="125">
        <v>40</v>
      </c>
      <c r="QXD38" s="127">
        <f>SUM(QXC38)</f>
        <v>40</v>
      </c>
      <c r="QXE38" s="129" t="s">
        <v>46</v>
      </c>
      <c r="QXF38" s="131" t="s">
        <v>44</v>
      </c>
      <c r="QXG38" s="133" t="s">
        <v>45</v>
      </c>
      <c r="QXH38" s="134"/>
      <c r="QXI38" s="135"/>
      <c r="QXJ38" s="125">
        <v>0</v>
      </c>
      <c r="QXK38" s="125">
        <v>40</v>
      </c>
      <c r="QXL38" s="127">
        <f>SUM(QXK38)</f>
        <v>40</v>
      </c>
      <c r="QXM38" s="129" t="s">
        <v>46</v>
      </c>
      <c r="QXN38" s="131" t="s">
        <v>44</v>
      </c>
      <c r="QXO38" s="133" t="s">
        <v>45</v>
      </c>
      <c r="QXP38" s="134"/>
      <c r="QXQ38" s="135"/>
      <c r="QXR38" s="125">
        <v>0</v>
      </c>
      <c r="QXS38" s="125">
        <v>40</v>
      </c>
      <c r="QXT38" s="127">
        <f>SUM(QXS38)</f>
        <v>40</v>
      </c>
      <c r="QXU38" s="129" t="s">
        <v>46</v>
      </c>
      <c r="QXV38" s="131" t="s">
        <v>44</v>
      </c>
      <c r="QXW38" s="133" t="s">
        <v>45</v>
      </c>
      <c r="QXX38" s="134"/>
      <c r="QXY38" s="135"/>
      <c r="QXZ38" s="125">
        <v>0</v>
      </c>
      <c r="QYA38" s="125">
        <v>40</v>
      </c>
      <c r="QYB38" s="127">
        <f>SUM(QYA38)</f>
        <v>40</v>
      </c>
      <c r="QYC38" s="129" t="s">
        <v>46</v>
      </c>
      <c r="QYD38" s="131" t="s">
        <v>44</v>
      </c>
      <c r="QYE38" s="133" t="s">
        <v>45</v>
      </c>
      <c r="QYF38" s="134"/>
      <c r="QYG38" s="135"/>
      <c r="QYH38" s="125">
        <v>0</v>
      </c>
      <c r="QYI38" s="125">
        <v>40</v>
      </c>
      <c r="QYJ38" s="127">
        <f>SUM(QYI38)</f>
        <v>40</v>
      </c>
      <c r="QYK38" s="129" t="s">
        <v>46</v>
      </c>
      <c r="QYL38" s="131" t="s">
        <v>44</v>
      </c>
      <c r="QYM38" s="133" t="s">
        <v>45</v>
      </c>
      <c r="QYN38" s="134"/>
      <c r="QYO38" s="135"/>
      <c r="QYP38" s="125">
        <v>0</v>
      </c>
      <c r="QYQ38" s="125">
        <v>40</v>
      </c>
      <c r="QYR38" s="127">
        <f>SUM(QYQ38)</f>
        <v>40</v>
      </c>
      <c r="QYS38" s="129" t="s">
        <v>46</v>
      </c>
      <c r="QYT38" s="131" t="s">
        <v>44</v>
      </c>
      <c r="QYU38" s="133" t="s">
        <v>45</v>
      </c>
      <c r="QYV38" s="134"/>
      <c r="QYW38" s="135"/>
      <c r="QYX38" s="125">
        <v>0</v>
      </c>
      <c r="QYY38" s="125">
        <v>40</v>
      </c>
      <c r="QYZ38" s="127">
        <f>SUM(QYY38)</f>
        <v>40</v>
      </c>
      <c r="QZA38" s="129" t="s">
        <v>46</v>
      </c>
      <c r="QZB38" s="131" t="s">
        <v>44</v>
      </c>
      <c r="QZC38" s="133" t="s">
        <v>45</v>
      </c>
      <c r="QZD38" s="134"/>
      <c r="QZE38" s="135"/>
      <c r="QZF38" s="125">
        <v>0</v>
      </c>
      <c r="QZG38" s="125">
        <v>40</v>
      </c>
      <c r="QZH38" s="127">
        <f>SUM(QZG38)</f>
        <v>40</v>
      </c>
      <c r="QZI38" s="129" t="s">
        <v>46</v>
      </c>
      <c r="QZJ38" s="131" t="s">
        <v>44</v>
      </c>
      <c r="QZK38" s="133" t="s">
        <v>45</v>
      </c>
      <c r="QZL38" s="134"/>
      <c r="QZM38" s="135"/>
      <c r="QZN38" s="125">
        <v>0</v>
      </c>
      <c r="QZO38" s="125">
        <v>40</v>
      </c>
      <c r="QZP38" s="127">
        <f>SUM(QZO38)</f>
        <v>40</v>
      </c>
      <c r="QZQ38" s="129" t="s">
        <v>46</v>
      </c>
      <c r="QZR38" s="131" t="s">
        <v>44</v>
      </c>
      <c r="QZS38" s="133" t="s">
        <v>45</v>
      </c>
      <c r="QZT38" s="134"/>
      <c r="QZU38" s="135"/>
      <c r="QZV38" s="125">
        <v>0</v>
      </c>
      <c r="QZW38" s="125">
        <v>40</v>
      </c>
      <c r="QZX38" s="127">
        <f>SUM(QZW38)</f>
        <v>40</v>
      </c>
      <c r="QZY38" s="129" t="s">
        <v>46</v>
      </c>
      <c r="QZZ38" s="131" t="s">
        <v>44</v>
      </c>
      <c r="RAA38" s="133" t="s">
        <v>45</v>
      </c>
      <c r="RAB38" s="134"/>
      <c r="RAC38" s="135"/>
      <c r="RAD38" s="125">
        <v>0</v>
      </c>
      <c r="RAE38" s="125">
        <v>40</v>
      </c>
      <c r="RAF38" s="127">
        <f>SUM(RAE38)</f>
        <v>40</v>
      </c>
      <c r="RAG38" s="129" t="s">
        <v>46</v>
      </c>
      <c r="RAH38" s="131" t="s">
        <v>44</v>
      </c>
      <c r="RAI38" s="133" t="s">
        <v>45</v>
      </c>
      <c r="RAJ38" s="134"/>
      <c r="RAK38" s="135"/>
      <c r="RAL38" s="125">
        <v>0</v>
      </c>
      <c r="RAM38" s="125">
        <v>40</v>
      </c>
      <c r="RAN38" s="127">
        <f>SUM(RAM38)</f>
        <v>40</v>
      </c>
      <c r="RAO38" s="129" t="s">
        <v>46</v>
      </c>
      <c r="RAP38" s="131" t="s">
        <v>44</v>
      </c>
      <c r="RAQ38" s="133" t="s">
        <v>45</v>
      </c>
      <c r="RAR38" s="134"/>
      <c r="RAS38" s="135"/>
      <c r="RAT38" s="125">
        <v>0</v>
      </c>
      <c r="RAU38" s="125">
        <v>40</v>
      </c>
      <c r="RAV38" s="127">
        <f>SUM(RAU38)</f>
        <v>40</v>
      </c>
      <c r="RAW38" s="129" t="s">
        <v>46</v>
      </c>
      <c r="RAX38" s="131" t="s">
        <v>44</v>
      </c>
      <c r="RAY38" s="133" t="s">
        <v>45</v>
      </c>
      <c r="RAZ38" s="134"/>
      <c r="RBA38" s="135"/>
      <c r="RBB38" s="125">
        <v>0</v>
      </c>
      <c r="RBC38" s="125">
        <v>40</v>
      </c>
      <c r="RBD38" s="127">
        <f>SUM(RBC38)</f>
        <v>40</v>
      </c>
      <c r="RBE38" s="129" t="s">
        <v>46</v>
      </c>
      <c r="RBF38" s="131" t="s">
        <v>44</v>
      </c>
      <c r="RBG38" s="133" t="s">
        <v>45</v>
      </c>
      <c r="RBH38" s="134"/>
      <c r="RBI38" s="135"/>
      <c r="RBJ38" s="125">
        <v>0</v>
      </c>
      <c r="RBK38" s="125">
        <v>40</v>
      </c>
      <c r="RBL38" s="127">
        <f>SUM(RBK38)</f>
        <v>40</v>
      </c>
      <c r="RBM38" s="129" t="s">
        <v>46</v>
      </c>
      <c r="RBN38" s="131" t="s">
        <v>44</v>
      </c>
      <c r="RBO38" s="133" t="s">
        <v>45</v>
      </c>
      <c r="RBP38" s="134"/>
      <c r="RBQ38" s="135"/>
      <c r="RBR38" s="125">
        <v>0</v>
      </c>
      <c r="RBS38" s="125">
        <v>40</v>
      </c>
      <c r="RBT38" s="127">
        <f>SUM(RBS38)</f>
        <v>40</v>
      </c>
      <c r="RBU38" s="129" t="s">
        <v>46</v>
      </c>
      <c r="RBV38" s="131" t="s">
        <v>44</v>
      </c>
      <c r="RBW38" s="133" t="s">
        <v>45</v>
      </c>
      <c r="RBX38" s="134"/>
      <c r="RBY38" s="135"/>
      <c r="RBZ38" s="125">
        <v>0</v>
      </c>
      <c r="RCA38" s="125">
        <v>40</v>
      </c>
      <c r="RCB38" s="127">
        <f>SUM(RCA38)</f>
        <v>40</v>
      </c>
      <c r="RCC38" s="129" t="s">
        <v>46</v>
      </c>
      <c r="RCD38" s="131" t="s">
        <v>44</v>
      </c>
      <c r="RCE38" s="133" t="s">
        <v>45</v>
      </c>
      <c r="RCF38" s="134"/>
      <c r="RCG38" s="135"/>
      <c r="RCH38" s="125">
        <v>0</v>
      </c>
      <c r="RCI38" s="125">
        <v>40</v>
      </c>
      <c r="RCJ38" s="127">
        <f>SUM(RCI38)</f>
        <v>40</v>
      </c>
      <c r="RCK38" s="129" t="s">
        <v>46</v>
      </c>
      <c r="RCL38" s="131" t="s">
        <v>44</v>
      </c>
      <c r="RCM38" s="133" t="s">
        <v>45</v>
      </c>
      <c r="RCN38" s="134"/>
      <c r="RCO38" s="135"/>
      <c r="RCP38" s="125">
        <v>0</v>
      </c>
      <c r="RCQ38" s="125">
        <v>40</v>
      </c>
      <c r="RCR38" s="127">
        <f>SUM(RCQ38)</f>
        <v>40</v>
      </c>
      <c r="RCS38" s="129" t="s">
        <v>46</v>
      </c>
      <c r="RCT38" s="131" t="s">
        <v>44</v>
      </c>
      <c r="RCU38" s="133" t="s">
        <v>45</v>
      </c>
      <c r="RCV38" s="134"/>
      <c r="RCW38" s="135"/>
      <c r="RCX38" s="125">
        <v>0</v>
      </c>
      <c r="RCY38" s="125">
        <v>40</v>
      </c>
      <c r="RCZ38" s="127">
        <f>SUM(RCY38)</f>
        <v>40</v>
      </c>
      <c r="RDA38" s="129" t="s">
        <v>46</v>
      </c>
      <c r="RDB38" s="131" t="s">
        <v>44</v>
      </c>
      <c r="RDC38" s="133" t="s">
        <v>45</v>
      </c>
      <c r="RDD38" s="134"/>
      <c r="RDE38" s="135"/>
      <c r="RDF38" s="125">
        <v>0</v>
      </c>
      <c r="RDG38" s="125">
        <v>40</v>
      </c>
      <c r="RDH38" s="127">
        <f>SUM(RDG38)</f>
        <v>40</v>
      </c>
      <c r="RDI38" s="129" t="s">
        <v>46</v>
      </c>
      <c r="RDJ38" s="131" t="s">
        <v>44</v>
      </c>
      <c r="RDK38" s="133" t="s">
        <v>45</v>
      </c>
      <c r="RDL38" s="134"/>
      <c r="RDM38" s="135"/>
      <c r="RDN38" s="125">
        <v>0</v>
      </c>
      <c r="RDO38" s="125">
        <v>40</v>
      </c>
      <c r="RDP38" s="127">
        <f>SUM(RDO38)</f>
        <v>40</v>
      </c>
      <c r="RDQ38" s="129" t="s">
        <v>46</v>
      </c>
      <c r="RDR38" s="131" t="s">
        <v>44</v>
      </c>
      <c r="RDS38" s="133" t="s">
        <v>45</v>
      </c>
      <c r="RDT38" s="134"/>
      <c r="RDU38" s="135"/>
      <c r="RDV38" s="125">
        <v>0</v>
      </c>
      <c r="RDW38" s="125">
        <v>40</v>
      </c>
      <c r="RDX38" s="127">
        <f>SUM(RDW38)</f>
        <v>40</v>
      </c>
      <c r="RDY38" s="129" t="s">
        <v>46</v>
      </c>
      <c r="RDZ38" s="131" t="s">
        <v>44</v>
      </c>
      <c r="REA38" s="133" t="s">
        <v>45</v>
      </c>
      <c r="REB38" s="134"/>
      <c r="REC38" s="135"/>
      <c r="RED38" s="125">
        <v>0</v>
      </c>
      <c r="REE38" s="125">
        <v>40</v>
      </c>
      <c r="REF38" s="127">
        <f>SUM(REE38)</f>
        <v>40</v>
      </c>
      <c r="REG38" s="129" t="s">
        <v>46</v>
      </c>
      <c r="REH38" s="131" t="s">
        <v>44</v>
      </c>
      <c r="REI38" s="133" t="s">
        <v>45</v>
      </c>
      <c r="REJ38" s="134"/>
      <c r="REK38" s="135"/>
      <c r="REL38" s="125">
        <v>0</v>
      </c>
      <c r="REM38" s="125">
        <v>40</v>
      </c>
      <c r="REN38" s="127">
        <f>SUM(REM38)</f>
        <v>40</v>
      </c>
      <c r="REO38" s="129" t="s">
        <v>46</v>
      </c>
      <c r="REP38" s="131" t="s">
        <v>44</v>
      </c>
      <c r="REQ38" s="133" t="s">
        <v>45</v>
      </c>
      <c r="RER38" s="134"/>
      <c r="RES38" s="135"/>
      <c r="RET38" s="125">
        <v>0</v>
      </c>
      <c r="REU38" s="125">
        <v>40</v>
      </c>
      <c r="REV38" s="127">
        <f>SUM(REU38)</f>
        <v>40</v>
      </c>
      <c r="REW38" s="129" t="s">
        <v>46</v>
      </c>
      <c r="REX38" s="131" t="s">
        <v>44</v>
      </c>
      <c r="REY38" s="133" t="s">
        <v>45</v>
      </c>
      <c r="REZ38" s="134"/>
      <c r="RFA38" s="135"/>
      <c r="RFB38" s="125">
        <v>0</v>
      </c>
      <c r="RFC38" s="125">
        <v>40</v>
      </c>
      <c r="RFD38" s="127">
        <f>SUM(RFC38)</f>
        <v>40</v>
      </c>
      <c r="RFE38" s="129" t="s">
        <v>46</v>
      </c>
      <c r="RFF38" s="131" t="s">
        <v>44</v>
      </c>
      <c r="RFG38" s="133" t="s">
        <v>45</v>
      </c>
      <c r="RFH38" s="134"/>
      <c r="RFI38" s="135"/>
      <c r="RFJ38" s="125">
        <v>0</v>
      </c>
      <c r="RFK38" s="125">
        <v>40</v>
      </c>
      <c r="RFL38" s="127">
        <f>SUM(RFK38)</f>
        <v>40</v>
      </c>
      <c r="RFM38" s="129" t="s">
        <v>46</v>
      </c>
      <c r="RFN38" s="131" t="s">
        <v>44</v>
      </c>
      <c r="RFO38" s="133" t="s">
        <v>45</v>
      </c>
      <c r="RFP38" s="134"/>
      <c r="RFQ38" s="135"/>
      <c r="RFR38" s="125">
        <v>0</v>
      </c>
      <c r="RFS38" s="125">
        <v>40</v>
      </c>
      <c r="RFT38" s="127">
        <f>SUM(RFS38)</f>
        <v>40</v>
      </c>
      <c r="RFU38" s="129" t="s">
        <v>46</v>
      </c>
      <c r="RFV38" s="131" t="s">
        <v>44</v>
      </c>
      <c r="RFW38" s="133" t="s">
        <v>45</v>
      </c>
      <c r="RFX38" s="134"/>
      <c r="RFY38" s="135"/>
      <c r="RFZ38" s="125">
        <v>0</v>
      </c>
      <c r="RGA38" s="125">
        <v>40</v>
      </c>
      <c r="RGB38" s="127">
        <f>SUM(RGA38)</f>
        <v>40</v>
      </c>
      <c r="RGC38" s="129" t="s">
        <v>46</v>
      </c>
      <c r="RGD38" s="131" t="s">
        <v>44</v>
      </c>
      <c r="RGE38" s="133" t="s">
        <v>45</v>
      </c>
      <c r="RGF38" s="134"/>
      <c r="RGG38" s="135"/>
      <c r="RGH38" s="125">
        <v>0</v>
      </c>
      <c r="RGI38" s="125">
        <v>40</v>
      </c>
      <c r="RGJ38" s="127">
        <f>SUM(RGI38)</f>
        <v>40</v>
      </c>
      <c r="RGK38" s="129" t="s">
        <v>46</v>
      </c>
      <c r="RGL38" s="131" t="s">
        <v>44</v>
      </c>
      <c r="RGM38" s="133" t="s">
        <v>45</v>
      </c>
      <c r="RGN38" s="134"/>
      <c r="RGO38" s="135"/>
      <c r="RGP38" s="125">
        <v>0</v>
      </c>
      <c r="RGQ38" s="125">
        <v>40</v>
      </c>
      <c r="RGR38" s="127">
        <f>SUM(RGQ38)</f>
        <v>40</v>
      </c>
      <c r="RGS38" s="129" t="s">
        <v>46</v>
      </c>
      <c r="RGT38" s="131" t="s">
        <v>44</v>
      </c>
      <c r="RGU38" s="133" t="s">
        <v>45</v>
      </c>
      <c r="RGV38" s="134"/>
      <c r="RGW38" s="135"/>
      <c r="RGX38" s="125">
        <v>0</v>
      </c>
      <c r="RGY38" s="125">
        <v>40</v>
      </c>
      <c r="RGZ38" s="127">
        <f>SUM(RGY38)</f>
        <v>40</v>
      </c>
      <c r="RHA38" s="129" t="s">
        <v>46</v>
      </c>
      <c r="RHB38" s="131" t="s">
        <v>44</v>
      </c>
      <c r="RHC38" s="133" t="s">
        <v>45</v>
      </c>
      <c r="RHD38" s="134"/>
      <c r="RHE38" s="135"/>
      <c r="RHF38" s="125">
        <v>0</v>
      </c>
      <c r="RHG38" s="125">
        <v>40</v>
      </c>
      <c r="RHH38" s="127">
        <f>SUM(RHG38)</f>
        <v>40</v>
      </c>
      <c r="RHI38" s="129" t="s">
        <v>46</v>
      </c>
      <c r="RHJ38" s="131" t="s">
        <v>44</v>
      </c>
      <c r="RHK38" s="133" t="s">
        <v>45</v>
      </c>
      <c r="RHL38" s="134"/>
      <c r="RHM38" s="135"/>
      <c r="RHN38" s="125">
        <v>0</v>
      </c>
      <c r="RHO38" s="125">
        <v>40</v>
      </c>
      <c r="RHP38" s="127">
        <f>SUM(RHO38)</f>
        <v>40</v>
      </c>
      <c r="RHQ38" s="129" t="s">
        <v>46</v>
      </c>
      <c r="RHR38" s="131" t="s">
        <v>44</v>
      </c>
      <c r="RHS38" s="133" t="s">
        <v>45</v>
      </c>
      <c r="RHT38" s="134"/>
      <c r="RHU38" s="135"/>
      <c r="RHV38" s="125">
        <v>0</v>
      </c>
      <c r="RHW38" s="125">
        <v>40</v>
      </c>
      <c r="RHX38" s="127">
        <f>SUM(RHW38)</f>
        <v>40</v>
      </c>
      <c r="RHY38" s="129" t="s">
        <v>46</v>
      </c>
      <c r="RHZ38" s="131" t="s">
        <v>44</v>
      </c>
      <c r="RIA38" s="133" t="s">
        <v>45</v>
      </c>
      <c r="RIB38" s="134"/>
      <c r="RIC38" s="135"/>
      <c r="RID38" s="125">
        <v>0</v>
      </c>
      <c r="RIE38" s="125">
        <v>40</v>
      </c>
      <c r="RIF38" s="127">
        <f>SUM(RIE38)</f>
        <v>40</v>
      </c>
      <c r="RIG38" s="129" t="s">
        <v>46</v>
      </c>
      <c r="RIH38" s="131" t="s">
        <v>44</v>
      </c>
      <c r="RII38" s="133" t="s">
        <v>45</v>
      </c>
      <c r="RIJ38" s="134"/>
      <c r="RIK38" s="135"/>
      <c r="RIL38" s="125">
        <v>0</v>
      </c>
      <c r="RIM38" s="125">
        <v>40</v>
      </c>
      <c r="RIN38" s="127">
        <f>SUM(RIM38)</f>
        <v>40</v>
      </c>
      <c r="RIO38" s="129" t="s">
        <v>46</v>
      </c>
      <c r="RIP38" s="131" t="s">
        <v>44</v>
      </c>
      <c r="RIQ38" s="133" t="s">
        <v>45</v>
      </c>
      <c r="RIR38" s="134"/>
      <c r="RIS38" s="135"/>
      <c r="RIT38" s="125">
        <v>0</v>
      </c>
      <c r="RIU38" s="125">
        <v>40</v>
      </c>
      <c r="RIV38" s="127">
        <f>SUM(RIU38)</f>
        <v>40</v>
      </c>
      <c r="RIW38" s="129" t="s">
        <v>46</v>
      </c>
      <c r="RIX38" s="131" t="s">
        <v>44</v>
      </c>
      <c r="RIY38" s="133" t="s">
        <v>45</v>
      </c>
      <c r="RIZ38" s="134"/>
      <c r="RJA38" s="135"/>
      <c r="RJB38" s="125">
        <v>0</v>
      </c>
      <c r="RJC38" s="125">
        <v>40</v>
      </c>
      <c r="RJD38" s="127">
        <f>SUM(RJC38)</f>
        <v>40</v>
      </c>
      <c r="RJE38" s="129" t="s">
        <v>46</v>
      </c>
      <c r="RJF38" s="131" t="s">
        <v>44</v>
      </c>
      <c r="RJG38" s="133" t="s">
        <v>45</v>
      </c>
      <c r="RJH38" s="134"/>
      <c r="RJI38" s="135"/>
      <c r="RJJ38" s="125">
        <v>0</v>
      </c>
      <c r="RJK38" s="125">
        <v>40</v>
      </c>
      <c r="RJL38" s="127">
        <f>SUM(RJK38)</f>
        <v>40</v>
      </c>
      <c r="RJM38" s="129" t="s">
        <v>46</v>
      </c>
      <c r="RJN38" s="131" t="s">
        <v>44</v>
      </c>
      <c r="RJO38" s="133" t="s">
        <v>45</v>
      </c>
      <c r="RJP38" s="134"/>
      <c r="RJQ38" s="135"/>
      <c r="RJR38" s="125">
        <v>0</v>
      </c>
      <c r="RJS38" s="125">
        <v>40</v>
      </c>
      <c r="RJT38" s="127">
        <f>SUM(RJS38)</f>
        <v>40</v>
      </c>
      <c r="RJU38" s="129" t="s">
        <v>46</v>
      </c>
      <c r="RJV38" s="131" t="s">
        <v>44</v>
      </c>
      <c r="RJW38" s="133" t="s">
        <v>45</v>
      </c>
      <c r="RJX38" s="134"/>
      <c r="RJY38" s="135"/>
      <c r="RJZ38" s="125">
        <v>0</v>
      </c>
      <c r="RKA38" s="125">
        <v>40</v>
      </c>
      <c r="RKB38" s="127">
        <f>SUM(RKA38)</f>
        <v>40</v>
      </c>
      <c r="RKC38" s="129" t="s">
        <v>46</v>
      </c>
      <c r="RKD38" s="131" t="s">
        <v>44</v>
      </c>
      <c r="RKE38" s="133" t="s">
        <v>45</v>
      </c>
      <c r="RKF38" s="134"/>
      <c r="RKG38" s="135"/>
      <c r="RKH38" s="125">
        <v>0</v>
      </c>
      <c r="RKI38" s="125">
        <v>40</v>
      </c>
      <c r="RKJ38" s="127">
        <f>SUM(RKI38)</f>
        <v>40</v>
      </c>
      <c r="RKK38" s="129" t="s">
        <v>46</v>
      </c>
      <c r="RKL38" s="131" t="s">
        <v>44</v>
      </c>
      <c r="RKM38" s="133" t="s">
        <v>45</v>
      </c>
      <c r="RKN38" s="134"/>
      <c r="RKO38" s="135"/>
      <c r="RKP38" s="125">
        <v>0</v>
      </c>
      <c r="RKQ38" s="125">
        <v>40</v>
      </c>
      <c r="RKR38" s="127">
        <f>SUM(RKQ38)</f>
        <v>40</v>
      </c>
      <c r="RKS38" s="129" t="s">
        <v>46</v>
      </c>
      <c r="RKT38" s="131" t="s">
        <v>44</v>
      </c>
      <c r="RKU38" s="133" t="s">
        <v>45</v>
      </c>
      <c r="RKV38" s="134"/>
      <c r="RKW38" s="135"/>
      <c r="RKX38" s="125">
        <v>0</v>
      </c>
      <c r="RKY38" s="125">
        <v>40</v>
      </c>
      <c r="RKZ38" s="127">
        <f>SUM(RKY38)</f>
        <v>40</v>
      </c>
      <c r="RLA38" s="129" t="s">
        <v>46</v>
      </c>
      <c r="RLB38" s="131" t="s">
        <v>44</v>
      </c>
      <c r="RLC38" s="133" t="s">
        <v>45</v>
      </c>
      <c r="RLD38" s="134"/>
      <c r="RLE38" s="135"/>
      <c r="RLF38" s="125">
        <v>0</v>
      </c>
      <c r="RLG38" s="125">
        <v>40</v>
      </c>
      <c r="RLH38" s="127">
        <f>SUM(RLG38)</f>
        <v>40</v>
      </c>
      <c r="RLI38" s="129" t="s">
        <v>46</v>
      </c>
      <c r="RLJ38" s="131" t="s">
        <v>44</v>
      </c>
      <c r="RLK38" s="133" t="s">
        <v>45</v>
      </c>
      <c r="RLL38" s="134"/>
      <c r="RLM38" s="135"/>
      <c r="RLN38" s="125">
        <v>0</v>
      </c>
      <c r="RLO38" s="125">
        <v>40</v>
      </c>
      <c r="RLP38" s="127">
        <f>SUM(RLO38)</f>
        <v>40</v>
      </c>
      <c r="RLQ38" s="129" t="s">
        <v>46</v>
      </c>
      <c r="RLR38" s="131" t="s">
        <v>44</v>
      </c>
      <c r="RLS38" s="133" t="s">
        <v>45</v>
      </c>
      <c r="RLT38" s="134"/>
      <c r="RLU38" s="135"/>
      <c r="RLV38" s="125">
        <v>0</v>
      </c>
      <c r="RLW38" s="125">
        <v>40</v>
      </c>
      <c r="RLX38" s="127">
        <f>SUM(RLW38)</f>
        <v>40</v>
      </c>
      <c r="RLY38" s="129" t="s">
        <v>46</v>
      </c>
      <c r="RLZ38" s="131" t="s">
        <v>44</v>
      </c>
      <c r="RMA38" s="133" t="s">
        <v>45</v>
      </c>
      <c r="RMB38" s="134"/>
      <c r="RMC38" s="135"/>
      <c r="RMD38" s="125">
        <v>0</v>
      </c>
      <c r="RME38" s="125">
        <v>40</v>
      </c>
      <c r="RMF38" s="127">
        <f>SUM(RME38)</f>
        <v>40</v>
      </c>
      <c r="RMG38" s="129" t="s">
        <v>46</v>
      </c>
      <c r="RMH38" s="131" t="s">
        <v>44</v>
      </c>
      <c r="RMI38" s="133" t="s">
        <v>45</v>
      </c>
      <c r="RMJ38" s="134"/>
      <c r="RMK38" s="135"/>
      <c r="RML38" s="125">
        <v>0</v>
      </c>
      <c r="RMM38" s="125">
        <v>40</v>
      </c>
      <c r="RMN38" s="127">
        <f>SUM(RMM38)</f>
        <v>40</v>
      </c>
      <c r="RMO38" s="129" t="s">
        <v>46</v>
      </c>
      <c r="RMP38" s="131" t="s">
        <v>44</v>
      </c>
      <c r="RMQ38" s="133" t="s">
        <v>45</v>
      </c>
      <c r="RMR38" s="134"/>
      <c r="RMS38" s="135"/>
      <c r="RMT38" s="125">
        <v>0</v>
      </c>
      <c r="RMU38" s="125">
        <v>40</v>
      </c>
      <c r="RMV38" s="127">
        <f>SUM(RMU38)</f>
        <v>40</v>
      </c>
      <c r="RMW38" s="129" t="s">
        <v>46</v>
      </c>
      <c r="RMX38" s="131" t="s">
        <v>44</v>
      </c>
      <c r="RMY38" s="133" t="s">
        <v>45</v>
      </c>
      <c r="RMZ38" s="134"/>
      <c r="RNA38" s="135"/>
      <c r="RNB38" s="125">
        <v>0</v>
      </c>
      <c r="RNC38" s="125">
        <v>40</v>
      </c>
      <c r="RND38" s="127">
        <f>SUM(RNC38)</f>
        <v>40</v>
      </c>
      <c r="RNE38" s="129" t="s">
        <v>46</v>
      </c>
      <c r="RNF38" s="131" t="s">
        <v>44</v>
      </c>
      <c r="RNG38" s="133" t="s">
        <v>45</v>
      </c>
      <c r="RNH38" s="134"/>
      <c r="RNI38" s="135"/>
      <c r="RNJ38" s="125">
        <v>0</v>
      </c>
      <c r="RNK38" s="125">
        <v>40</v>
      </c>
      <c r="RNL38" s="127">
        <f>SUM(RNK38)</f>
        <v>40</v>
      </c>
      <c r="RNM38" s="129" t="s">
        <v>46</v>
      </c>
      <c r="RNN38" s="131" t="s">
        <v>44</v>
      </c>
      <c r="RNO38" s="133" t="s">
        <v>45</v>
      </c>
      <c r="RNP38" s="134"/>
      <c r="RNQ38" s="135"/>
      <c r="RNR38" s="125">
        <v>0</v>
      </c>
      <c r="RNS38" s="125">
        <v>40</v>
      </c>
      <c r="RNT38" s="127">
        <f>SUM(RNS38)</f>
        <v>40</v>
      </c>
      <c r="RNU38" s="129" t="s">
        <v>46</v>
      </c>
      <c r="RNV38" s="131" t="s">
        <v>44</v>
      </c>
      <c r="RNW38" s="133" t="s">
        <v>45</v>
      </c>
      <c r="RNX38" s="134"/>
      <c r="RNY38" s="135"/>
      <c r="RNZ38" s="125">
        <v>0</v>
      </c>
      <c r="ROA38" s="125">
        <v>40</v>
      </c>
      <c r="ROB38" s="127">
        <f>SUM(ROA38)</f>
        <v>40</v>
      </c>
      <c r="ROC38" s="129" t="s">
        <v>46</v>
      </c>
      <c r="ROD38" s="131" t="s">
        <v>44</v>
      </c>
      <c r="ROE38" s="133" t="s">
        <v>45</v>
      </c>
      <c r="ROF38" s="134"/>
      <c r="ROG38" s="135"/>
      <c r="ROH38" s="125">
        <v>0</v>
      </c>
      <c r="ROI38" s="125">
        <v>40</v>
      </c>
      <c r="ROJ38" s="127">
        <f>SUM(ROI38)</f>
        <v>40</v>
      </c>
      <c r="ROK38" s="129" t="s">
        <v>46</v>
      </c>
      <c r="ROL38" s="131" t="s">
        <v>44</v>
      </c>
      <c r="ROM38" s="133" t="s">
        <v>45</v>
      </c>
      <c r="RON38" s="134"/>
      <c r="ROO38" s="135"/>
      <c r="ROP38" s="125">
        <v>0</v>
      </c>
      <c r="ROQ38" s="125">
        <v>40</v>
      </c>
      <c r="ROR38" s="127">
        <f>SUM(ROQ38)</f>
        <v>40</v>
      </c>
      <c r="ROS38" s="129" t="s">
        <v>46</v>
      </c>
      <c r="ROT38" s="131" t="s">
        <v>44</v>
      </c>
      <c r="ROU38" s="133" t="s">
        <v>45</v>
      </c>
      <c r="ROV38" s="134"/>
      <c r="ROW38" s="135"/>
      <c r="ROX38" s="125">
        <v>0</v>
      </c>
      <c r="ROY38" s="125">
        <v>40</v>
      </c>
      <c r="ROZ38" s="127">
        <f>SUM(ROY38)</f>
        <v>40</v>
      </c>
      <c r="RPA38" s="129" t="s">
        <v>46</v>
      </c>
      <c r="RPB38" s="131" t="s">
        <v>44</v>
      </c>
      <c r="RPC38" s="133" t="s">
        <v>45</v>
      </c>
      <c r="RPD38" s="134"/>
      <c r="RPE38" s="135"/>
      <c r="RPF38" s="125">
        <v>0</v>
      </c>
      <c r="RPG38" s="125">
        <v>40</v>
      </c>
      <c r="RPH38" s="127">
        <f>SUM(RPG38)</f>
        <v>40</v>
      </c>
      <c r="RPI38" s="129" t="s">
        <v>46</v>
      </c>
      <c r="RPJ38" s="131" t="s">
        <v>44</v>
      </c>
      <c r="RPK38" s="133" t="s">
        <v>45</v>
      </c>
      <c r="RPL38" s="134"/>
      <c r="RPM38" s="135"/>
      <c r="RPN38" s="125">
        <v>0</v>
      </c>
      <c r="RPO38" s="125">
        <v>40</v>
      </c>
      <c r="RPP38" s="127">
        <f>SUM(RPO38)</f>
        <v>40</v>
      </c>
      <c r="RPQ38" s="129" t="s">
        <v>46</v>
      </c>
      <c r="RPR38" s="131" t="s">
        <v>44</v>
      </c>
      <c r="RPS38" s="133" t="s">
        <v>45</v>
      </c>
      <c r="RPT38" s="134"/>
      <c r="RPU38" s="135"/>
      <c r="RPV38" s="125">
        <v>0</v>
      </c>
      <c r="RPW38" s="125">
        <v>40</v>
      </c>
      <c r="RPX38" s="127">
        <f>SUM(RPW38)</f>
        <v>40</v>
      </c>
      <c r="RPY38" s="129" t="s">
        <v>46</v>
      </c>
      <c r="RPZ38" s="131" t="s">
        <v>44</v>
      </c>
      <c r="RQA38" s="133" t="s">
        <v>45</v>
      </c>
      <c r="RQB38" s="134"/>
      <c r="RQC38" s="135"/>
      <c r="RQD38" s="125">
        <v>0</v>
      </c>
      <c r="RQE38" s="125">
        <v>40</v>
      </c>
      <c r="RQF38" s="127">
        <f>SUM(RQE38)</f>
        <v>40</v>
      </c>
      <c r="RQG38" s="129" t="s">
        <v>46</v>
      </c>
      <c r="RQH38" s="131" t="s">
        <v>44</v>
      </c>
      <c r="RQI38" s="133" t="s">
        <v>45</v>
      </c>
      <c r="RQJ38" s="134"/>
      <c r="RQK38" s="135"/>
      <c r="RQL38" s="125">
        <v>0</v>
      </c>
      <c r="RQM38" s="125">
        <v>40</v>
      </c>
      <c r="RQN38" s="127">
        <f>SUM(RQM38)</f>
        <v>40</v>
      </c>
      <c r="RQO38" s="129" t="s">
        <v>46</v>
      </c>
      <c r="RQP38" s="131" t="s">
        <v>44</v>
      </c>
      <c r="RQQ38" s="133" t="s">
        <v>45</v>
      </c>
      <c r="RQR38" s="134"/>
      <c r="RQS38" s="135"/>
      <c r="RQT38" s="125">
        <v>0</v>
      </c>
      <c r="RQU38" s="125">
        <v>40</v>
      </c>
      <c r="RQV38" s="127">
        <f>SUM(RQU38)</f>
        <v>40</v>
      </c>
      <c r="RQW38" s="129" t="s">
        <v>46</v>
      </c>
      <c r="RQX38" s="131" t="s">
        <v>44</v>
      </c>
      <c r="RQY38" s="133" t="s">
        <v>45</v>
      </c>
      <c r="RQZ38" s="134"/>
      <c r="RRA38" s="135"/>
      <c r="RRB38" s="125">
        <v>0</v>
      </c>
      <c r="RRC38" s="125">
        <v>40</v>
      </c>
      <c r="RRD38" s="127">
        <f>SUM(RRC38)</f>
        <v>40</v>
      </c>
      <c r="RRE38" s="129" t="s">
        <v>46</v>
      </c>
      <c r="RRF38" s="131" t="s">
        <v>44</v>
      </c>
      <c r="RRG38" s="133" t="s">
        <v>45</v>
      </c>
      <c r="RRH38" s="134"/>
      <c r="RRI38" s="135"/>
      <c r="RRJ38" s="125">
        <v>0</v>
      </c>
      <c r="RRK38" s="125">
        <v>40</v>
      </c>
      <c r="RRL38" s="127">
        <f>SUM(RRK38)</f>
        <v>40</v>
      </c>
      <c r="RRM38" s="129" t="s">
        <v>46</v>
      </c>
      <c r="RRN38" s="131" t="s">
        <v>44</v>
      </c>
      <c r="RRO38" s="133" t="s">
        <v>45</v>
      </c>
      <c r="RRP38" s="134"/>
      <c r="RRQ38" s="135"/>
      <c r="RRR38" s="125">
        <v>0</v>
      </c>
      <c r="RRS38" s="125">
        <v>40</v>
      </c>
      <c r="RRT38" s="127">
        <f>SUM(RRS38)</f>
        <v>40</v>
      </c>
      <c r="RRU38" s="129" t="s">
        <v>46</v>
      </c>
      <c r="RRV38" s="131" t="s">
        <v>44</v>
      </c>
      <c r="RRW38" s="133" t="s">
        <v>45</v>
      </c>
      <c r="RRX38" s="134"/>
      <c r="RRY38" s="135"/>
      <c r="RRZ38" s="125">
        <v>0</v>
      </c>
      <c r="RSA38" s="125">
        <v>40</v>
      </c>
      <c r="RSB38" s="127">
        <f>SUM(RSA38)</f>
        <v>40</v>
      </c>
      <c r="RSC38" s="129" t="s">
        <v>46</v>
      </c>
      <c r="RSD38" s="131" t="s">
        <v>44</v>
      </c>
      <c r="RSE38" s="133" t="s">
        <v>45</v>
      </c>
      <c r="RSF38" s="134"/>
      <c r="RSG38" s="135"/>
      <c r="RSH38" s="125">
        <v>0</v>
      </c>
      <c r="RSI38" s="125">
        <v>40</v>
      </c>
      <c r="RSJ38" s="127">
        <f>SUM(RSI38)</f>
        <v>40</v>
      </c>
      <c r="RSK38" s="129" t="s">
        <v>46</v>
      </c>
      <c r="RSL38" s="131" t="s">
        <v>44</v>
      </c>
      <c r="RSM38" s="133" t="s">
        <v>45</v>
      </c>
      <c r="RSN38" s="134"/>
      <c r="RSO38" s="135"/>
      <c r="RSP38" s="125">
        <v>0</v>
      </c>
      <c r="RSQ38" s="125">
        <v>40</v>
      </c>
      <c r="RSR38" s="127">
        <f>SUM(RSQ38)</f>
        <v>40</v>
      </c>
      <c r="RSS38" s="129" t="s">
        <v>46</v>
      </c>
      <c r="RST38" s="131" t="s">
        <v>44</v>
      </c>
      <c r="RSU38" s="133" t="s">
        <v>45</v>
      </c>
      <c r="RSV38" s="134"/>
      <c r="RSW38" s="135"/>
      <c r="RSX38" s="125">
        <v>0</v>
      </c>
      <c r="RSY38" s="125">
        <v>40</v>
      </c>
      <c r="RSZ38" s="127">
        <f>SUM(RSY38)</f>
        <v>40</v>
      </c>
      <c r="RTA38" s="129" t="s">
        <v>46</v>
      </c>
      <c r="RTB38" s="131" t="s">
        <v>44</v>
      </c>
      <c r="RTC38" s="133" t="s">
        <v>45</v>
      </c>
      <c r="RTD38" s="134"/>
      <c r="RTE38" s="135"/>
      <c r="RTF38" s="125">
        <v>0</v>
      </c>
      <c r="RTG38" s="125">
        <v>40</v>
      </c>
      <c r="RTH38" s="127">
        <f>SUM(RTG38)</f>
        <v>40</v>
      </c>
      <c r="RTI38" s="129" t="s">
        <v>46</v>
      </c>
      <c r="RTJ38" s="131" t="s">
        <v>44</v>
      </c>
      <c r="RTK38" s="133" t="s">
        <v>45</v>
      </c>
      <c r="RTL38" s="134"/>
      <c r="RTM38" s="135"/>
      <c r="RTN38" s="125">
        <v>0</v>
      </c>
      <c r="RTO38" s="125">
        <v>40</v>
      </c>
      <c r="RTP38" s="127">
        <f>SUM(RTO38)</f>
        <v>40</v>
      </c>
      <c r="RTQ38" s="129" t="s">
        <v>46</v>
      </c>
      <c r="RTR38" s="131" t="s">
        <v>44</v>
      </c>
      <c r="RTS38" s="133" t="s">
        <v>45</v>
      </c>
      <c r="RTT38" s="134"/>
      <c r="RTU38" s="135"/>
      <c r="RTV38" s="125">
        <v>0</v>
      </c>
      <c r="RTW38" s="125">
        <v>40</v>
      </c>
      <c r="RTX38" s="127">
        <f>SUM(RTW38)</f>
        <v>40</v>
      </c>
      <c r="RTY38" s="129" t="s">
        <v>46</v>
      </c>
      <c r="RTZ38" s="131" t="s">
        <v>44</v>
      </c>
      <c r="RUA38" s="133" t="s">
        <v>45</v>
      </c>
      <c r="RUB38" s="134"/>
      <c r="RUC38" s="135"/>
      <c r="RUD38" s="125">
        <v>0</v>
      </c>
      <c r="RUE38" s="125">
        <v>40</v>
      </c>
      <c r="RUF38" s="127">
        <f>SUM(RUE38)</f>
        <v>40</v>
      </c>
      <c r="RUG38" s="129" t="s">
        <v>46</v>
      </c>
      <c r="RUH38" s="131" t="s">
        <v>44</v>
      </c>
      <c r="RUI38" s="133" t="s">
        <v>45</v>
      </c>
      <c r="RUJ38" s="134"/>
      <c r="RUK38" s="135"/>
      <c r="RUL38" s="125">
        <v>0</v>
      </c>
      <c r="RUM38" s="125">
        <v>40</v>
      </c>
      <c r="RUN38" s="127">
        <f>SUM(RUM38)</f>
        <v>40</v>
      </c>
      <c r="RUO38" s="129" t="s">
        <v>46</v>
      </c>
      <c r="RUP38" s="131" t="s">
        <v>44</v>
      </c>
      <c r="RUQ38" s="133" t="s">
        <v>45</v>
      </c>
      <c r="RUR38" s="134"/>
      <c r="RUS38" s="135"/>
      <c r="RUT38" s="125">
        <v>0</v>
      </c>
      <c r="RUU38" s="125">
        <v>40</v>
      </c>
      <c r="RUV38" s="127">
        <f>SUM(RUU38)</f>
        <v>40</v>
      </c>
      <c r="RUW38" s="129" t="s">
        <v>46</v>
      </c>
      <c r="RUX38" s="131" t="s">
        <v>44</v>
      </c>
      <c r="RUY38" s="133" t="s">
        <v>45</v>
      </c>
      <c r="RUZ38" s="134"/>
      <c r="RVA38" s="135"/>
      <c r="RVB38" s="125">
        <v>0</v>
      </c>
      <c r="RVC38" s="125">
        <v>40</v>
      </c>
      <c r="RVD38" s="127">
        <f>SUM(RVC38)</f>
        <v>40</v>
      </c>
      <c r="RVE38" s="129" t="s">
        <v>46</v>
      </c>
      <c r="RVF38" s="131" t="s">
        <v>44</v>
      </c>
      <c r="RVG38" s="133" t="s">
        <v>45</v>
      </c>
      <c r="RVH38" s="134"/>
      <c r="RVI38" s="135"/>
      <c r="RVJ38" s="125">
        <v>0</v>
      </c>
      <c r="RVK38" s="125">
        <v>40</v>
      </c>
      <c r="RVL38" s="127">
        <f>SUM(RVK38)</f>
        <v>40</v>
      </c>
      <c r="RVM38" s="129" t="s">
        <v>46</v>
      </c>
      <c r="RVN38" s="131" t="s">
        <v>44</v>
      </c>
      <c r="RVO38" s="133" t="s">
        <v>45</v>
      </c>
      <c r="RVP38" s="134"/>
      <c r="RVQ38" s="135"/>
      <c r="RVR38" s="125">
        <v>0</v>
      </c>
      <c r="RVS38" s="125">
        <v>40</v>
      </c>
      <c r="RVT38" s="127">
        <f>SUM(RVS38)</f>
        <v>40</v>
      </c>
      <c r="RVU38" s="129" t="s">
        <v>46</v>
      </c>
      <c r="RVV38" s="131" t="s">
        <v>44</v>
      </c>
      <c r="RVW38" s="133" t="s">
        <v>45</v>
      </c>
      <c r="RVX38" s="134"/>
      <c r="RVY38" s="135"/>
      <c r="RVZ38" s="125">
        <v>0</v>
      </c>
      <c r="RWA38" s="125">
        <v>40</v>
      </c>
      <c r="RWB38" s="127">
        <f>SUM(RWA38)</f>
        <v>40</v>
      </c>
      <c r="RWC38" s="129" t="s">
        <v>46</v>
      </c>
      <c r="RWD38" s="131" t="s">
        <v>44</v>
      </c>
      <c r="RWE38" s="133" t="s">
        <v>45</v>
      </c>
      <c r="RWF38" s="134"/>
      <c r="RWG38" s="135"/>
      <c r="RWH38" s="125">
        <v>0</v>
      </c>
      <c r="RWI38" s="125">
        <v>40</v>
      </c>
      <c r="RWJ38" s="127">
        <f>SUM(RWI38)</f>
        <v>40</v>
      </c>
      <c r="RWK38" s="129" t="s">
        <v>46</v>
      </c>
      <c r="RWL38" s="131" t="s">
        <v>44</v>
      </c>
      <c r="RWM38" s="133" t="s">
        <v>45</v>
      </c>
      <c r="RWN38" s="134"/>
      <c r="RWO38" s="135"/>
      <c r="RWP38" s="125">
        <v>0</v>
      </c>
      <c r="RWQ38" s="125">
        <v>40</v>
      </c>
      <c r="RWR38" s="127">
        <f>SUM(RWQ38)</f>
        <v>40</v>
      </c>
      <c r="RWS38" s="129" t="s">
        <v>46</v>
      </c>
      <c r="RWT38" s="131" t="s">
        <v>44</v>
      </c>
      <c r="RWU38" s="133" t="s">
        <v>45</v>
      </c>
      <c r="RWV38" s="134"/>
      <c r="RWW38" s="135"/>
      <c r="RWX38" s="125">
        <v>0</v>
      </c>
      <c r="RWY38" s="125">
        <v>40</v>
      </c>
      <c r="RWZ38" s="127">
        <f>SUM(RWY38)</f>
        <v>40</v>
      </c>
      <c r="RXA38" s="129" t="s">
        <v>46</v>
      </c>
      <c r="RXB38" s="131" t="s">
        <v>44</v>
      </c>
      <c r="RXC38" s="133" t="s">
        <v>45</v>
      </c>
      <c r="RXD38" s="134"/>
      <c r="RXE38" s="135"/>
      <c r="RXF38" s="125">
        <v>0</v>
      </c>
      <c r="RXG38" s="125">
        <v>40</v>
      </c>
      <c r="RXH38" s="127">
        <f>SUM(RXG38)</f>
        <v>40</v>
      </c>
      <c r="RXI38" s="129" t="s">
        <v>46</v>
      </c>
      <c r="RXJ38" s="131" t="s">
        <v>44</v>
      </c>
      <c r="RXK38" s="133" t="s">
        <v>45</v>
      </c>
      <c r="RXL38" s="134"/>
      <c r="RXM38" s="135"/>
      <c r="RXN38" s="125">
        <v>0</v>
      </c>
      <c r="RXO38" s="125">
        <v>40</v>
      </c>
      <c r="RXP38" s="127">
        <f>SUM(RXO38)</f>
        <v>40</v>
      </c>
      <c r="RXQ38" s="129" t="s">
        <v>46</v>
      </c>
      <c r="RXR38" s="131" t="s">
        <v>44</v>
      </c>
      <c r="RXS38" s="133" t="s">
        <v>45</v>
      </c>
      <c r="RXT38" s="134"/>
      <c r="RXU38" s="135"/>
      <c r="RXV38" s="125">
        <v>0</v>
      </c>
      <c r="RXW38" s="125">
        <v>40</v>
      </c>
      <c r="RXX38" s="127">
        <f>SUM(RXW38)</f>
        <v>40</v>
      </c>
      <c r="RXY38" s="129" t="s">
        <v>46</v>
      </c>
      <c r="RXZ38" s="131" t="s">
        <v>44</v>
      </c>
      <c r="RYA38" s="133" t="s">
        <v>45</v>
      </c>
      <c r="RYB38" s="134"/>
      <c r="RYC38" s="135"/>
      <c r="RYD38" s="125">
        <v>0</v>
      </c>
      <c r="RYE38" s="125">
        <v>40</v>
      </c>
      <c r="RYF38" s="127">
        <f>SUM(RYE38)</f>
        <v>40</v>
      </c>
      <c r="RYG38" s="129" t="s">
        <v>46</v>
      </c>
      <c r="RYH38" s="131" t="s">
        <v>44</v>
      </c>
      <c r="RYI38" s="133" t="s">
        <v>45</v>
      </c>
      <c r="RYJ38" s="134"/>
      <c r="RYK38" s="135"/>
      <c r="RYL38" s="125">
        <v>0</v>
      </c>
      <c r="RYM38" s="125">
        <v>40</v>
      </c>
      <c r="RYN38" s="127">
        <f>SUM(RYM38)</f>
        <v>40</v>
      </c>
      <c r="RYO38" s="129" t="s">
        <v>46</v>
      </c>
      <c r="RYP38" s="131" t="s">
        <v>44</v>
      </c>
      <c r="RYQ38" s="133" t="s">
        <v>45</v>
      </c>
      <c r="RYR38" s="134"/>
      <c r="RYS38" s="135"/>
      <c r="RYT38" s="125">
        <v>0</v>
      </c>
      <c r="RYU38" s="125">
        <v>40</v>
      </c>
      <c r="RYV38" s="127">
        <f>SUM(RYU38)</f>
        <v>40</v>
      </c>
      <c r="RYW38" s="129" t="s">
        <v>46</v>
      </c>
      <c r="RYX38" s="131" t="s">
        <v>44</v>
      </c>
      <c r="RYY38" s="133" t="s">
        <v>45</v>
      </c>
      <c r="RYZ38" s="134"/>
      <c r="RZA38" s="135"/>
      <c r="RZB38" s="125">
        <v>0</v>
      </c>
      <c r="RZC38" s="125">
        <v>40</v>
      </c>
      <c r="RZD38" s="127">
        <f>SUM(RZC38)</f>
        <v>40</v>
      </c>
      <c r="RZE38" s="129" t="s">
        <v>46</v>
      </c>
      <c r="RZF38" s="131" t="s">
        <v>44</v>
      </c>
      <c r="RZG38" s="133" t="s">
        <v>45</v>
      </c>
      <c r="RZH38" s="134"/>
      <c r="RZI38" s="135"/>
      <c r="RZJ38" s="125">
        <v>0</v>
      </c>
      <c r="RZK38" s="125">
        <v>40</v>
      </c>
      <c r="RZL38" s="127">
        <f>SUM(RZK38)</f>
        <v>40</v>
      </c>
      <c r="RZM38" s="129" t="s">
        <v>46</v>
      </c>
      <c r="RZN38" s="131" t="s">
        <v>44</v>
      </c>
      <c r="RZO38" s="133" t="s">
        <v>45</v>
      </c>
      <c r="RZP38" s="134"/>
      <c r="RZQ38" s="135"/>
      <c r="RZR38" s="125">
        <v>0</v>
      </c>
      <c r="RZS38" s="125">
        <v>40</v>
      </c>
      <c r="RZT38" s="127">
        <f>SUM(RZS38)</f>
        <v>40</v>
      </c>
      <c r="RZU38" s="129" t="s">
        <v>46</v>
      </c>
      <c r="RZV38" s="131" t="s">
        <v>44</v>
      </c>
      <c r="RZW38" s="133" t="s">
        <v>45</v>
      </c>
      <c r="RZX38" s="134"/>
      <c r="RZY38" s="135"/>
      <c r="RZZ38" s="125">
        <v>0</v>
      </c>
      <c r="SAA38" s="125">
        <v>40</v>
      </c>
      <c r="SAB38" s="127">
        <f>SUM(SAA38)</f>
        <v>40</v>
      </c>
      <c r="SAC38" s="129" t="s">
        <v>46</v>
      </c>
      <c r="SAD38" s="131" t="s">
        <v>44</v>
      </c>
      <c r="SAE38" s="133" t="s">
        <v>45</v>
      </c>
      <c r="SAF38" s="134"/>
      <c r="SAG38" s="135"/>
      <c r="SAH38" s="125">
        <v>0</v>
      </c>
      <c r="SAI38" s="125">
        <v>40</v>
      </c>
      <c r="SAJ38" s="127">
        <f>SUM(SAI38)</f>
        <v>40</v>
      </c>
      <c r="SAK38" s="129" t="s">
        <v>46</v>
      </c>
      <c r="SAL38" s="131" t="s">
        <v>44</v>
      </c>
      <c r="SAM38" s="133" t="s">
        <v>45</v>
      </c>
      <c r="SAN38" s="134"/>
      <c r="SAO38" s="135"/>
      <c r="SAP38" s="125">
        <v>0</v>
      </c>
      <c r="SAQ38" s="125">
        <v>40</v>
      </c>
      <c r="SAR38" s="127">
        <f>SUM(SAQ38)</f>
        <v>40</v>
      </c>
      <c r="SAS38" s="129" t="s">
        <v>46</v>
      </c>
      <c r="SAT38" s="131" t="s">
        <v>44</v>
      </c>
      <c r="SAU38" s="133" t="s">
        <v>45</v>
      </c>
      <c r="SAV38" s="134"/>
      <c r="SAW38" s="135"/>
      <c r="SAX38" s="125">
        <v>0</v>
      </c>
      <c r="SAY38" s="125">
        <v>40</v>
      </c>
      <c r="SAZ38" s="127">
        <f>SUM(SAY38)</f>
        <v>40</v>
      </c>
      <c r="SBA38" s="129" t="s">
        <v>46</v>
      </c>
      <c r="SBB38" s="131" t="s">
        <v>44</v>
      </c>
      <c r="SBC38" s="133" t="s">
        <v>45</v>
      </c>
      <c r="SBD38" s="134"/>
      <c r="SBE38" s="135"/>
      <c r="SBF38" s="125">
        <v>0</v>
      </c>
      <c r="SBG38" s="125">
        <v>40</v>
      </c>
      <c r="SBH38" s="127">
        <f>SUM(SBG38)</f>
        <v>40</v>
      </c>
      <c r="SBI38" s="129" t="s">
        <v>46</v>
      </c>
      <c r="SBJ38" s="131" t="s">
        <v>44</v>
      </c>
      <c r="SBK38" s="133" t="s">
        <v>45</v>
      </c>
      <c r="SBL38" s="134"/>
      <c r="SBM38" s="135"/>
      <c r="SBN38" s="125">
        <v>0</v>
      </c>
      <c r="SBO38" s="125">
        <v>40</v>
      </c>
      <c r="SBP38" s="127">
        <f>SUM(SBO38)</f>
        <v>40</v>
      </c>
      <c r="SBQ38" s="129" t="s">
        <v>46</v>
      </c>
      <c r="SBR38" s="131" t="s">
        <v>44</v>
      </c>
      <c r="SBS38" s="133" t="s">
        <v>45</v>
      </c>
      <c r="SBT38" s="134"/>
      <c r="SBU38" s="135"/>
      <c r="SBV38" s="125">
        <v>0</v>
      </c>
      <c r="SBW38" s="125">
        <v>40</v>
      </c>
      <c r="SBX38" s="127">
        <f>SUM(SBW38)</f>
        <v>40</v>
      </c>
      <c r="SBY38" s="129" t="s">
        <v>46</v>
      </c>
      <c r="SBZ38" s="131" t="s">
        <v>44</v>
      </c>
      <c r="SCA38" s="133" t="s">
        <v>45</v>
      </c>
      <c r="SCB38" s="134"/>
      <c r="SCC38" s="135"/>
      <c r="SCD38" s="125">
        <v>0</v>
      </c>
      <c r="SCE38" s="125">
        <v>40</v>
      </c>
      <c r="SCF38" s="127">
        <f>SUM(SCE38)</f>
        <v>40</v>
      </c>
      <c r="SCG38" s="129" t="s">
        <v>46</v>
      </c>
      <c r="SCH38" s="131" t="s">
        <v>44</v>
      </c>
      <c r="SCI38" s="133" t="s">
        <v>45</v>
      </c>
      <c r="SCJ38" s="134"/>
      <c r="SCK38" s="135"/>
      <c r="SCL38" s="125">
        <v>0</v>
      </c>
      <c r="SCM38" s="125">
        <v>40</v>
      </c>
      <c r="SCN38" s="127">
        <f>SUM(SCM38)</f>
        <v>40</v>
      </c>
      <c r="SCO38" s="129" t="s">
        <v>46</v>
      </c>
      <c r="SCP38" s="131" t="s">
        <v>44</v>
      </c>
      <c r="SCQ38" s="133" t="s">
        <v>45</v>
      </c>
      <c r="SCR38" s="134"/>
      <c r="SCS38" s="135"/>
      <c r="SCT38" s="125">
        <v>0</v>
      </c>
      <c r="SCU38" s="125">
        <v>40</v>
      </c>
      <c r="SCV38" s="127">
        <f>SUM(SCU38)</f>
        <v>40</v>
      </c>
      <c r="SCW38" s="129" t="s">
        <v>46</v>
      </c>
      <c r="SCX38" s="131" t="s">
        <v>44</v>
      </c>
      <c r="SCY38" s="133" t="s">
        <v>45</v>
      </c>
      <c r="SCZ38" s="134"/>
      <c r="SDA38" s="135"/>
      <c r="SDB38" s="125">
        <v>0</v>
      </c>
      <c r="SDC38" s="125">
        <v>40</v>
      </c>
      <c r="SDD38" s="127">
        <f>SUM(SDC38)</f>
        <v>40</v>
      </c>
      <c r="SDE38" s="129" t="s">
        <v>46</v>
      </c>
      <c r="SDF38" s="131" t="s">
        <v>44</v>
      </c>
      <c r="SDG38" s="133" t="s">
        <v>45</v>
      </c>
      <c r="SDH38" s="134"/>
      <c r="SDI38" s="135"/>
      <c r="SDJ38" s="125">
        <v>0</v>
      </c>
      <c r="SDK38" s="125">
        <v>40</v>
      </c>
      <c r="SDL38" s="127">
        <f>SUM(SDK38)</f>
        <v>40</v>
      </c>
      <c r="SDM38" s="129" t="s">
        <v>46</v>
      </c>
      <c r="SDN38" s="131" t="s">
        <v>44</v>
      </c>
      <c r="SDO38" s="133" t="s">
        <v>45</v>
      </c>
      <c r="SDP38" s="134"/>
      <c r="SDQ38" s="135"/>
      <c r="SDR38" s="125">
        <v>0</v>
      </c>
      <c r="SDS38" s="125">
        <v>40</v>
      </c>
      <c r="SDT38" s="127">
        <f>SUM(SDS38)</f>
        <v>40</v>
      </c>
      <c r="SDU38" s="129" t="s">
        <v>46</v>
      </c>
      <c r="SDV38" s="131" t="s">
        <v>44</v>
      </c>
      <c r="SDW38" s="133" t="s">
        <v>45</v>
      </c>
      <c r="SDX38" s="134"/>
      <c r="SDY38" s="135"/>
      <c r="SDZ38" s="125">
        <v>0</v>
      </c>
      <c r="SEA38" s="125">
        <v>40</v>
      </c>
      <c r="SEB38" s="127">
        <f>SUM(SEA38)</f>
        <v>40</v>
      </c>
      <c r="SEC38" s="129" t="s">
        <v>46</v>
      </c>
      <c r="SED38" s="131" t="s">
        <v>44</v>
      </c>
      <c r="SEE38" s="133" t="s">
        <v>45</v>
      </c>
      <c r="SEF38" s="134"/>
      <c r="SEG38" s="135"/>
      <c r="SEH38" s="125">
        <v>0</v>
      </c>
      <c r="SEI38" s="125">
        <v>40</v>
      </c>
      <c r="SEJ38" s="127">
        <f>SUM(SEI38)</f>
        <v>40</v>
      </c>
      <c r="SEK38" s="129" t="s">
        <v>46</v>
      </c>
      <c r="SEL38" s="131" t="s">
        <v>44</v>
      </c>
      <c r="SEM38" s="133" t="s">
        <v>45</v>
      </c>
      <c r="SEN38" s="134"/>
      <c r="SEO38" s="135"/>
      <c r="SEP38" s="125">
        <v>0</v>
      </c>
      <c r="SEQ38" s="125">
        <v>40</v>
      </c>
      <c r="SER38" s="127">
        <f>SUM(SEQ38)</f>
        <v>40</v>
      </c>
      <c r="SES38" s="129" t="s">
        <v>46</v>
      </c>
      <c r="SET38" s="131" t="s">
        <v>44</v>
      </c>
      <c r="SEU38" s="133" t="s">
        <v>45</v>
      </c>
      <c r="SEV38" s="134"/>
      <c r="SEW38" s="135"/>
      <c r="SEX38" s="125">
        <v>0</v>
      </c>
      <c r="SEY38" s="125">
        <v>40</v>
      </c>
      <c r="SEZ38" s="127">
        <f>SUM(SEY38)</f>
        <v>40</v>
      </c>
      <c r="SFA38" s="129" t="s">
        <v>46</v>
      </c>
      <c r="SFB38" s="131" t="s">
        <v>44</v>
      </c>
      <c r="SFC38" s="133" t="s">
        <v>45</v>
      </c>
      <c r="SFD38" s="134"/>
      <c r="SFE38" s="135"/>
      <c r="SFF38" s="125">
        <v>0</v>
      </c>
      <c r="SFG38" s="125">
        <v>40</v>
      </c>
      <c r="SFH38" s="127">
        <f>SUM(SFG38)</f>
        <v>40</v>
      </c>
      <c r="SFI38" s="129" t="s">
        <v>46</v>
      </c>
      <c r="SFJ38" s="131" t="s">
        <v>44</v>
      </c>
      <c r="SFK38" s="133" t="s">
        <v>45</v>
      </c>
      <c r="SFL38" s="134"/>
      <c r="SFM38" s="135"/>
      <c r="SFN38" s="125">
        <v>0</v>
      </c>
      <c r="SFO38" s="125">
        <v>40</v>
      </c>
      <c r="SFP38" s="127">
        <f>SUM(SFO38)</f>
        <v>40</v>
      </c>
      <c r="SFQ38" s="129" t="s">
        <v>46</v>
      </c>
      <c r="SFR38" s="131" t="s">
        <v>44</v>
      </c>
      <c r="SFS38" s="133" t="s">
        <v>45</v>
      </c>
      <c r="SFT38" s="134"/>
      <c r="SFU38" s="135"/>
      <c r="SFV38" s="125">
        <v>0</v>
      </c>
      <c r="SFW38" s="125">
        <v>40</v>
      </c>
      <c r="SFX38" s="127">
        <f>SUM(SFW38)</f>
        <v>40</v>
      </c>
      <c r="SFY38" s="129" t="s">
        <v>46</v>
      </c>
      <c r="SFZ38" s="131" t="s">
        <v>44</v>
      </c>
      <c r="SGA38" s="133" t="s">
        <v>45</v>
      </c>
      <c r="SGB38" s="134"/>
      <c r="SGC38" s="135"/>
      <c r="SGD38" s="125">
        <v>0</v>
      </c>
      <c r="SGE38" s="125">
        <v>40</v>
      </c>
      <c r="SGF38" s="127">
        <f>SUM(SGE38)</f>
        <v>40</v>
      </c>
      <c r="SGG38" s="129" t="s">
        <v>46</v>
      </c>
      <c r="SGH38" s="131" t="s">
        <v>44</v>
      </c>
      <c r="SGI38" s="133" t="s">
        <v>45</v>
      </c>
      <c r="SGJ38" s="134"/>
      <c r="SGK38" s="135"/>
      <c r="SGL38" s="125">
        <v>0</v>
      </c>
      <c r="SGM38" s="125">
        <v>40</v>
      </c>
      <c r="SGN38" s="127">
        <f>SUM(SGM38)</f>
        <v>40</v>
      </c>
      <c r="SGO38" s="129" t="s">
        <v>46</v>
      </c>
      <c r="SGP38" s="131" t="s">
        <v>44</v>
      </c>
      <c r="SGQ38" s="133" t="s">
        <v>45</v>
      </c>
      <c r="SGR38" s="134"/>
      <c r="SGS38" s="135"/>
      <c r="SGT38" s="125">
        <v>0</v>
      </c>
      <c r="SGU38" s="125">
        <v>40</v>
      </c>
      <c r="SGV38" s="127">
        <f>SUM(SGU38)</f>
        <v>40</v>
      </c>
      <c r="SGW38" s="129" t="s">
        <v>46</v>
      </c>
      <c r="SGX38" s="131" t="s">
        <v>44</v>
      </c>
      <c r="SGY38" s="133" t="s">
        <v>45</v>
      </c>
      <c r="SGZ38" s="134"/>
      <c r="SHA38" s="135"/>
      <c r="SHB38" s="125">
        <v>0</v>
      </c>
      <c r="SHC38" s="125">
        <v>40</v>
      </c>
      <c r="SHD38" s="127">
        <f>SUM(SHC38)</f>
        <v>40</v>
      </c>
      <c r="SHE38" s="129" t="s">
        <v>46</v>
      </c>
      <c r="SHF38" s="131" t="s">
        <v>44</v>
      </c>
      <c r="SHG38" s="133" t="s">
        <v>45</v>
      </c>
      <c r="SHH38" s="134"/>
      <c r="SHI38" s="135"/>
      <c r="SHJ38" s="125">
        <v>0</v>
      </c>
      <c r="SHK38" s="125">
        <v>40</v>
      </c>
      <c r="SHL38" s="127">
        <f>SUM(SHK38)</f>
        <v>40</v>
      </c>
      <c r="SHM38" s="129" t="s">
        <v>46</v>
      </c>
      <c r="SHN38" s="131" t="s">
        <v>44</v>
      </c>
      <c r="SHO38" s="133" t="s">
        <v>45</v>
      </c>
      <c r="SHP38" s="134"/>
      <c r="SHQ38" s="135"/>
      <c r="SHR38" s="125">
        <v>0</v>
      </c>
      <c r="SHS38" s="125">
        <v>40</v>
      </c>
      <c r="SHT38" s="127">
        <f>SUM(SHS38)</f>
        <v>40</v>
      </c>
      <c r="SHU38" s="129" t="s">
        <v>46</v>
      </c>
      <c r="SHV38" s="131" t="s">
        <v>44</v>
      </c>
      <c r="SHW38" s="133" t="s">
        <v>45</v>
      </c>
      <c r="SHX38" s="134"/>
      <c r="SHY38" s="135"/>
      <c r="SHZ38" s="125">
        <v>0</v>
      </c>
      <c r="SIA38" s="125">
        <v>40</v>
      </c>
      <c r="SIB38" s="127">
        <f>SUM(SIA38)</f>
        <v>40</v>
      </c>
      <c r="SIC38" s="129" t="s">
        <v>46</v>
      </c>
      <c r="SID38" s="131" t="s">
        <v>44</v>
      </c>
      <c r="SIE38" s="133" t="s">
        <v>45</v>
      </c>
      <c r="SIF38" s="134"/>
      <c r="SIG38" s="135"/>
      <c r="SIH38" s="125">
        <v>0</v>
      </c>
      <c r="SII38" s="125">
        <v>40</v>
      </c>
      <c r="SIJ38" s="127">
        <f>SUM(SII38)</f>
        <v>40</v>
      </c>
      <c r="SIK38" s="129" t="s">
        <v>46</v>
      </c>
      <c r="SIL38" s="131" t="s">
        <v>44</v>
      </c>
      <c r="SIM38" s="133" t="s">
        <v>45</v>
      </c>
      <c r="SIN38" s="134"/>
      <c r="SIO38" s="135"/>
      <c r="SIP38" s="125">
        <v>0</v>
      </c>
      <c r="SIQ38" s="125">
        <v>40</v>
      </c>
      <c r="SIR38" s="127">
        <f>SUM(SIQ38)</f>
        <v>40</v>
      </c>
      <c r="SIS38" s="129" t="s">
        <v>46</v>
      </c>
      <c r="SIT38" s="131" t="s">
        <v>44</v>
      </c>
      <c r="SIU38" s="133" t="s">
        <v>45</v>
      </c>
      <c r="SIV38" s="134"/>
      <c r="SIW38" s="135"/>
      <c r="SIX38" s="125">
        <v>0</v>
      </c>
      <c r="SIY38" s="125">
        <v>40</v>
      </c>
      <c r="SIZ38" s="127">
        <f>SUM(SIY38)</f>
        <v>40</v>
      </c>
      <c r="SJA38" s="129" t="s">
        <v>46</v>
      </c>
      <c r="SJB38" s="131" t="s">
        <v>44</v>
      </c>
      <c r="SJC38" s="133" t="s">
        <v>45</v>
      </c>
      <c r="SJD38" s="134"/>
      <c r="SJE38" s="135"/>
      <c r="SJF38" s="125">
        <v>0</v>
      </c>
      <c r="SJG38" s="125">
        <v>40</v>
      </c>
      <c r="SJH38" s="127">
        <f>SUM(SJG38)</f>
        <v>40</v>
      </c>
      <c r="SJI38" s="129" t="s">
        <v>46</v>
      </c>
      <c r="SJJ38" s="131" t="s">
        <v>44</v>
      </c>
      <c r="SJK38" s="133" t="s">
        <v>45</v>
      </c>
      <c r="SJL38" s="134"/>
      <c r="SJM38" s="135"/>
      <c r="SJN38" s="125">
        <v>0</v>
      </c>
      <c r="SJO38" s="125">
        <v>40</v>
      </c>
      <c r="SJP38" s="127">
        <f>SUM(SJO38)</f>
        <v>40</v>
      </c>
      <c r="SJQ38" s="129" t="s">
        <v>46</v>
      </c>
      <c r="SJR38" s="131" t="s">
        <v>44</v>
      </c>
      <c r="SJS38" s="133" t="s">
        <v>45</v>
      </c>
      <c r="SJT38" s="134"/>
      <c r="SJU38" s="135"/>
      <c r="SJV38" s="125">
        <v>0</v>
      </c>
      <c r="SJW38" s="125">
        <v>40</v>
      </c>
      <c r="SJX38" s="127">
        <f>SUM(SJW38)</f>
        <v>40</v>
      </c>
      <c r="SJY38" s="129" t="s">
        <v>46</v>
      </c>
      <c r="SJZ38" s="131" t="s">
        <v>44</v>
      </c>
      <c r="SKA38" s="133" t="s">
        <v>45</v>
      </c>
      <c r="SKB38" s="134"/>
      <c r="SKC38" s="135"/>
      <c r="SKD38" s="125">
        <v>0</v>
      </c>
      <c r="SKE38" s="125">
        <v>40</v>
      </c>
      <c r="SKF38" s="127">
        <f>SUM(SKE38)</f>
        <v>40</v>
      </c>
      <c r="SKG38" s="129" t="s">
        <v>46</v>
      </c>
      <c r="SKH38" s="131" t="s">
        <v>44</v>
      </c>
      <c r="SKI38" s="133" t="s">
        <v>45</v>
      </c>
      <c r="SKJ38" s="134"/>
      <c r="SKK38" s="135"/>
      <c r="SKL38" s="125">
        <v>0</v>
      </c>
      <c r="SKM38" s="125">
        <v>40</v>
      </c>
      <c r="SKN38" s="127">
        <f>SUM(SKM38)</f>
        <v>40</v>
      </c>
      <c r="SKO38" s="129" t="s">
        <v>46</v>
      </c>
      <c r="SKP38" s="131" t="s">
        <v>44</v>
      </c>
      <c r="SKQ38" s="133" t="s">
        <v>45</v>
      </c>
      <c r="SKR38" s="134"/>
      <c r="SKS38" s="135"/>
      <c r="SKT38" s="125">
        <v>0</v>
      </c>
      <c r="SKU38" s="125">
        <v>40</v>
      </c>
      <c r="SKV38" s="127">
        <f>SUM(SKU38)</f>
        <v>40</v>
      </c>
      <c r="SKW38" s="129" t="s">
        <v>46</v>
      </c>
      <c r="SKX38" s="131" t="s">
        <v>44</v>
      </c>
      <c r="SKY38" s="133" t="s">
        <v>45</v>
      </c>
      <c r="SKZ38" s="134"/>
      <c r="SLA38" s="135"/>
      <c r="SLB38" s="125">
        <v>0</v>
      </c>
      <c r="SLC38" s="125">
        <v>40</v>
      </c>
      <c r="SLD38" s="127">
        <f>SUM(SLC38)</f>
        <v>40</v>
      </c>
      <c r="SLE38" s="129" t="s">
        <v>46</v>
      </c>
      <c r="SLF38" s="131" t="s">
        <v>44</v>
      </c>
      <c r="SLG38" s="133" t="s">
        <v>45</v>
      </c>
      <c r="SLH38" s="134"/>
      <c r="SLI38" s="135"/>
      <c r="SLJ38" s="125">
        <v>0</v>
      </c>
      <c r="SLK38" s="125">
        <v>40</v>
      </c>
      <c r="SLL38" s="127">
        <f>SUM(SLK38)</f>
        <v>40</v>
      </c>
      <c r="SLM38" s="129" t="s">
        <v>46</v>
      </c>
      <c r="SLN38" s="131" t="s">
        <v>44</v>
      </c>
      <c r="SLO38" s="133" t="s">
        <v>45</v>
      </c>
      <c r="SLP38" s="134"/>
      <c r="SLQ38" s="135"/>
      <c r="SLR38" s="125">
        <v>0</v>
      </c>
      <c r="SLS38" s="125">
        <v>40</v>
      </c>
      <c r="SLT38" s="127">
        <f>SUM(SLS38)</f>
        <v>40</v>
      </c>
      <c r="SLU38" s="129" t="s">
        <v>46</v>
      </c>
      <c r="SLV38" s="131" t="s">
        <v>44</v>
      </c>
      <c r="SLW38" s="133" t="s">
        <v>45</v>
      </c>
      <c r="SLX38" s="134"/>
      <c r="SLY38" s="135"/>
      <c r="SLZ38" s="125">
        <v>0</v>
      </c>
      <c r="SMA38" s="125">
        <v>40</v>
      </c>
      <c r="SMB38" s="127">
        <f>SUM(SMA38)</f>
        <v>40</v>
      </c>
      <c r="SMC38" s="129" t="s">
        <v>46</v>
      </c>
      <c r="SMD38" s="131" t="s">
        <v>44</v>
      </c>
      <c r="SME38" s="133" t="s">
        <v>45</v>
      </c>
      <c r="SMF38" s="134"/>
      <c r="SMG38" s="135"/>
      <c r="SMH38" s="125">
        <v>0</v>
      </c>
      <c r="SMI38" s="125">
        <v>40</v>
      </c>
      <c r="SMJ38" s="127">
        <f>SUM(SMI38)</f>
        <v>40</v>
      </c>
      <c r="SMK38" s="129" t="s">
        <v>46</v>
      </c>
      <c r="SML38" s="131" t="s">
        <v>44</v>
      </c>
      <c r="SMM38" s="133" t="s">
        <v>45</v>
      </c>
      <c r="SMN38" s="134"/>
      <c r="SMO38" s="135"/>
      <c r="SMP38" s="125">
        <v>0</v>
      </c>
      <c r="SMQ38" s="125">
        <v>40</v>
      </c>
      <c r="SMR38" s="127">
        <f>SUM(SMQ38)</f>
        <v>40</v>
      </c>
      <c r="SMS38" s="129" t="s">
        <v>46</v>
      </c>
      <c r="SMT38" s="131" t="s">
        <v>44</v>
      </c>
      <c r="SMU38" s="133" t="s">
        <v>45</v>
      </c>
      <c r="SMV38" s="134"/>
      <c r="SMW38" s="135"/>
      <c r="SMX38" s="125">
        <v>0</v>
      </c>
      <c r="SMY38" s="125">
        <v>40</v>
      </c>
      <c r="SMZ38" s="127">
        <f>SUM(SMY38)</f>
        <v>40</v>
      </c>
      <c r="SNA38" s="129" t="s">
        <v>46</v>
      </c>
      <c r="SNB38" s="131" t="s">
        <v>44</v>
      </c>
      <c r="SNC38" s="133" t="s">
        <v>45</v>
      </c>
      <c r="SND38" s="134"/>
      <c r="SNE38" s="135"/>
      <c r="SNF38" s="125">
        <v>0</v>
      </c>
      <c r="SNG38" s="125">
        <v>40</v>
      </c>
      <c r="SNH38" s="127">
        <f>SUM(SNG38)</f>
        <v>40</v>
      </c>
      <c r="SNI38" s="129" t="s">
        <v>46</v>
      </c>
      <c r="SNJ38" s="131" t="s">
        <v>44</v>
      </c>
      <c r="SNK38" s="133" t="s">
        <v>45</v>
      </c>
      <c r="SNL38" s="134"/>
      <c r="SNM38" s="135"/>
      <c r="SNN38" s="125">
        <v>0</v>
      </c>
      <c r="SNO38" s="125">
        <v>40</v>
      </c>
      <c r="SNP38" s="127">
        <f>SUM(SNO38)</f>
        <v>40</v>
      </c>
      <c r="SNQ38" s="129" t="s">
        <v>46</v>
      </c>
      <c r="SNR38" s="131" t="s">
        <v>44</v>
      </c>
      <c r="SNS38" s="133" t="s">
        <v>45</v>
      </c>
      <c r="SNT38" s="134"/>
      <c r="SNU38" s="135"/>
      <c r="SNV38" s="125">
        <v>0</v>
      </c>
      <c r="SNW38" s="125">
        <v>40</v>
      </c>
      <c r="SNX38" s="127">
        <f>SUM(SNW38)</f>
        <v>40</v>
      </c>
      <c r="SNY38" s="129" t="s">
        <v>46</v>
      </c>
      <c r="SNZ38" s="131" t="s">
        <v>44</v>
      </c>
      <c r="SOA38" s="133" t="s">
        <v>45</v>
      </c>
      <c r="SOB38" s="134"/>
      <c r="SOC38" s="135"/>
      <c r="SOD38" s="125">
        <v>0</v>
      </c>
      <c r="SOE38" s="125">
        <v>40</v>
      </c>
      <c r="SOF38" s="127">
        <f>SUM(SOE38)</f>
        <v>40</v>
      </c>
      <c r="SOG38" s="129" t="s">
        <v>46</v>
      </c>
      <c r="SOH38" s="131" t="s">
        <v>44</v>
      </c>
      <c r="SOI38" s="133" t="s">
        <v>45</v>
      </c>
      <c r="SOJ38" s="134"/>
      <c r="SOK38" s="135"/>
      <c r="SOL38" s="125">
        <v>0</v>
      </c>
      <c r="SOM38" s="125">
        <v>40</v>
      </c>
      <c r="SON38" s="127">
        <f>SUM(SOM38)</f>
        <v>40</v>
      </c>
      <c r="SOO38" s="129" t="s">
        <v>46</v>
      </c>
      <c r="SOP38" s="131" t="s">
        <v>44</v>
      </c>
      <c r="SOQ38" s="133" t="s">
        <v>45</v>
      </c>
      <c r="SOR38" s="134"/>
      <c r="SOS38" s="135"/>
      <c r="SOT38" s="125">
        <v>0</v>
      </c>
      <c r="SOU38" s="125">
        <v>40</v>
      </c>
      <c r="SOV38" s="127">
        <f>SUM(SOU38)</f>
        <v>40</v>
      </c>
      <c r="SOW38" s="129" t="s">
        <v>46</v>
      </c>
      <c r="SOX38" s="131" t="s">
        <v>44</v>
      </c>
      <c r="SOY38" s="133" t="s">
        <v>45</v>
      </c>
      <c r="SOZ38" s="134"/>
      <c r="SPA38" s="135"/>
      <c r="SPB38" s="125">
        <v>0</v>
      </c>
      <c r="SPC38" s="125">
        <v>40</v>
      </c>
      <c r="SPD38" s="127">
        <f>SUM(SPC38)</f>
        <v>40</v>
      </c>
      <c r="SPE38" s="129" t="s">
        <v>46</v>
      </c>
      <c r="SPF38" s="131" t="s">
        <v>44</v>
      </c>
      <c r="SPG38" s="133" t="s">
        <v>45</v>
      </c>
      <c r="SPH38" s="134"/>
      <c r="SPI38" s="135"/>
      <c r="SPJ38" s="125">
        <v>0</v>
      </c>
      <c r="SPK38" s="125">
        <v>40</v>
      </c>
      <c r="SPL38" s="127">
        <f>SUM(SPK38)</f>
        <v>40</v>
      </c>
      <c r="SPM38" s="129" t="s">
        <v>46</v>
      </c>
      <c r="SPN38" s="131" t="s">
        <v>44</v>
      </c>
      <c r="SPO38" s="133" t="s">
        <v>45</v>
      </c>
      <c r="SPP38" s="134"/>
      <c r="SPQ38" s="135"/>
      <c r="SPR38" s="125">
        <v>0</v>
      </c>
      <c r="SPS38" s="125">
        <v>40</v>
      </c>
      <c r="SPT38" s="127">
        <f>SUM(SPS38)</f>
        <v>40</v>
      </c>
      <c r="SPU38" s="129" t="s">
        <v>46</v>
      </c>
      <c r="SPV38" s="131" t="s">
        <v>44</v>
      </c>
      <c r="SPW38" s="133" t="s">
        <v>45</v>
      </c>
      <c r="SPX38" s="134"/>
      <c r="SPY38" s="135"/>
      <c r="SPZ38" s="125">
        <v>0</v>
      </c>
      <c r="SQA38" s="125">
        <v>40</v>
      </c>
      <c r="SQB38" s="127">
        <f>SUM(SQA38)</f>
        <v>40</v>
      </c>
      <c r="SQC38" s="129" t="s">
        <v>46</v>
      </c>
      <c r="SQD38" s="131" t="s">
        <v>44</v>
      </c>
      <c r="SQE38" s="133" t="s">
        <v>45</v>
      </c>
      <c r="SQF38" s="134"/>
      <c r="SQG38" s="135"/>
      <c r="SQH38" s="125">
        <v>0</v>
      </c>
      <c r="SQI38" s="125">
        <v>40</v>
      </c>
      <c r="SQJ38" s="127">
        <f>SUM(SQI38)</f>
        <v>40</v>
      </c>
      <c r="SQK38" s="129" t="s">
        <v>46</v>
      </c>
      <c r="SQL38" s="131" t="s">
        <v>44</v>
      </c>
      <c r="SQM38" s="133" t="s">
        <v>45</v>
      </c>
      <c r="SQN38" s="134"/>
      <c r="SQO38" s="135"/>
      <c r="SQP38" s="125">
        <v>0</v>
      </c>
      <c r="SQQ38" s="125">
        <v>40</v>
      </c>
      <c r="SQR38" s="127">
        <f>SUM(SQQ38)</f>
        <v>40</v>
      </c>
      <c r="SQS38" s="129" t="s">
        <v>46</v>
      </c>
      <c r="SQT38" s="131" t="s">
        <v>44</v>
      </c>
      <c r="SQU38" s="133" t="s">
        <v>45</v>
      </c>
      <c r="SQV38" s="134"/>
      <c r="SQW38" s="135"/>
      <c r="SQX38" s="125">
        <v>0</v>
      </c>
      <c r="SQY38" s="125">
        <v>40</v>
      </c>
      <c r="SQZ38" s="127">
        <f>SUM(SQY38)</f>
        <v>40</v>
      </c>
      <c r="SRA38" s="129" t="s">
        <v>46</v>
      </c>
      <c r="SRB38" s="131" t="s">
        <v>44</v>
      </c>
      <c r="SRC38" s="133" t="s">
        <v>45</v>
      </c>
      <c r="SRD38" s="134"/>
      <c r="SRE38" s="135"/>
      <c r="SRF38" s="125">
        <v>0</v>
      </c>
      <c r="SRG38" s="125">
        <v>40</v>
      </c>
      <c r="SRH38" s="127">
        <f>SUM(SRG38)</f>
        <v>40</v>
      </c>
      <c r="SRI38" s="129" t="s">
        <v>46</v>
      </c>
      <c r="SRJ38" s="131" t="s">
        <v>44</v>
      </c>
      <c r="SRK38" s="133" t="s">
        <v>45</v>
      </c>
      <c r="SRL38" s="134"/>
      <c r="SRM38" s="135"/>
      <c r="SRN38" s="125">
        <v>0</v>
      </c>
      <c r="SRO38" s="125">
        <v>40</v>
      </c>
      <c r="SRP38" s="127">
        <f>SUM(SRO38)</f>
        <v>40</v>
      </c>
      <c r="SRQ38" s="129" t="s">
        <v>46</v>
      </c>
      <c r="SRR38" s="131" t="s">
        <v>44</v>
      </c>
      <c r="SRS38" s="133" t="s">
        <v>45</v>
      </c>
      <c r="SRT38" s="134"/>
      <c r="SRU38" s="135"/>
      <c r="SRV38" s="125">
        <v>0</v>
      </c>
      <c r="SRW38" s="125">
        <v>40</v>
      </c>
      <c r="SRX38" s="127">
        <f>SUM(SRW38)</f>
        <v>40</v>
      </c>
      <c r="SRY38" s="129" t="s">
        <v>46</v>
      </c>
      <c r="SRZ38" s="131" t="s">
        <v>44</v>
      </c>
      <c r="SSA38" s="133" t="s">
        <v>45</v>
      </c>
      <c r="SSB38" s="134"/>
      <c r="SSC38" s="135"/>
      <c r="SSD38" s="125">
        <v>0</v>
      </c>
      <c r="SSE38" s="125">
        <v>40</v>
      </c>
      <c r="SSF38" s="127">
        <f>SUM(SSE38)</f>
        <v>40</v>
      </c>
      <c r="SSG38" s="129" t="s">
        <v>46</v>
      </c>
      <c r="SSH38" s="131" t="s">
        <v>44</v>
      </c>
      <c r="SSI38" s="133" t="s">
        <v>45</v>
      </c>
      <c r="SSJ38" s="134"/>
      <c r="SSK38" s="135"/>
      <c r="SSL38" s="125">
        <v>0</v>
      </c>
      <c r="SSM38" s="125">
        <v>40</v>
      </c>
      <c r="SSN38" s="127">
        <f>SUM(SSM38)</f>
        <v>40</v>
      </c>
      <c r="SSO38" s="129" t="s">
        <v>46</v>
      </c>
      <c r="SSP38" s="131" t="s">
        <v>44</v>
      </c>
      <c r="SSQ38" s="133" t="s">
        <v>45</v>
      </c>
      <c r="SSR38" s="134"/>
      <c r="SSS38" s="135"/>
      <c r="SST38" s="125">
        <v>0</v>
      </c>
      <c r="SSU38" s="125">
        <v>40</v>
      </c>
      <c r="SSV38" s="127">
        <f>SUM(SSU38)</f>
        <v>40</v>
      </c>
      <c r="SSW38" s="129" t="s">
        <v>46</v>
      </c>
      <c r="SSX38" s="131" t="s">
        <v>44</v>
      </c>
      <c r="SSY38" s="133" t="s">
        <v>45</v>
      </c>
      <c r="SSZ38" s="134"/>
      <c r="STA38" s="135"/>
      <c r="STB38" s="125">
        <v>0</v>
      </c>
      <c r="STC38" s="125">
        <v>40</v>
      </c>
      <c r="STD38" s="127">
        <f>SUM(STC38)</f>
        <v>40</v>
      </c>
      <c r="STE38" s="129" t="s">
        <v>46</v>
      </c>
      <c r="STF38" s="131" t="s">
        <v>44</v>
      </c>
      <c r="STG38" s="133" t="s">
        <v>45</v>
      </c>
      <c r="STH38" s="134"/>
      <c r="STI38" s="135"/>
      <c r="STJ38" s="125">
        <v>0</v>
      </c>
      <c r="STK38" s="125">
        <v>40</v>
      </c>
      <c r="STL38" s="127">
        <f>SUM(STK38)</f>
        <v>40</v>
      </c>
      <c r="STM38" s="129" t="s">
        <v>46</v>
      </c>
      <c r="STN38" s="131" t="s">
        <v>44</v>
      </c>
      <c r="STO38" s="133" t="s">
        <v>45</v>
      </c>
      <c r="STP38" s="134"/>
      <c r="STQ38" s="135"/>
      <c r="STR38" s="125">
        <v>0</v>
      </c>
      <c r="STS38" s="125">
        <v>40</v>
      </c>
      <c r="STT38" s="127">
        <f>SUM(STS38)</f>
        <v>40</v>
      </c>
      <c r="STU38" s="129" t="s">
        <v>46</v>
      </c>
      <c r="STV38" s="131" t="s">
        <v>44</v>
      </c>
      <c r="STW38" s="133" t="s">
        <v>45</v>
      </c>
      <c r="STX38" s="134"/>
      <c r="STY38" s="135"/>
      <c r="STZ38" s="125">
        <v>0</v>
      </c>
      <c r="SUA38" s="125">
        <v>40</v>
      </c>
      <c r="SUB38" s="127">
        <f>SUM(SUA38)</f>
        <v>40</v>
      </c>
      <c r="SUC38" s="129" t="s">
        <v>46</v>
      </c>
      <c r="SUD38" s="131" t="s">
        <v>44</v>
      </c>
      <c r="SUE38" s="133" t="s">
        <v>45</v>
      </c>
      <c r="SUF38" s="134"/>
      <c r="SUG38" s="135"/>
      <c r="SUH38" s="125">
        <v>0</v>
      </c>
      <c r="SUI38" s="125">
        <v>40</v>
      </c>
      <c r="SUJ38" s="127">
        <f>SUM(SUI38)</f>
        <v>40</v>
      </c>
      <c r="SUK38" s="129" t="s">
        <v>46</v>
      </c>
      <c r="SUL38" s="131" t="s">
        <v>44</v>
      </c>
      <c r="SUM38" s="133" t="s">
        <v>45</v>
      </c>
      <c r="SUN38" s="134"/>
      <c r="SUO38" s="135"/>
      <c r="SUP38" s="125">
        <v>0</v>
      </c>
      <c r="SUQ38" s="125">
        <v>40</v>
      </c>
      <c r="SUR38" s="127">
        <f>SUM(SUQ38)</f>
        <v>40</v>
      </c>
      <c r="SUS38" s="129" t="s">
        <v>46</v>
      </c>
      <c r="SUT38" s="131" t="s">
        <v>44</v>
      </c>
      <c r="SUU38" s="133" t="s">
        <v>45</v>
      </c>
      <c r="SUV38" s="134"/>
      <c r="SUW38" s="135"/>
      <c r="SUX38" s="125">
        <v>0</v>
      </c>
      <c r="SUY38" s="125">
        <v>40</v>
      </c>
      <c r="SUZ38" s="127">
        <f>SUM(SUY38)</f>
        <v>40</v>
      </c>
      <c r="SVA38" s="129" t="s">
        <v>46</v>
      </c>
      <c r="SVB38" s="131" t="s">
        <v>44</v>
      </c>
      <c r="SVC38" s="133" t="s">
        <v>45</v>
      </c>
      <c r="SVD38" s="134"/>
      <c r="SVE38" s="135"/>
      <c r="SVF38" s="125">
        <v>0</v>
      </c>
      <c r="SVG38" s="125">
        <v>40</v>
      </c>
      <c r="SVH38" s="127">
        <f>SUM(SVG38)</f>
        <v>40</v>
      </c>
      <c r="SVI38" s="129" t="s">
        <v>46</v>
      </c>
      <c r="SVJ38" s="131" t="s">
        <v>44</v>
      </c>
      <c r="SVK38" s="133" t="s">
        <v>45</v>
      </c>
      <c r="SVL38" s="134"/>
      <c r="SVM38" s="135"/>
      <c r="SVN38" s="125">
        <v>0</v>
      </c>
      <c r="SVO38" s="125">
        <v>40</v>
      </c>
      <c r="SVP38" s="127">
        <f>SUM(SVO38)</f>
        <v>40</v>
      </c>
      <c r="SVQ38" s="129" t="s">
        <v>46</v>
      </c>
      <c r="SVR38" s="131" t="s">
        <v>44</v>
      </c>
      <c r="SVS38" s="133" t="s">
        <v>45</v>
      </c>
      <c r="SVT38" s="134"/>
      <c r="SVU38" s="135"/>
      <c r="SVV38" s="125">
        <v>0</v>
      </c>
      <c r="SVW38" s="125">
        <v>40</v>
      </c>
      <c r="SVX38" s="127">
        <f>SUM(SVW38)</f>
        <v>40</v>
      </c>
      <c r="SVY38" s="129" t="s">
        <v>46</v>
      </c>
      <c r="SVZ38" s="131" t="s">
        <v>44</v>
      </c>
      <c r="SWA38" s="133" t="s">
        <v>45</v>
      </c>
      <c r="SWB38" s="134"/>
      <c r="SWC38" s="135"/>
      <c r="SWD38" s="125">
        <v>0</v>
      </c>
      <c r="SWE38" s="125">
        <v>40</v>
      </c>
      <c r="SWF38" s="127">
        <f>SUM(SWE38)</f>
        <v>40</v>
      </c>
      <c r="SWG38" s="129" t="s">
        <v>46</v>
      </c>
      <c r="SWH38" s="131" t="s">
        <v>44</v>
      </c>
      <c r="SWI38" s="133" t="s">
        <v>45</v>
      </c>
      <c r="SWJ38" s="134"/>
      <c r="SWK38" s="135"/>
      <c r="SWL38" s="125">
        <v>0</v>
      </c>
      <c r="SWM38" s="125">
        <v>40</v>
      </c>
      <c r="SWN38" s="127">
        <f>SUM(SWM38)</f>
        <v>40</v>
      </c>
      <c r="SWO38" s="129" t="s">
        <v>46</v>
      </c>
      <c r="SWP38" s="131" t="s">
        <v>44</v>
      </c>
      <c r="SWQ38" s="133" t="s">
        <v>45</v>
      </c>
      <c r="SWR38" s="134"/>
      <c r="SWS38" s="135"/>
      <c r="SWT38" s="125">
        <v>0</v>
      </c>
      <c r="SWU38" s="125">
        <v>40</v>
      </c>
      <c r="SWV38" s="127">
        <f>SUM(SWU38)</f>
        <v>40</v>
      </c>
      <c r="SWW38" s="129" t="s">
        <v>46</v>
      </c>
      <c r="SWX38" s="131" t="s">
        <v>44</v>
      </c>
      <c r="SWY38" s="133" t="s">
        <v>45</v>
      </c>
      <c r="SWZ38" s="134"/>
      <c r="SXA38" s="135"/>
      <c r="SXB38" s="125">
        <v>0</v>
      </c>
      <c r="SXC38" s="125">
        <v>40</v>
      </c>
      <c r="SXD38" s="127">
        <f>SUM(SXC38)</f>
        <v>40</v>
      </c>
      <c r="SXE38" s="129" t="s">
        <v>46</v>
      </c>
      <c r="SXF38" s="131" t="s">
        <v>44</v>
      </c>
      <c r="SXG38" s="133" t="s">
        <v>45</v>
      </c>
      <c r="SXH38" s="134"/>
      <c r="SXI38" s="135"/>
      <c r="SXJ38" s="125">
        <v>0</v>
      </c>
      <c r="SXK38" s="125">
        <v>40</v>
      </c>
      <c r="SXL38" s="127">
        <f>SUM(SXK38)</f>
        <v>40</v>
      </c>
      <c r="SXM38" s="129" t="s">
        <v>46</v>
      </c>
      <c r="SXN38" s="131" t="s">
        <v>44</v>
      </c>
      <c r="SXO38" s="133" t="s">
        <v>45</v>
      </c>
      <c r="SXP38" s="134"/>
      <c r="SXQ38" s="135"/>
      <c r="SXR38" s="125">
        <v>0</v>
      </c>
      <c r="SXS38" s="125">
        <v>40</v>
      </c>
      <c r="SXT38" s="127">
        <f>SUM(SXS38)</f>
        <v>40</v>
      </c>
      <c r="SXU38" s="129" t="s">
        <v>46</v>
      </c>
      <c r="SXV38" s="131" t="s">
        <v>44</v>
      </c>
      <c r="SXW38" s="133" t="s">
        <v>45</v>
      </c>
      <c r="SXX38" s="134"/>
      <c r="SXY38" s="135"/>
      <c r="SXZ38" s="125">
        <v>0</v>
      </c>
      <c r="SYA38" s="125">
        <v>40</v>
      </c>
      <c r="SYB38" s="127">
        <f>SUM(SYA38)</f>
        <v>40</v>
      </c>
      <c r="SYC38" s="129" t="s">
        <v>46</v>
      </c>
      <c r="SYD38" s="131" t="s">
        <v>44</v>
      </c>
      <c r="SYE38" s="133" t="s">
        <v>45</v>
      </c>
      <c r="SYF38" s="134"/>
      <c r="SYG38" s="135"/>
      <c r="SYH38" s="125">
        <v>0</v>
      </c>
      <c r="SYI38" s="125">
        <v>40</v>
      </c>
      <c r="SYJ38" s="127">
        <f>SUM(SYI38)</f>
        <v>40</v>
      </c>
      <c r="SYK38" s="129" t="s">
        <v>46</v>
      </c>
      <c r="SYL38" s="131" t="s">
        <v>44</v>
      </c>
      <c r="SYM38" s="133" t="s">
        <v>45</v>
      </c>
      <c r="SYN38" s="134"/>
      <c r="SYO38" s="135"/>
      <c r="SYP38" s="125">
        <v>0</v>
      </c>
      <c r="SYQ38" s="125">
        <v>40</v>
      </c>
      <c r="SYR38" s="127">
        <f>SUM(SYQ38)</f>
        <v>40</v>
      </c>
      <c r="SYS38" s="129" t="s">
        <v>46</v>
      </c>
      <c r="SYT38" s="131" t="s">
        <v>44</v>
      </c>
      <c r="SYU38" s="133" t="s">
        <v>45</v>
      </c>
      <c r="SYV38" s="134"/>
      <c r="SYW38" s="135"/>
      <c r="SYX38" s="125">
        <v>0</v>
      </c>
      <c r="SYY38" s="125">
        <v>40</v>
      </c>
      <c r="SYZ38" s="127">
        <f>SUM(SYY38)</f>
        <v>40</v>
      </c>
      <c r="SZA38" s="129" t="s">
        <v>46</v>
      </c>
      <c r="SZB38" s="131" t="s">
        <v>44</v>
      </c>
      <c r="SZC38" s="133" t="s">
        <v>45</v>
      </c>
      <c r="SZD38" s="134"/>
      <c r="SZE38" s="135"/>
      <c r="SZF38" s="125">
        <v>0</v>
      </c>
      <c r="SZG38" s="125">
        <v>40</v>
      </c>
      <c r="SZH38" s="127">
        <f>SUM(SZG38)</f>
        <v>40</v>
      </c>
      <c r="SZI38" s="129" t="s">
        <v>46</v>
      </c>
      <c r="SZJ38" s="131" t="s">
        <v>44</v>
      </c>
      <c r="SZK38" s="133" t="s">
        <v>45</v>
      </c>
      <c r="SZL38" s="134"/>
      <c r="SZM38" s="135"/>
      <c r="SZN38" s="125">
        <v>0</v>
      </c>
      <c r="SZO38" s="125">
        <v>40</v>
      </c>
      <c r="SZP38" s="127">
        <f>SUM(SZO38)</f>
        <v>40</v>
      </c>
      <c r="SZQ38" s="129" t="s">
        <v>46</v>
      </c>
      <c r="SZR38" s="131" t="s">
        <v>44</v>
      </c>
      <c r="SZS38" s="133" t="s">
        <v>45</v>
      </c>
      <c r="SZT38" s="134"/>
      <c r="SZU38" s="135"/>
      <c r="SZV38" s="125">
        <v>0</v>
      </c>
      <c r="SZW38" s="125">
        <v>40</v>
      </c>
      <c r="SZX38" s="127">
        <f>SUM(SZW38)</f>
        <v>40</v>
      </c>
      <c r="SZY38" s="129" t="s">
        <v>46</v>
      </c>
      <c r="SZZ38" s="131" t="s">
        <v>44</v>
      </c>
      <c r="TAA38" s="133" t="s">
        <v>45</v>
      </c>
      <c r="TAB38" s="134"/>
      <c r="TAC38" s="135"/>
      <c r="TAD38" s="125">
        <v>0</v>
      </c>
      <c r="TAE38" s="125">
        <v>40</v>
      </c>
      <c r="TAF38" s="127">
        <f>SUM(TAE38)</f>
        <v>40</v>
      </c>
      <c r="TAG38" s="129" t="s">
        <v>46</v>
      </c>
      <c r="TAH38" s="131" t="s">
        <v>44</v>
      </c>
      <c r="TAI38" s="133" t="s">
        <v>45</v>
      </c>
      <c r="TAJ38" s="134"/>
      <c r="TAK38" s="135"/>
      <c r="TAL38" s="125">
        <v>0</v>
      </c>
      <c r="TAM38" s="125">
        <v>40</v>
      </c>
      <c r="TAN38" s="127">
        <f>SUM(TAM38)</f>
        <v>40</v>
      </c>
      <c r="TAO38" s="129" t="s">
        <v>46</v>
      </c>
      <c r="TAP38" s="131" t="s">
        <v>44</v>
      </c>
      <c r="TAQ38" s="133" t="s">
        <v>45</v>
      </c>
      <c r="TAR38" s="134"/>
      <c r="TAS38" s="135"/>
      <c r="TAT38" s="125">
        <v>0</v>
      </c>
      <c r="TAU38" s="125">
        <v>40</v>
      </c>
      <c r="TAV38" s="127">
        <f>SUM(TAU38)</f>
        <v>40</v>
      </c>
      <c r="TAW38" s="129" t="s">
        <v>46</v>
      </c>
      <c r="TAX38" s="131" t="s">
        <v>44</v>
      </c>
      <c r="TAY38" s="133" t="s">
        <v>45</v>
      </c>
      <c r="TAZ38" s="134"/>
      <c r="TBA38" s="135"/>
      <c r="TBB38" s="125">
        <v>0</v>
      </c>
      <c r="TBC38" s="125">
        <v>40</v>
      </c>
      <c r="TBD38" s="127">
        <f>SUM(TBC38)</f>
        <v>40</v>
      </c>
      <c r="TBE38" s="129" t="s">
        <v>46</v>
      </c>
      <c r="TBF38" s="131" t="s">
        <v>44</v>
      </c>
      <c r="TBG38" s="133" t="s">
        <v>45</v>
      </c>
      <c r="TBH38" s="134"/>
      <c r="TBI38" s="135"/>
      <c r="TBJ38" s="125">
        <v>0</v>
      </c>
      <c r="TBK38" s="125">
        <v>40</v>
      </c>
      <c r="TBL38" s="127">
        <f>SUM(TBK38)</f>
        <v>40</v>
      </c>
      <c r="TBM38" s="129" t="s">
        <v>46</v>
      </c>
      <c r="TBN38" s="131" t="s">
        <v>44</v>
      </c>
      <c r="TBO38" s="133" t="s">
        <v>45</v>
      </c>
      <c r="TBP38" s="134"/>
      <c r="TBQ38" s="135"/>
      <c r="TBR38" s="125">
        <v>0</v>
      </c>
      <c r="TBS38" s="125">
        <v>40</v>
      </c>
      <c r="TBT38" s="127">
        <f>SUM(TBS38)</f>
        <v>40</v>
      </c>
      <c r="TBU38" s="129" t="s">
        <v>46</v>
      </c>
      <c r="TBV38" s="131" t="s">
        <v>44</v>
      </c>
      <c r="TBW38" s="133" t="s">
        <v>45</v>
      </c>
      <c r="TBX38" s="134"/>
      <c r="TBY38" s="135"/>
      <c r="TBZ38" s="125">
        <v>0</v>
      </c>
      <c r="TCA38" s="125">
        <v>40</v>
      </c>
      <c r="TCB38" s="127">
        <f>SUM(TCA38)</f>
        <v>40</v>
      </c>
      <c r="TCC38" s="129" t="s">
        <v>46</v>
      </c>
      <c r="TCD38" s="131" t="s">
        <v>44</v>
      </c>
      <c r="TCE38" s="133" t="s">
        <v>45</v>
      </c>
      <c r="TCF38" s="134"/>
      <c r="TCG38" s="135"/>
      <c r="TCH38" s="125">
        <v>0</v>
      </c>
      <c r="TCI38" s="125">
        <v>40</v>
      </c>
      <c r="TCJ38" s="127">
        <f>SUM(TCI38)</f>
        <v>40</v>
      </c>
      <c r="TCK38" s="129" t="s">
        <v>46</v>
      </c>
      <c r="TCL38" s="131" t="s">
        <v>44</v>
      </c>
      <c r="TCM38" s="133" t="s">
        <v>45</v>
      </c>
      <c r="TCN38" s="134"/>
      <c r="TCO38" s="135"/>
      <c r="TCP38" s="125">
        <v>0</v>
      </c>
      <c r="TCQ38" s="125">
        <v>40</v>
      </c>
      <c r="TCR38" s="127">
        <f>SUM(TCQ38)</f>
        <v>40</v>
      </c>
      <c r="TCS38" s="129" t="s">
        <v>46</v>
      </c>
      <c r="TCT38" s="131" t="s">
        <v>44</v>
      </c>
      <c r="TCU38" s="133" t="s">
        <v>45</v>
      </c>
      <c r="TCV38" s="134"/>
      <c r="TCW38" s="135"/>
      <c r="TCX38" s="125">
        <v>0</v>
      </c>
      <c r="TCY38" s="125">
        <v>40</v>
      </c>
      <c r="TCZ38" s="127">
        <f>SUM(TCY38)</f>
        <v>40</v>
      </c>
      <c r="TDA38" s="129" t="s">
        <v>46</v>
      </c>
      <c r="TDB38" s="131" t="s">
        <v>44</v>
      </c>
      <c r="TDC38" s="133" t="s">
        <v>45</v>
      </c>
      <c r="TDD38" s="134"/>
      <c r="TDE38" s="135"/>
      <c r="TDF38" s="125">
        <v>0</v>
      </c>
      <c r="TDG38" s="125">
        <v>40</v>
      </c>
      <c r="TDH38" s="127">
        <f>SUM(TDG38)</f>
        <v>40</v>
      </c>
      <c r="TDI38" s="129" t="s">
        <v>46</v>
      </c>
      <c r="TDJ38" s="131" t="s">
        <v>44</v>
      </c>
      <c r="TDK38" s="133" t="s">
        <v>45</v>
      </c>
      <c r="TDL38" s="134"/>
      <c r="TDM38" s="135"/>
      <c r="TDN38" s="125">
        <v>0</v>
      </c>
      <c r="TDO38" s="125">
        <v>40</v>
      </c>
      <c r="TDP38" s="127">
        <f>SUM(TDO38)</f>
        <v>40</v>
      </c>
      <c r="TDQ38" s="129" t="s">
        <v>46</v>
      </c>
      <c r="TDR38" s="131" t="s">
        <v>44</v>
      </c>
      <c r="TDS38" s="133" t="s">
        <v>45</v>
      </c>
      <c r="TDT38" s="134"/>
      <c r="TDU38" s="135"/>
      <c r="TDV38" s="125">
        <v>0</v>
      </c>
      <c r="TDW38" s="125">
        <v>40</v>
      </c>
      <c r="TDX38" s="127">
        <f>SUM(TDW38)</f>
        <v>40</v>
      </c>
      <c r="TDY38" s="129" t="s">
        <v>46</v>
      </c>
      <c r="TDZ38" s="131" t="s">
        <v>44</v>
      </c>
      <c r="TEA38" s="133" t="s">
        <v>45</v>
      </c>
      <c r="TEB38" s="134"/>
      <c r="TEC38" s="135"/>
      <c r="TED38" s="125">
        <v>0</v>
      </c>
      <c r="TEE38" s="125">
        <v>40</v>
      </c>
      <c r="TEF38" s="127">
        <f>SUM(TEE38)</f>
        <v>40</v>
      </c>
      <c r="TEG38" s="129" t="s">
        <v>46</v>
      </c>
      <c r="TEH38" s="131" t="s">
        <v>44</v>
      </c>
      <c r="TEI38" s="133" t="s">
        <v>45</v>
      </c>
      <c r="TEJ38" s="134"/>
      <c r="TEK38" s="135"/>
      <c r="TEL38" s="125">
        <v>0</v>
      </c>
      <c r="TEM38" s="125">
        <v>40</v>
      </c>
      <c r="TEN38" s="127">
        <f>SUM(TEM38)</f>
        <v>40</v>
      </c>
      <c r="TEO38" s="129" t="s">
        <v>46</v>
      </c>
      <c r="TEP38" s="131" t="s">
        <v>44</v>
      </c>
      <c r="TEQ38" s="133" t="s">
        <v>45</v>
      </c>
      <c r="TER38" s="134"/>
      <c r="TES38" s="135"/>
      <c r="TET38" s="125">
        <v>0</v>
      </c>
      <c r="TEU38" s="125">
        <v>40</v>
      </c>
      <c r="TEV38" s="127">
        <f>SUM(TEU38)</f>
        <v>40</v>
      </c>
      <c r="TEW38" s="129" t="s">
        <v>46</v>
      </c>
      <c r="TEX38" s="131" t="s">
        <v>44</v>
      </c>
      <c r="TEY38" s="133" t="s">
        <v>45</v>
      </c>
      <c r="TEZ38" s="134"/>
      <c r="TFA38" s="135"/>
      <c r="TFB38" s="125">
        <v>0</v>
      </c>
      <c r="TFC38" s="125">
        <v>40</v>
      </c>
      <c r="TFD38" s="127">
        <f>SUM(TFC38)</f>
        <v>40</v>
      </c>
      <c r="TFE38" s="129" t="s">
        <v>46</v>
      </c>
      <c r="TFF38" s="131" t="s">
        <v>44</v>
      </c>
      <c r="TFG38" s="133" t="s">
        <v>45</v>
      </c>
      <c r="TFH38" s="134"/>
      <c r="TFI38" s="135"/>
      <c r="TFJ38" s="125">
        <v>0</v>
      </c>
      <c r="TFK38" s="125">
        <v>40</v>
      </c>
      <c r="TFL38" s="127">
        <f>SUM(TFK38)</f>
        <v>40</v>
      </c>
      <c r="TFM38" s="129" t="s">
        <v>46</v>
      </c>
      <c r="TFN38" s="131" t="s">
        <v>44</v>
      </c>
      <c r="TFO38" s="133" t="s">
        <v>45</v>
      </c>
      <c r="TFP38" s="134"/>
      <c r="TFQ38" s="135"/>
      <c r="TFR38" s="125">
        <v>0</v>
      </c>
      <c r="TFS38" s="125">
        <v>40</v>
      </c>
      <c r="TFT38" s="127">
        <f>SUM(TFS38)</f>
        <v>40</v>
      </c>
      <c r="TFU38" s="129" t="s">
        <v>46</v>
      </c>
      <c r="TFV38" s="131" t="s">
        <v>44</v>
      </c>
      <c r="TFW38" s="133" t="s">
        <v>45</v>
      </c>
      <c r="TFX38" s="134"/>
      <c r="TFY38" s="135"/>
      <c r="TFZ38" s="125">
        <v>0</v>
      </c>
      <c r="TGA38" s="125">
        <v>40</v>
      </c>
      <c r="TGB38" s="127">
        <f>SUM(TGA38)</f>
        <v>40</v>
      </c>
      <c r="TGC38" s="129" t="s">
        <v>46</v>
      </c>
      <c r="TGD38" s="131" t="s">
        <v>44</v>
      </c>
      <c r="TGE38" s="133" t="s">
        <v>45</v>
      </c>
      <c r="TGF38" s="134"/>
      <c r="TGG38" s="135"/>
      <c r="TGH38" s="125">
        <v>0</v>
      </c>
      <c r="TGI38" s="125">
        <v>40</v>
      </c>
      <c r="TGJ38" s="127">
        <f>SUM(TGI38)</f>
        <v>40</v>
      </c>
      <c r="TGK38" s="129" t="s">
        <v>46</v>
      </c>
      <c r="TGL38" s="131" t="s">
        <v>44</v>
      </c>
      <c r="TGM38" s="133" t="s">
        <v>45</v>
      </c>
      <c r="TGN38" s="134"/>
      <c r="TGO38" s="135"/>
      <c r="TGP38" s="125">
        <v>0</v>
      </c>
      <c r="TGQ38" s="125">
        <v>40</v>
      </c>
      <c r="TGR38" s="127">
        <f>SUM(TGQ38)</f>
        <v>40</v>
      </c>
      <c r="TGS38" s="129" t="s">
        <v>46</v>
      </c>
      <c r="TGT38" s="131" t="s">
        <v>44</v>
      </c>
      <c r="TGU38" s="133" t="s">
        <v>45</v>
      </c>
      <c r="TGV38" s="134"/>
      <c r="TGW38" s="135"/>
      <c r="TGX38" s="125">
        <v>0</v>
      </c>
      <c r="TGY38" s="125">
        <v>40</v>
      </c>
      <c r="TGZ38" s="127">
        <f>SUM(TGY38)</f>
        <v>40</v>
      </c>
      <c r="THA38" s="129" t="s">
        <v>46</v>
      </c>
      <c r="THB38" s="131" t="s">
        <v>44</v>
      </c>
      <c r="THC38" s="133" t="s">
        <v>45</v>
      </c>
      <c r="THD38" s="134"/>
      <c r="THE38" s="135"/>
      <c r="THF38" s="125">
        <v>0</v>
      </c>
      <c r="THG38" s="125">
        <v>40</v>
      </c>
      <c r="THH38" s="127">
        <f>SUM(THG38)</f>
        <v>40</v>
      </c>
      <c r="THI38" s="129" t="s">
        <v>46</v>
      </c>
      <c r="THJ38" s="131" t="s">
        <v>44</v>
      </c>
      <c r="THK38" s="133" t="s">
        <v>45</v>
      </c>
      <c r="THL38" s="134"/>
      <c r="THM38" s="135"/>
      <c r="THN38" s="125">
        <v>0</v>
      </c>
      <c r="THO38" s="125">
        <v>40</v>
      </c>
      <c r="THP38" s="127">
        <f>SUM(THO38)</f>
        <v>40</v>
      </c>
      <c r="THQ38" s="129" t="s">
        <v>46</v>
      </c>
      <c r="THR38" s="131" t="s">
        <v>44</v>
      </c>
      <c r="THS38" s="133" t="s">
        <v>45</v>
      </c>
      <c r="THT38" s="134"/>
      <c r="THU38" s="135"/>
      <c r="THV38" s="125">
        <v>0</v>
      </c>
      <c r="THW38" s="125">
        <v>40</v>
      </c>
      <c r="THX38" s="127">
        <f>SUM(THW38)</f>
        <v>40</v>
      </c>
      <c r="THY38" s="129" t="s">
        <v>46</v>
      </c>
      <c r="THZ38" s="131" t="s">
        <v>44</v>
      </c>
      <c r="TIA38" s="133" t="s">
        <v>45</v>
      </c>
      <c r="TIB38" s="134"/>
      <c r="TIC38" s="135"/>
      <c r="TID38" s="125">
        <v>0</v>
      </c>
      <c r="TIE38" s="125">
        <v>40</v>
      </c>
      <c r="TIF38" s="127">
        <f>SUM(TIE38)</f>
        <v>40</v>
      </c>
      <c r="TIG38" s="129" t="s">
        <v>46</v>
      </c>
      <c r="TIH38" s="131" t="s">
        <v>44</v>
      </c>
      <c r="TII38" s="133" t="s">
        <v>45</v>
      </c>
      <c r="TIJ38" s="134"/>
      <c r="TIK38" s="135"/>
      <c r="TIL38" s="125">
        <v>0</v>
      </c>
      <c r="TIM38" s="125">
        <v>40</v>
      </c>
      <c r="TIN38" s="127">
        <f>SUM(TIM38)</f>
        <v>40</v>
      </c>
      <c r="TIO38" s="129" t="s">
        <v>46</v>
      </c>
      <c r="TIP38" s="131" t="s">
        <v>44</v>
      </c>
      <c r="TIQ38" s="133" t="s">
        <v>45</v>
      </c>
      <c r="TIR38" s="134"/>
      <c r="TIS38" s="135"/>
      <c r="TIT38" s="125">
        <v>0</v>
      </c>
      <c r="TIU38" s="125">
        <v>40</v>
      </c>
      <c r="TIV38" s="127">
        <f>SUM(TIU38)</f>
        <v>40</v>
      </c>
      <c r="TIW38" s="129" t="s">
        <v>46</v>
      </c>
      <c r="TIX38" s="131" t="s">
        <v>44</v>
      </c>
      <c r="TIY38" s="133" t="s">
        <v>45</v>
      </c>
      <c r="TIZ38" s="134"/>
      <c r="TJA38" s="135"/>
      <c r="TJB38" s="125">
        <v>0</v>
      </c>
      <c r="TJC38" s="125">
        <v>40</v>
      </c>
      <c r="TJD38" s="127">
        <f>SUM(TJC38)</f>
        <v>40</v>
      </c>
      <c r="TJE38" s="129" t="s">
        <v>46</v>
      </c>
      <c r="TJF38" s="131" t="s">
        <v>44</v>
      </c>
      <c r="TJG38" s="133" t="s">
        <v>45</v>
      </c>
      <c r="TJH38" s="134"/>
      <c r="TJI38" s="135"/>
      <c r="TJJ38" s="125">
        <v>0</v>
      </c>
      <c r="TJK38" s="125">
        <v>40</v>
      </c>
      <c r="TJL38" s="127">
        <f>SUM(TJK38)</f>
        <v>40</v>
      </c>
      <c r="TJM38" s="129" t="s">
        <v>46</v>
      </c>
      <c r="TJN38" s="131" t="s">
        <v>44</v>
      </c>
      <c r="TJO38" s="133" t="s">
        <v>45</v>
      </c>
      <c r="TJP38" s="134"/>
      <c r="TJQ38" s="135"/>
      <c r="TJR38" s="125">
        <v>0</v>
      </c>
      <c r="TJS38" s="125">
        <v>40</v>
      </c>
      <c r="TJT38" s="127">
        <f>SUM(TJS38)</f>
        <v>40</v>
      </c>
      <c r="TJU38" s="129" t="s">
        <v>46</v>
      </c>
      <c r="TJV38" s="131" t="s">
        <v>44</v>
      </c>
      <c r="TJW38" s="133" t="s">
        <v>45</v>
      </c>
      <c r="TJX38" s="134"/>
      <c r="TJY38" s="135"/>
      <c r="TJZ38" s="125">
        <v>0</v>
      </c>
      <c r="TKA38" s="125">
        <v>40</v>
      </c>
      <c r="TKB38" s="127">
        <f>SUM(TKA38)</f>
        <v>40</v>
      </c>
      <c r="TKC38" s="129" t="s">
        <v>46</v>
      </c>
      <c r="TKD38" s="131" t="s">
        <v>44</v>
      </c>
      <c r="TKE38" s="133" t="s">
        <v>45</v>
      </c>
      <c r="TKF38" s="134"/>
      <c r="TKG38" s="135"/>
      <c r="TKH38" s="125">
        <v>0</v>
      </c>
      <c r="TKI38" s="125">
        <v>40</v>
      </c>
      <c r="TKJ38" s="127">
        <f>SUM(TKI38)</f>
        <v>40</v>
      </c>
      <c r="TKK38" s="129" t="s">
        <v>46</v>
      </c>
      <c r="TKL38" s="131" t="s">
        <v>44</v>
      </c>
      <c r="TKM38" s="133" t="s">
        <v>45</v>
      </c>
      <c r="TKN38" s="134"/>
      <c r="TKO38" s="135"/>
      <c r="TKP38" s="125">
        <v>0</v>
      </c>
      <c r="TKQ38" s="125">
        <v>40</v>
      </c>
      <c r="TKR38" s="127">
        <f>SUM(TKQ38)</f>
        <v>40</v>
      </c>
      <c r="TKS38" s="129" t="s">
        <v>46</v>
      </c>
      <c r="TKT38" s="131" t="s">
        <v>44</v>
      </c>
      <c r="TKU38" s="133" t="s">
        <v>45</v>
      </c>
      <c r="TKV38" s="134"/>
      <c r="TKW38" s="135"/>
      <c r="TKX38" s="125">
        <v>0</v>
      </c>
      <c r="TKY38" s="125">
        <v>40</v>
      </c>
      <c r="TKZ38" s="127">
        <f>SUM(TKY38)</f>
        <v>40</v>
      </c>
      <c r="TLA38" s="129" t="s">
        <v>46</v>
      </c>
      <c r="TLB38" s="131" t="s">
        <v>44</v>
      </c>
      <c r="TLC38" s="133" t="s">
        <v>45</v>
      </c>
      <c r="TLD38" s="134"/>
      <c r="TLE38" s="135"/>
      <c r="TLF38" s="125">
        <v>0</v>
      </c>
      <c r="TLG38" s="125">
        <v>40</v>
      </c>
      <c r="TLH38" s="127">
        <f>SUM(TLG38)</f>
        <v>40</v>
      </c>
      <c r="TLI38" s="129" t="s">
        <v>46</v>
      </c>
      <c r="TLJ38" s="131" t="s">
        <v>44</v>
      </c>
      <c r="TLK38" s="133" t="s">
        <v>45</v>
      </c>
      <c r="TLL38" s="134"/>
      <c r="TLM38" s="135"/>
      <c r="TLN38" s="125">
        <v>0</v>
      </c>
      <c r="TLO38" s="125">
        <v>40</v>
      </c>
      <c r="TLP38" s="127">
        <f>SUM(TLO38)</f>
        <v>40</v>
      </c>
      <c r="TLQ38" s="129" t="s">
        <v>46</v>
      </c>
      <c r="TLR38" s="131" t="s">
        <v>44</v>
      </c>
      <c r="TLS38" s="133" t="s">
        <v>45</v>
      </c>
      <c r="TLT38" s="134"/>
      <c r="TLU38" s="135"/>
      <c r="TLV38" s="125">
        <v>0</v>
      </c>
      <c r="TLW38" s="125">
        <v>40</v>
      </c>
      <c r="TLX38" s="127">
        <f>SUM(TLW38)</f>
        <v>40</v>
      </c>
      <c r="TLY38" s="129" t="s">
        <v>46</v>
      </c>
      <c r="TLZ38" s="131" t="s">
        <v>44</v>
      </c>
      <c r="TMA38" s="133" t="s">
        <v>45</v>
      </c>
      <c r="TMB38" s="134"/>
      <c r="TMC38" s="135"/>
      <c r="TMD38" s="125">
        <v>0</v>
      </c>
      <c r="TME38" s="125">
        <v>40</v>
      </c>
      <c r="TMF38" s="127">
        <f>SUM(TME38)</f>
        <v>40</v>
      </c>
      <c r="TMG38" s="129" t="s">
        <v>46</v>
      </c>
      <c r="TMH38" s="131" t="s">
        <v>44</v>
      </c>
      <c r="TMI38" s="133" t="s">
        <v>45</v>
      </c>
      <c r="TMJ38" s="134"/>
      <c r="TMK38" s="135"/>
      <c r="TML38" s="125">
        <v>0</v>
      </c>
      <c r="TMM38" s="125">
        <v>40</v>
      </c>
      <c r="TMN38" s="127">
        <f>SUM(TMM38)</f>
        <v>40</v>
      </c>
      <c r="TMO38" s="129" t="s">
        <v>46</v>
      </c>
      <c r="TMP38" s="131" t="s">
        <v>44</v>
      </c>
      <c r="TMQ38" s="133" t="s">
        <v>45</v>
      </c>
      <c r="TMR38" s="134"/>
      <c r="TMS38" s="135"/>
      <c r="TMT38" s="125">
        <v>0</v>
      </c>
      <c r="TMU38" s="125">
        <v>40</v>
      </c>
      <c r="TMV38" s="127">
        <f>SUM(TMU38)</f>
        <v>40</v>
      </c>
      <c r="TMW38" s="129" t="s">
        <v>46</v>
      </c>
      <c r="TMX38" s="131" t="s">
        <v>44</v>
      </c>
      <c r="TMY38" s="133" t="s">
        <v>45</v>
      </c>
      <c r="TMZ38" s="134"/>
      <c r="TNA38" s="135"/>
      <c r="TNB38" s="125">
        <v>0</v>
      </c>
      <c r="TNC38" s="125">
        <v>40</v>
      </c>
      <c r="TND38" s="127">
        <f>SUM(TNC38)</f>
        <v>40</v>
      </c>
      <c r="TNE38" s="129" t="s">
        <v>46</v>
      </c>
      <c r="TNF38" s="131" t="s">
        <v>44</v>
      </c>
      <c r="TNG38" s="133" t="s">
        <v>45</v>
      </c>
      <c r="TNH38" s="134"/>
      <c r="TNI38" s="135"/>
      <c r="TNJ38" s="125">
        <v>0</v>
      </c>
      <c r="TNK38" s="125">
        <v>40</v>
      </c>
      <c r="TNL38" s="127">
        <f>SUM(TNK38)</f>
        <v>40</v>
      </c>
      <c r="TNM38" s="129" t="s">
        <v>46</v>
      </c>
      <c r="TNN38" s="131" t="s">
        <v>44</v>
      </c>
      <c r="TNO38" s="133" t="s">
        <v>45</v>
      </c>
      <c r="TNP38" s="134"/>
      <c r="TNQ38" s="135"/>
      <c r="TNR38" s="125">
        <v>0</v>
      </c>
      <c r="TNS38" s="125">
        <v>40</v>
      </c>
      <c r="TNT38" s="127">
        <f>SUM(TNS38)</f>
        <v>40</v>
      </c>
      <c r="TNU38" s="129" t="s">
        <v>46</v>
      </c>
      <c r="TNV38" s="131" t="s">
        <v>44</v>
      </c>
      <c r="TNW38" s="133" t="s">
        <v>45</v>
      </c>
      <c r="TNX38" s="134"/>
      <c r="TNY38" s="135"/>
      <c r="TNZ38" s="125">
        <v>0</v>
      </c>
      <c r="TOA38" s="125">
        <v>40</v>
      </c>
      <c r="TOB38" s="127">
        <f>SUM(TOA38)</f>
        <v>40</v>
      </c>
      <c r="TOC38" s="129" t="s">
        <v>46</v>
      </c>
      <c r="TOD38" s="131" t="s">
        <v>44</v>
      </c>
      <c r="TOE38" s="133" t="s">
        <v>45</v>
      </c>
      <c r="TOF38" s="134"/>
      <c r="TOG38" s="135"/>
      <c r="TOH38" s="125">
        <v>0</v>
      </c>
      <c r="TOI38" s="125">
        <v>40</v>
      </c>
      <c r="TOJ38" s="127">
        <f>SUM(TOI38)</f>
        <v>40</v>
      </c>
      <c r="TOK38" s="129" t="s">
        <v>46</v>
      </c>
      <c r="TOL38" s="131" t="s">
        <v>44</v>
      </c>
      <c r="TOM38" s="133" t="s">
        <v>45</v>
      </c>
      <c r="TON38" s="134"/>
      <c r="TOO38" s="135"/>
      <c r="TOP38" s="125">
        <v>0</v>
      </c>
      <c r="TOQ38" s="125">
        <v>40</v>
      </c>
      <c r="TOR38" s="127">
        <f>SUM(TOQ38)</f>
        <v>40</v>
      </c>
      <c r="TOS38" s="129" t="s">
        <v>46</v>
      </c>
      <c r="TOT38" s="131" t="s">
        <v>44</v>
      </c>
      <c r="TOU38" s="133" t="s">
        <v>45</v>
      </c>
      <c r="TOV38" s="134"/>
      <c r="TOW38" s="135"/>
      <c r="TOX38" s="125">
        <v>0</v>
      </c>
      <c r="TOY38" s="125">
        <v>40</v>
      </c>
      <c r="TOZ38" s="127">
        <f>SUM(TOY38)</f>
        <v>40</v>
      </c>
      <c r="TPA38" s="129" t="s">
        <v>46</v>
      </c>
      <c r="TPB38" s="131" t="s">
        <v>44</v>
      </c>
      <c r="TPC38" s="133" t="s">
        <v>45</v>
      </c>
      <c r="TPD38" s="134"/>
      <c r="TPE38" s="135"/>
      <c r="TPF38" s="125">
        <v>0</v>
      </c>
      <c r="TPG38" s="125">
        <v>40</v>
      </c>
      <c r="TPH38" s="127">
        <f>SUM(TPG38)</f>
        <v>40</v>
      </c>
      <c r="TPI38" s="129" t="s">
        <v>46</v>
      </c>
      <c r="TPJ38" s="131" t="s">
        <v>44</v>
      </c>
      <c r="TPK38" s="133" t="s">
        <v>45</v>
      </c>
      <c r="TPL38" s="134"/>
      <c r="TPM38" s="135"/>
      <c r="TPN38" s="125">
        <v>0</v>
      </c>
      <c r="TPO38" s="125">
        <v>40</v>
      </c>
      <c r="TPP38" s="127">
        <f>SUM(TPO38)</f>
        <v>40</v>
      </c>
      <c r="TPQ38" s="129" t="s">
        <v>46</v>
      </c>
      <c r="TPR38" s="131" t="s">
        <v>44</v>
      </c>
      <c r="TPS38" s="133" t="s">
        <v>45</v>
      </c>
      <c r="TPT38" s="134"/>
      <c r="TPU38" s="135"/>
      <c r="TPV38" s="125">
        <v>0</v>
      </c>
      <c r="TPW38" s="125">
        <v>40</v>
      </c>
      <c r="TPX38" s="127">
        <f>SUM(TPW38)</f>
        <v>40</v>
      </c>
      <c r="TPY38" s="129" t="s">
        <v>46</v>
      </c>
      <c r="TPZ38" s="131" t="s">
        <v>44</v>
      </c>
      <c r="TQA38" s="133" t="s">
        <v>45</v>
      </c>
      <c r="TQB38" s="134"/>
      <c r="TQC38" s="135"/>
      <c r="TQD38" s="125">
        <v>0</v>
      </c>
      <c r="TQE38" s="125">
        <v>40</v>
      </c>
      <c r="TQF38" s="127">
        <f>SUM(TQE38)</f>
        <v>40</v>
      </c>
      <c r="TQG38" s="129" t="s">
        <v>46</v>
      </c>
      <c r="TQH38" s="131" t="s">
        <v>44</v>
      </c>
      <c r="TQI38" s="133" t="s">
        <v>45</v>
      </c>
      <c r="TQJ38" s="134"/>
      <c r="TQK38" s="135"/>
      <c r="TQL38" s="125">
        <v>0</v>
      </c>
      <c r="TQM38" s="125">
        <v>40</v>
      </c>
      <c r="TQN38" s="127">
        <f>SUM(TQM38)</f>
        <v>40</v>
      </c>
      <c r="TQO38" s="129" t="s">
        <v>46</v>
      </c>
      <c r="TQP38" s="131" t="s">
        <v>44</v>
      </c>
      <c r="TQQ38" s="133" t="s">
        <v>45</v>
      </c>
      <c r="TQR38" s="134"/>
      <c r="TQS38" s="135"/>
      <c r="TQT38" s="125">
        <v>0</v>
      </c>
      <c r="TQU38" s="125">
        <v>40</v>
      </c>
      <c r="TQV38" s="127">
        <f>SUM(TQU38)</f>
        <v>40</v>
      </c>
      <c r="TQW38" s="129" t="s">
        <v>46</v>
      </c>
      <c r="TQX38" s="131" t="s">
        <v>44</v>
      </c>
      <c r="TQY38" s="133" t="s">
        <v>45</v>
      </c>
      <c r="TQZ38" s="134"/>
      <c r="TRA38" s="135"/>
      <c r="TRB38" s="125">
        <v>0</v>
      </c>
      <c r="TRC38" s="125">
        <v>40</v>
      </c>
      <c r="TRD38" s="127">
        <f>SUM(TRC38)</f>
        <v>40</v>
      </c>
      <c r="TRE38" s="129" t="s">
        <v>46</v>
      </c>
      <c r="TRF38" s="131" t="s">
        <v>44</v>
      </c>
      <c r="TRG38" s="133" t="s">
        <v>45</v>
      </c>
      <c r="TRH38" s="134"/>
      <c r="TRI38" s="135"/>
      <c r="TRJ38" s="125">
        <v>0</v>
      </c>
      <c r="TRK38" s="125">
        <v>40</v>
      </c>
      <c r="TRL38" s="127">
        <f>SUM(TRK38)</f>
        <v>40</v>
      </c>
      <c r="TRM38" s="129" t="s">
        <v>46</v>
      </c>
      <c r="TRN38" s="131" t="s">
        <v>44</v>
      </c>
      <c r="TRO38" s="133" t="s">
        <v>45</v>
      </c>
      <c r="TRP38" s="134"/>
      <c r="TRQ38" s="135"/>
      <c r="TRR38" s="125">
        <v>0</v>
      </c>
      <c r="TRS38" s="125">
        <v>40</v>
      </c>
      <c r="TRT38" s="127">
        <f>SUM(TRS38)</f>
        <v>40</v>
      </c>
      <c r="TRU38" s="129" t="s">
        <v>46</v>
      </c>
      <c r="TRV38" s="131" t="s">
        <v>44</v>
      </c>
      <c r="TRW38" s="133" t="s">
        <v>45</v>
      </c>
      <c r="TRX38" s="134"/>
      <c r="TRY38" s="135"/>
      <c r="TRZ38" s="125">
        <v>0</v>
      </c>
      <c r="TSA38" s="125">
        <v>40</v>
      </c>
      <c r="TSB38" s="127">
        <f>SUM(TSA38)</f>
        <v>40</v>
      </c>
      <c r="TSC38" s="129" t="s">
        <v>46</v>
      </c>
      <c r="TSD38" s="131" t="s">
        <v>44</v>
      </c>
      <c r="TSE38" s="133" t="s">
        <v>45</v>
      </c>
      <c r="TSF38" s="134"/>
      <c r="TSG38" s="135"/>
      <c r="TSH38" s="125">
        <v>0</v>
      </c>
      <c r="TSI38" s="125">
        <v>40</v>
      </c>
      <c r="TSJ38" s="127">
        <f>SUM(TSI38)</f>
        <v>40</v>
      </c>
      <c r="TSK38" s="129" t="s">
        <v>46</v>
      </c>
      <c r="TSL38" s="131" t="s">
        <v>44</v>
      </c>
      <c r="TSM38" s="133" t="s">
        <v>45</v>
      </c>
      <c r="TSN38" s="134"/>
      <c r="TSO38" s="135"/>
      <c r="TSP38" s="125">
        <v>0</v>
      </c>
      <c r="TSQ38" s="125">
        <v>40</v>
      </c>
      <c r="TSR38" s="127">
        <f>SUM(TSQ38)</f>
        <v>40</v>
      </c>
      <c r="TSS38" s="129" t="s">
        <v>46</v>
      </c>
      <c r="TST38" s="131" t="s">
        <v>44</v>
      </c>
      <c r="TSU38" s="133" t="s">
        <v>45</v>
      </c>
      <c r="TSV38" s="134"/>
      <c r="TSW38" s="135"/>
      <c r="TSX38" s="125">
        <v>0</v>
      </c>
      <c r="TSY38" s="125">
        <v>40</v>
      </c>
      <c r="TSZ38" s="127">
        <f>SUM(TSY38)</f>
        <v>40</v>
      </c>
      <c r="TTA38" s="129" t="s">
        <v>46</v>
      </c>
      <c r="TTB38" s="131" t="s">
        <v>44</v>
      </c>
      <c r="TTC38" s="133" t="s">
        <v>45</v>
      </c>
      <c r="TTD38" s="134"/>
      <c r="TTE38" s="135"/>
      <c r="TTF38" s="125">
        <v>0</v>
      </c>
      <c r="TTG38" s="125">
        <v>40</v>
      </c>
      <c r="TTH38" s="127">
        <f>SUM(TTG38)</f>
        <v>40</v>
      </c>
      <c r="TTI38" s="129" t="s">
        <v>46</v>
      </c>
      <c r="TTJ38" s="131" t="s">
        <v>44</v>
      </c>
      <c r="TTK38" s="133" t="s">
        <v>45</v>
      </c>
      <c r="TTL38" s="134"/>
      <c r="TTM38" s="135"/>
      <c r="TTN38" s="125">
        <v>0</v>
      </c>
      <c r="TTO38" s="125">
        <v>40</v>
      </c>
      <c r="TTP38" s="127">
        <f>SUM(TTO38)</f>
        <v>40</v>
      </c>
      <c r="TTQ38" s="129" t="s">
        <v>46</v>
      </c>
      <c r="TTR38" s="131" t="s">
        <v>44</v>
      </c>
      <c r="TTS38" s="133" t="s">
        <v>45</v>
      </c>
      <c r="TTT38" s="134"/>
      <c r="TTU38" s="135"/>
      <c r="TTV38" s="125">
        <v>0</v>
      </c>
      <c r="TTW38" s="125">
        <v>40</v>
      </c>
      <c r="TTX38" s="127">
        <f>SUM(TTW38)</f>
        <v>40</v>
      </c>
      <c r="TTY38" s="129" t="s">
        <v>46</v>
      </c>
      <c r="TTZ38" s="131" t="s">
        <v>44</v>
      </c>
      <c r="TUA38" s="133" t="s">
        <v>45</v>
      </c>
      <c r="TUB38" s="134"/>
      <c r="TUC38" s="135"/>
      <c r="TUD38" s="125">
        <v>0</v>
      </c>
      <c r="TUE38" s="125">
        <v>40</v>
      </c>
      <c r="TUF38" s="127">
        <f>SUM(TUE38)</f>
        <v>40</v>
      </c>
      <c r="TUG38" s="129" t="s">
        <v>46</v>
      </c>
      <c r="TUH38" s="131" t="s">
        <v>44</v>
      </c>
      <c r="TUI38" s="133" t="s">
        <v>45</v>
      </c>
      <c r="TUJ38" s="134"/>
      <c r="TUK38" s="135"/>
      <c r="TUL38" s="125">
        <v>0</v>
      </c>
      <c r="TUM38" s="125">
        <v>40</v>
      </c>
      <c r="TUN38" s="127">
        <f>SUM(TUM38)</f>
        <v>40</v>
      </c>
      <c r="TUO38" s="129" t="s">
        <v>46</v>
      </c>
      <c r="TUP38" s="131" t="s">
        <v>44</v>
      </c>
      <c r="TUQ38" s="133" t="s">
        <v>45</v>
      </c>
      <c r="TUR38" s="134"/>
      <c r="TUS38" s="135"/>
      <c r="TUT38" s="125">
        <v>0</v>
      </c>
      <c r="TUU38" s="125">
        <v>40</v>
      </c>
      <c r="TUV38" s="127">
        <f>SUM(TUU38)</f>
        <v>40</v>
      </c>
      <c r="TUW38" s="129" t="s">
        <v>46</v>
      </c>
      <c r="TUX38" s="131" t="s">
        <v>44</v>
      </c>
      <c r="TUY38" s="133" t="s">
        <v>45</v>
      </c>
      <c r="TUZ38" s="134"/>
      <c r="TVA38" s="135"/>
      <c r="TVB38" s="125">
        <v>0</v>
      </c>
      <c r="TVC38" s="125">
        <v>40</v>
      </c>
      <c r="TVD38" s="127">
        <f>SUM(TVC38)</f>
        <v>40</v>
      </c>
      <c r="TVE38" s="129" t="s">
        <v>46</v>
      </c>
      <c r="TVF38" s="131" t="s">
        <v>44</v>
      </c>
      <c r="TVG38" s="133" t="s">
        <v>45</v>
      </c>
      <c r="TVH38" s="134"/>
      <c r="TVI38" s="135"/>
      <c r="TVJ38" s="125">
        <v>0</v>
      </c>
      <c r="TVK38" s="125">
        <v>40</v>
      </c>
      <c r="TVL38" s="127">
        <f>SUM(TVK38)</f>
        <v>40</v>
      </c>
      <c r="TVM38" s="129" t="s">
        <v>46</v>
      </c>
      <c r="TVN38" s="131" t="s">
        <v>44</v>
      </c>
      <c r="TVO38" s="133" t="s">
        <v>45</v>
      </c>
      <c r="TVP38" s="134"/>
      <c r="TVQ38" s="135"/>
      <c r="TVR38" s="125">
        <v>0</v>
      </c>
      <c r="TVS38" s="125">
        <v>40</v>
      </c>
      <c r="TVT38" s="127">
        <f>SUM(TVS38)</f>
        <v>40</v>
      </c>
      <c r="TVU38" s="129" t="s">
        <v>46</v>
      </c>
      <c r="TVV38" s="131" t="s">
        <v>44</v>
      </c>
      <c r="TVW38" s="133" t="s">
        <v>45</v>
      </c>
      <c r="TVX38" s="134"/>
      <c r="TVY38" s="135"/>
      <c r="TVZ38" s="125">
        <v>0</v>
      </c>
      <c r="TWA38" s="125">
        <v>40</v>
      </c>
      <c r="TWB38" s="127">
        <f>SUM(TWA38)</f>
        <v>40</v>
      </c>
      <c r="TWC38" s="129" t="s">
        <v>46</v>
      </c>
      <c r="TWD38" s="131" t="s">
        <v>44</v>
      </c>
      <c r="TWE38" s="133" t="s">
        <v>45</v>
      </c>
      <c r="TWF38" s="134"/>
      <c r="TWG38" s="135"/>
      <c r="TWH38" s="125">
        <v>0</v>
      </c>
      <c r="TWI38" s="125">
        <v>40</v>
      </c>
      <c r="TWJ38" s="127">
        <f>SUM(TWI38)</f>
        <v>40</v>
      </c>
      <c r="TWK38" s="129" t="s">
        <v>46</v>
      </c>
      <c r="TWL38" s="131" t="s">
        <v>44</v>
      </c>
      <c r="TWM38" s="133" t="s">
        <v>45</v>
      </c>
      <c r="TWN38" s="134"/>
      <c r="TWO38" s="135"/>
      <c r="TWP38" s="125">
        <v>0</v>
      </c>
      <c r="TWQ38" s="125">
        <v>40</v>
      </c>
      <c r="TWR38" s="127">
        <f>SUM(TWQ38)</f>
        <v>40</v>
      </c>
      <c r="TWS38" s="129" t="s">
        <v>46</v>
      </c>
      <c r="TWT38" s="131" t="s">
        <v>44</v>
      </c>
      <c r="TWU38" s="133" t="s">
        <v>45</v>
      </c>
      <c r="TWV38" s="134"/>
      <c r="TWW38" s="135"/>
      <c r="TWX38" s="125">
        <v>0</v>
      </c>
      <c r="TWY38" s="125">
        <v>40</v>
      </c>
      <c r="TWZ38" s="127">
        <f>SUM(TWY38)</f>
        <v>40</v>
      </c>
      <c r="TXA38" s="129" t="s">
        <v>46</v>
      </c>
      <c r="TXB38" s="131" t="s">
        <v>44</v>
      </c>
      <c r="TXC38" s="133" t="s">
        <v>45</v>
      </c>
      <c r="TXD38" s="134"/>
      <c r="TXE38" s="135"/>
      <c r="TXF38" s="125">
        <v>0</v>
      </c>
      <c r="TXG38" s="125">
        <v>40</v>
      </c>
      <c r="TXH38" s="127">
        <f>SUM(TXG38)</f>
        <v>40</v>
      </c>
      <c r="TXI38" s="129" t="s">
        <v>46</v>
      </c>
      <c r="TXJ38" s="131" t="s">
        <v>44</v>
      </c>
      <c r="TXK38" s="133" t="s">
        <v>45</v>
      </c>
      <c r="TXL38" s="134"/>
      <c r="TXM38" s="135"/>
      <c r="TXN38" s="125">
        <v>0</v>
      </c>
      <c r="TXO38" s="125">
        <v>40</v>
      </c>
      <c r="TXP38" s="127">
        <f>SUM(TXO38)</f>
        <v>40</v>
      </c>
      <c r="TXQ38" s="129" t="s">
        <v>46</v>
      </c>
      <c r="TXR38" s="131" t="s">
        <v>44</v>
      </c>
      <c r="TXS38" s="133" t="s">
        <v>45</v>
      </c>
      <c r="TXT38" s="134"/>
      <c r="TXU38" s="135"/>
      <c r="TXV38" s="125">
        <v>0</v>
      </c>
      <c r="TXW38" s="125">
        <v>40</v>
      </c>
      <c r="TXX38" s="127">
        <f>SUM(TXW38)</f>
        <v>40</v>
      </c>
      <c r="TXY38" s="129" t="s">
        <v>46</v>
      </c>
      <c r="TXZ38" s="131" t="s">
        <v>44</v>
      </c>
      <c r="TYA38" s="133" t="s">
        <v>45</v>
      </c>
      <c r="TYB38" s="134"/>
      <c r="TYC38" s="135"/>
      <c r="TYD38" s="125">
        <v>0</v>
      </c>
      <c r="TYE38" s="125">
        <v>40</v>
      </c>
      <c r="TYF38" s="127">
        <f>SUM(TYE38)</f>
        <v>40</v>
      </c>
      <c r="TYG38" s="129" t="s">
        <v>46</v>
      </c>
      <c r="TYH38" s="131" t="s">
        <v>44</v>
      </c>
      <c r="TYI38" s="133" t="s">
        <v>45</v>
      </c>
      <c r="TYJ38" s="134"/>
      <c r="TYK38" s="135"/>
      <c r="TYL38" s="125">
        <v>0</v>
      </c>
      <c r="TYM38" s="125">
        <v>40</v>
      </c>
      <c r="TYN38" s="127">
        <f>SUM(TYM38)</f>
        <v>40</v>
      </c>
      <c r="TYO38" s="129" t="s">
        <v>46</v>
      </c>
      <c r="TYP38" s="131" t="s">
        <v>44</v>
      </c>
      <c r="TYQ38" s="133" t="s">
        <v>45</v>
      </c>
      <c r="TYR38" s="134"/>
      <c r="TYS38" s="135"/>
      <c r="TYT38" s="125">
        <v>0</v>
      </c>
      <c r="TYU38" s="125">
        <v>40</v>
      </c>
      <c r="TYV38" s="127">
        <f>SUM(TYU38)</f>
        <v>40</v>
      </c>
      <c r="TYW38" s="129" t="s">
        <v>46</v>
      </c>
      <c r="TYX38" s="131" t="s">
        <v>44</v>
      </c>
      <c r="TYY38" s="133" t="s">
        <v>45</v>
      </c>
      <c r="TYZ38" s="134"/>
      <c r="TZA38" s="135"/>
      <c r="TZB38" s="125">
        <v>0</v>
      </c>
      <c r="TZC38" s="125">
        <v>40</v>
      </c>
      <c r="TZD38" s="127">
        <f>SUM(TZC38)</f>
        <v>40</v>
      </c>
      <c r="TZE38" s="129" t="s">
        <v>46</v>
      </c>
      <c r="TZF38" s="131" t="s">
        <v>44</v>
      </c>
      <c r="TZG38" s="133" t="s">
        <v>45</v>
      </c>
      <c r="TZH38" s="134"/>
      <c r="TZI38" s="135"/>
      <c r="TZJ38" s="125">
        <v>0</v>
      </c>
      <c r="TZK38" s="125">
        <v>40</v>
      </c>
      <c r="TZL38" s="127">
        <f>SUM(TZK38)</f>
        <v>40</v>
      </c>
      <c r="TZM38" s="129" t="s">
        <v>46</v>
      </c>
      <c r="TZN38" s="131" t="s">
        <v>44</v>
      </c>
      <c r="TZO38" s="133" t="s">
        <v>45</v>
      </c>
      <c r="TZP38" s="134"/>
      <c r="TZQ38" s="135"/>
      <c r="TZR38" s="125">
        <v>0</v>
      </c>
      <c r="TZS38" s="125">
        <v>40</v>
      </c>
      <c r="TZT38" s="127">
        <f>SUM(TZS38)</f>
        <v>40</v>
      </c>
      <c r="TZU38" s="129" t="s">
        <v>46</v>
      </c>
      <c r="TZV38" s="131" t="s">
        <v>44</v>
      </c>
      <c r="TZW38" s="133" t="s">
        <v>45</v>
      </c>
      <c r="TZX38" s="134"/>
      <c r="TZY38" s="135"/>
      <c r="TZZ38" s="125">
        <v>0</v>
      </c>
      <c r="UAA38" s="125">
        <v>40</v>
      </c>
      <c r="UAB38" s="127">
        <f>SUM(UAA38)</f>
        <v>40</v>
      </c>
      <c r="UAC38" s="129" t="s">
        <v>46</v>
      </c>
      <c r="UAD38" s="131" t="s">
        <v>44</v>
      </c>
      <c r="UAE38" s="133" t="s">
        <v>45</v>
      </c>
      <c r="UAF38" s="134"/>
      <c r="UAG38" s="135"/>
      <c r="UAH38" s="125">
        <v>0</v>
      </c>
      <c r="UAI38" s="125">
        <v>40</v>
      </c>
      <c r="UAJ38" s="127">
        <f>SUM(UAI38)</f>
        <v>40</v>
      </c>
      <c r="UAK38" s="129" t="s">
        <v>46</v>
      </c>
      <c r="UAL38" s="131" t="s">
        <v>44</v>
      </c>
      <c r="UAM38" s="133" t="s">
        <v>45</v>
      </c>
      <c r="UAN38" s="134"/>
      <c r="UAO38" s="135"/>
      <c r="UAP38" s="125">
        <v>0</v>
      </c>
      <c r="UAQ38" s="125">
        <v>40</v>
      </c>
      <c r="UAR38" s="127">
        <f>SUM(UAQ38)</f>
        <v>40</v>
      </c>
      <c r="UAS38" s="129" t="s">
        <v>46</v>
      </c>
      <c r="UAT38" s="131" t="s">
        <v>44</v>
      </c>
      <c r="UAU38" s="133" t="s">
        <v>45</v>
      </c>
      <c r="UAV38" s="134"/>
      <c r="UAW38" s="135"/>
      <c r="UAX38" s="125">
        <v>0</v>
      </c>
      <c r="UAY38" s="125">
        <v>40</v>
      </c>
      <c r="UAZ38" s="127">
        <f>SUM(UAY38)</f>
        <v>40</v>
      </c>
      <c r="UBA38" s="129" t="s">
        <v>46</v>
      </c>
      <c r="UBB38" s="131" t="s">
        <v>44</v>
      </c>
      <c r="UBC38" s="133" t="s">
        <v>45</v>
      </c>
      <c r="UBD38" s="134"/>
      <c r="UBE38" s="135"/>
      <c r="UBF38" s="125">
        <v>0</v>
      </c>
      <c r="UBG38" s="125">
        <v>40</v>
      </c>
      <c r="UBH38" s="127">
        <f>SUM(UBG38)</f>
        <v>40</v>
      </c>
      <c r="UBI38" s="129" t="s">
        <v>46</v>
      </c>
      <c r="UBJ38" s="131" t="s">
        <v>44</v>
      </c>
      <c r="UBK38" s="133" t="s">
        <v>45</v>
      </c>
      <c r="UBL38" s="134"/>
      <c r="UBM38" s="135"/>
      <c r="UBN38" s="125">
        <v>0</v>
      </c>
      <c r="UBO38" s="125">
        <v>40</v>
      </c>
      <c r="UBP38" s="127">
        <f>SUM(UBO38)</f>
        <v>40</v>
      </c>
      <c r="UBQ38" s="129" t="s">
        <v>46</v>
      </c>
      <c r="UBR38" s="131" t="s">
        <v>44</v>
      </c>
      <c r="UBS38" s="133" t="s">
        <v>45</v>
      </c>
      <c r="UBT38" s="134"/>
      <c r="UBU38" s="135"/>
      <c r="UBV38" s="125">
        <v>0</v>
      </c>
      <c r="UBW38" s="125">
        <v>40</v>
      </c>
      <c r="UBX38" s="127">
        <f>SUM(UBW38)</f>
        <v>40</v>
      </c>
      <c r="UBY38" s="129" t="s">
        <v>46</v>
      </c>
      <c r="UBZ38" s="131" t="s">
        <v>44</v>
      </c>
      <c r="UCA38" s="133" t="s">
        <v>45</v>
      </c>
      <c r="UCB38" s="134"/>
      <c r="UCC38" s="135"/>
      <c r="UCD38" s="125">
        <v>0</v>
      </c>
      <c r="UCE38" s="125">
        <v>40</v>
      </c>
      <c r="UCF38" s="127">
        <f>SUM(UCE38)</f>
        <v>40</v>
      </c>
      <c r="UCG38" s="129" t="s">
        <v>46</v>
      </c>
      <c r="UCH38" s="131" t="s">
        <v>44</v>
      </c>
      <c r="UCI38" s="133" t="s">
        <v>45</v>
      </c>
      <c r="UCJ38" s="134"/>
      <c r="UCK38" s="135"/>
      <c r="UCL38" s="125">
        <v>0</v>
      </c>
      <c r="UCM38" s="125">
        <v>40</v>
      </c>
      <c r="UCN38" s="127">
        <f>SUM(UCM38)</f>
        <v>40</v>
      </c>
      <c r="UCO38" s="129" t="s">
        <v>46</v>
      </c>
      <c r="UCP38" s="131" t="s">
        <v>44</v>
      </c>
      <c r="UCQ38" s="133" t="s">
        <v>45</v>
      </c>
      <c r="UCR38" s="134"/>
      <c r="UCS38" s="135"/>
      <c r="UCT38" s="125">
        <v>0</v>
      </c>
      <c r="UCU38" s="125">
        <v>40</v>
      </c>
      <c r="UCV38" s="127">
        <f>SUM(UCU38)</f>
        <v>40</v>
      </c>
      <c r="UCW38" s="129" t="s">
        <v>46</v>
      </c>
      <c r="UCX38" s="131" t="s">
        <v>44</v>
      </c>
      <c r="UCY38" s="133" t="s">
        <v>45</v>
      </c>
      <c r="UCZ38" s="134"/>
      <c r="UDA38" s="135"/>
      <c r="UDB38" s="125">
        <v>0</v>
      </c>
      <c r="UDC38" s="125">
        <v>40</v>
      </c>
      <c r="UDD38" s="127">
        <f>SUM(UDC38)</f>
        <v>40</v>
      </c>
      <c r="UDE38" s="129" t="s">
        <v>46</v>
      </c>
      <c r="UDF38" s="131" t="s">
        <v>44</v>
      </c>
      <c r="UDG38" s="133" t="s">
        <v>45</v>
      </c>
      <c r="UDH38" s="134"/>
      <c r="UDI38" s="135"/>
      <c r="UDJ38" s="125">
        <v>0</v>
      </c>
      <c r="UDK38" s="125">
        <v>40</v>
      </c>
      <c r="UDL38" s="127">
        <f>SUM(UDK38)</f>
        <v>40</v>
      </c>
      <c r="UDM38" s="129" t="s">
        <v>46</v>
      </c>
      <c r="UDN38" s="131" t="s">
        <v>44</v>
      </c>
      <c r="UDO38" s="133" t="s">
        <v>45</v>
      </c>
      <c r="UDP38" s="134"/>
      <c r="UDQ38" s="135"/>
      <c r="UDR38" s="125">
        <v>0</v>
      </c>
      <c r="UDS38" s="125">
        <v>40</v>
      </c>
      <c r="UDT38" s="127">
        <f>SUM(UDS38)</f>
        <v>40</v>
      </c>
      <c r="UDU38" s="129" t="s">
        <v>46</v>
      </c>
      <c r="UDV38" s="131" t="s">
        <v>44</v>
      </c>
      <c r="UDW38" s="133" t="s">
        <v>45</v>
      </c>
      <c r="UDX38" s="134"/>
      <c r="UDY38" s="135"/>
      <c r="UDZ38" s="125">
        <v>0</v>
      </c>
      <c r="UEA38" s="125">
        <v>40</v>
      </c>
      <c r="UEB38" s="127">
        <f>SUM(UEA38)</f>
        <v>40</v>
      </c>
      <c r="UEC38" s="129" t="s">
        <v>46</v>
      </c>
      <c r="UED38" s="131" t="s">
        <v>44</v>
      </c>
      <c r="UEE38" s="133" t="s">
        <v>45</v>
      </c>
      <c r="UEF38" s="134"/>
      <c r="UEG38" s="135"/>
      <c r="UEH38" s="125">
        <v>0</v>
      </c>
      <c r="UEI38" s="125">
        <v>40</v>
      </c>
      <c r="UEJ38" s="127">
        <f>SUM(UEI38)</f>
        <v>40</v>
      </c>
      <c r="UEK38" s="129" t="s">
        <v>46</v>
      </c>
      <c r="UEL38" s="131" t="s">
        <v>44</v>
      </c>
      <c r="UEM38" s="133" t="s">
        <v>45</v>
      </c>
      <c r="UEN38" s="134"/>
      <c r="UEO38" s="135"/>
      <c r="UEP38" s="125">
        <v>0</v>
      </c>
      <c r="UEQ38" s="125">
        <v>40</v>
      </c>
      <c r="UER38" s="127">
        <f>SUM(UEQ38)</f>
        <v>40</v>
      </c>
      <c r="UES38" s="129" t="s">
        <v>46</v>
      </c>
      <c r="UET38" s="131" t="s">
        <v>44</v>
      </c>
      <c r="UEU38" s="133" t="s">
        <v>45</v>
      </c>
      <c r="UEV38" s="134"/>
      <c r="UEW38" s="135"/>
      <c r="UEX38" s="125">
        <v>0</v>
      </c>
      <c r="UEY38" s="125">
        <v>40</v>
      </c>
      <c r="UEZ38" s="127">
        <f>SUM(UEY38)</f>
        <v>40</v>
      </c>
      <c r="UFA38" s="129" t="s">
        <v>46</v>
      </c>
      <c r="UFB38" s="131" t="s">
        <v>44</v>
      </c>
      <c r="UFC38" s="133" t="s">
        <v>45</v>
      </c>
      <c r="UFD38" s="134"/>
      <c r="UFE38" s="135"/>
      <c r="UFF38" s="125">
        <v>0</v>
      </c>
      <c r="UFG38" s="125">
        <v>40</v>
      </c>
      <c r="UFH38" s="127">
        <f>SUM(UFG38)</f>
        <v>40</v>
      </c>
      <c r="UFI38" s="129" t="s">
        <v>46</v>
      </c>
      <c r="UFJ38" s="131" t="s">
        <v>44</v>
      </c>
      <c r="UFK38" s="133" t="s">
        <v>45</v>
      </c>
      <c r="UFL38" s="134"/>
      <c r="UFM38" s="135"/>
      <c r="UFN38" s="125">
        <v>0</v>
      </c>
      <c r="UFO38" s="125">
        <v>40</v>
      </c>
      <c r="UFP38" s="127">
        <f>SUM(UFO38)</f>
        <v>40</v>
      </c>
      <c r="UFQ38" s="129" t="s">
        <v>46</v>
      </c>
      <c r="UFR38" s="131" t="s">
        <v>44</v>
      </c>
      <c r="UFS38" s="133" t="s">
        <v>45</v>
      </c>
      <c r="UFT38" s="134"/>
      <c r="UFU38" s="135"/>
      <c r="UFV38" s="125">
        <v>0</v>
      </c>
      <c r="UFW38" s="125">
        <v>40</v>
      </c>
      <c r="UFX38" s="127">
        <f>SUM(UFW38)</f>
        <v>40</v>
      </c>
      <c r="UFY38" s="129" t="s">
        <v>46</v>
      </c>
      <c r="UFZ38" s="131" t="s">
        <v>44</v>
      </c>
      <c r="UGA38" s="133" t="s">
        <v>45</v>
      </c>
      <c r="UGB38" s="134"/>
      <c r="UGC38" s="135"/>
      <c r="UGD38" s="125">
        <v>0</v>
      </c>
      <c r="UGE38" s="125">
        <v>40</v>
      </c>
      <c r="UGF38" s="127">
        <f>SUM(UGE38)</f>
        <v>40</v>
      </c>
      <c r="UGG38" s="129" t="s">
        <v>46</v>
      </c>
      <c r="UGH38" s="131" t="s">
        <v>44</v>
      </c>
      <c r="UGI38" s="133" t="s">
        <v>45</v>
      </c>
      <c r="UGJ38" s="134"/>
      <c r="UGK38" s="135"/>
      <c r="UGL38" s="125">
        <v>0</v>
      </c>
      <c r="UGM38" s="125">
        <v>40</v>
      </c>
      <c r="UGN38" s="127">
        <f>SUM(UGM38)</f>
        <v>40</v>
      </c>
      <c r="UGO38" s="129" t="s">
        <v>46</v>
      </c>
      <c r="UGP38" s="131" t="s">
        <v>44</v>
      </c>
      <c r="UGQ38" s="133" t="s">
        <v>45</v>
      </c>
      <c r="UGR38" s="134"/>
      <c r="UGS38" s="135"/>
      <c r="UGT38" s="125">
        <v>0</v>
      </c>
      <c r="UGU38" s="125">
        <v>40</v>
      </c>
      <c r="UGV38" s="127">
        <f>SUM(UGU38)</f>
        <v>40</v>
      </c>
      <c r="UGW38" s="129" t="s">
        <v>46</v>
      </c>
      <c r="UGX38" s="131" t="s">
        <v>44</v>
      </c>
      <c r="UGY38" s="133" t="s">
        <v>45</v>
      </c>
      <c r="UGZ38" s="134"/>
      <c r="UHA38" s="135"/>
      <c r="UHB38" s="125">
        <v>0</v>
      </c>
      <c r="UHC38" s="125">
        <v>40</v>
      </c>
      <c r="UHD38" s="127">
        <f>SUM(UHC38)</f>
        <v>40</v>
      </c>
      <c r="UHE38" s="129" t="s">
        <v>46</v>
      </c>
      <c r="UHF38" s="131" t="s">
        <v>44</v>
      </c>
      <c r="UHG38" s="133" t="s">
        <v>45</v>
      </c>
      <c r="UHH38" s="134"/>
      <c r="UHI38" s="135"/>
      <c r="UHJ38" s="125">
        <v>0</v>
      </c>
      <c r="UHK38" s="125">
        <v>40</v>
      </c>
      <c r="UHL38" s="127">
        <f>SUM(UHK38)</f>
        <v>40</v>
      </c>
      <c r="UHM38" s="129" t="s">
        <v>46</v>
      </c>
      <c r="UHN38" s="131" t="s">
        <v>44</v>
      </c>
      <c r="UHO38" s="133" t="s">
        <v>45</v>
      </c>
      <c r="UHP38" s="134"/>
      <c r="UHQ38" s="135"/>
      <c r="UHR38" s="125">
        <v>0</v>
      </c>
      <c r="UHS38" s="125">
        <v>40</v>
      </c>
      <c r="UHT38" s="127">
        <f>SUM(UHS38)</f>
        <v>40</v>
      </c>
      <c r="UHU38" s="129" t="s">
        <v>46</v>
      </c>
      <c r="UHV38" s="131" t="s">
        <v>44</v>
      </c>
      <c r="UHW38" s="133" t="s">
        <v>45</v>
      </c>
      <c r="UHX38" s="134"/>
      <c r="UHY38" s="135"/>
      <c r="UHZ38" s="125">
        <v>0</v>
      </c>
      <c r="UIA38" s="125">
        <v>40</v>
      </c>
      <c r="UIB38" s="127">
        <f>SUM(UIA38)</f>
        <v>40</v>
      </c>
      <c r="UIC38" s="129" t="s">
        <v>46</v>
      </c>
      <c r="UID38" s="131" t="s">
        <v>44</v>
      </c>
      <c r="UIE38" s="133" t="s">
        <v>45</v>
      </c>
      <c r="UIF38" s="134"/>
      <c r="UIG38" s="135"/>
      <c r="UIH38" s="125">
        <v>0</v>
      </c>
      <c r="UII38" s="125">
        <v>40</v>
      </c>
      <c r="UIJ38" s="127">
        <f>SUM(UII38)</f>
        <v>40</v>
      </c>
      <c r="UIK38" s="129" t="s">
        <v>46</v>
      </c>
      <c r="UIL38" s="131" t="s">
        <v>44</v>
      </c>
      <c r="UIM38" s="133" t="s">
        <v>45</v>
      </c>
      <c r="UIN38" s="134"/>
      <c r="UIO38" s="135"/>
      <c r="UIP38" s="125">
        <v>0</v>
      </c>
      <c r="UIQ38" s="125">
        <v>40</v>
      </c>
      <c r="UIR38" s="127">
        <f>SUM(UIQ38)</f>
        <v>40</v>
      </c>
      <c r="UIS38" s="129" t="s">
        <v>46</v>
      </c>
      <c r="UIT38" s="131" t="s">
        <v>44</v>
      </c>
      <c r="UIU38" s="133" t="s">
        <v>45</v>
      </c>
      <c r="UIV38" s="134"/>
      <c r="UIW38" s="135"/>
      <c r="UIX38" s="125">
        <v>0</v>
      </c>
      <c r="UIY38" s="125">
        <v>40</v>
      </c>
      <c r="UIZ38" s="127">
        <f>SUM(UIY38)</f>
        <v>40</v>
      </c>
      <c r="UJA38" s="129" t="s">
        <v>46</v>
      </c>
      <c r="UJB38" s="131" t="s">
        <v>44</v>
      </c>
      <c r="UJC38" s="133" t="s">
        <v>45</v>
      </c>
      <c r="UJD38" s="134"/>
      <c r="UJE38" s="135"/>
      <c r="UJF38" s="125">
        <v>0</v>
      </c>
      <c r="UJG38" s="125">
        <v>40</v>
      </c>
      <c r="UJH38" s="127">
        <f>SUM(UJG38)</f>
        <v>40</v>
      </c>
      <c r="UJI38" s="129" t="s">
        <v>46</v>
      </c>
      <c r="UJJ38" s="131" t="s">
        <v>44</v>
      </c>
      <c r="UJK38" s="133" t="s">
        <v>45</v>
      </c>
      <c r="UJL38" s="134"/>
      <c r="UJM38" s="135"/>
      <c r="UJN38" s="125">
        <v>0</v>
      </c>
      <c r="UJO38" s="125">
        <v>40</v>
      </c>
      <c r="UJP38" s="127">
        <f>SUM(UJO38)</f>
        <v>40</v>
      </c>
      <c r="UJQ38" s="129" t="s">
        <v>46</v>
      </c>
      <c r="UJR38" s="131" t="s">
        <v>44</v>
      </c>
      <c r="UJS38" s="133" t="s">
        <v>45</v>
      </c>
      <c r="UJT38" s="134"/>
      <c r="UJU38" s="135"/>
      <c r="UJV38" s="125">
        <v>0</v>
      </c>
      <c r="UJW38" s="125">
        <v>40</v>
      </c>
      <c r="UJX38" s="127">
        <f>SUM(UJW38)</f>
        <v>40</v>
      </c>
      <c r="UJY38" s="129" t="s">
        <v>46</v>
      </c>
      <c r="UJZ38" s="131" t="s">
        <v>44</v>
      </c>
      <c r="UKA38" s="133" t="s">
        <v>45</v>
      </c>
      <c r="UKB38" s="134"/>
      <c r="UKC38" s="135"/>
      <c r="UKD38" s="125">
        <v>0</v>
      </c>
      <c r="UKE38" s="125">
        <v>40</v>
      </c>
      <c r="UKF38" s="127">
        <f>SUM(UKE38)</f>
        <v>40</v>
      </c>
      <c r="UKG38" s="129" t="s">
        <v>46</v>
      </c>
      <c r="UKH38" s="131" t="s">
        <v>44</v>
      </c>
      <c r="UKI38" s="133" t="s">
        <v>45</v>
      </c>
      <c r="UKJ38" s="134"/>
      <c r="UKK38" s="135"/>
      <c r="UKL38" s="125">
        <v>0</v>
      </c>
      <c r="UKM38" s="125">
        <v>40</v>
      </c>
      <c r="UKN38" s="127">
        <f>SUM(UKM38)</f>
        <v>40</v>
      </c>
      <c r="UKO38" s="129" t="s">
        <v>46</v>
      </c>
      <c r="UKP38" s="131" t="s">
        <v>44</v>
      </c>
      <c r="UKQ38" s="133" t="s">
        <v>45</v>
      </c>
      <c r="UKR38" s="134"/>
      <c r="UKS38" s="135"/>
      <c r="UKT38" s="125">
        <v>0</v>
      </c>
      <c r="UKU38" s="125">
        <v>40</v>
      </c>
      <c r="UKV38" s="127">
        <f>SUM(UKU38)</f>
        <v>40</v>
      </c>
      <c r="UKW38" s="129" t="s">
        <v>46</v>
      </c>
      <c r="UKX38" s="131" t="s">
        <v>44</v>
      </c>
      <c r="UKY38" s="133" t="s">
        <v>45</v>
      </c>
      <c r="UKZ38" s="134"/>
      <c r="ULA38" s="135"/>
      <c r="ULB38" s="125">
        <v>0</v>
      </c>
      <c r="ULC38" s="125">
        <v>40</v>
      </c>
      <c r="ULD38" s="127">
        <f>SUM(ULC38)</f>
        <v>40</v>
      </c>
      <c r="ULE38" s="129" t="s">
        <v>46</v>
      </c>
      <c r="ULF38" s="131" t="s">
        <v>44</v>
      </c>
      <c r="ULG38" s="133" t="s">
        <v>45</v>
      </c>
      <c r="ULH38" s="134"/>
      <c r="ULI38" s="135"/>
      <c r="ULJ38" s="125">
        <v>0</v>
      </c>
      <c r="ULK38" s="125">
        <v>40</v>
      </c>
      <c r="ULL38" s="127">
        <f>SUM(ULK38)</f>
        <v>40</v>
      </c>
      <c r="ULM38" s="129" t="s">
        <v>46</v>
      </c>
      <c r="ULN38" s="131" t="s">
        <v>44</v>
      </c>
      <c r="ULO38" s="133" t="s">
        <v>45</v>
      </c>
      <c r="ULP38" s="134"/>
      <c r="ULQ38" s="135"/>
      <c r="ULR38" s="125">
        <v>0</v>
      </c>
      <c r="ULS38" s="125">
        <v>40</v>
      </c>
      <c r="ULT38" s="127">
        <f>SUM(ULS38)</f>
        <v>40</v>
      </c>
      <c r="ULU38" s="129" t="s">
        <v>46</v>
      </c>
      <c r="ULV38" s="131" t="s">
        <v>44</v>
      </c>
      <c r="ULW38" s="133" t="s">
        <v>45</v>
      </c>
      <c r="ULX38" s="134"/>
      <c r="ULY38" s="135"/>
      <c r="ULZ38" s="125">
        <v>0</v>
      </c>
      <c r="UMA38" s="125">
        <v>40</v>
      </c>
      <c r="UMB38" s="127">
        <f>SUM(UMA38)</f>
        <v>40</v>
      </c>
      <c r="UMC38" s="129" t="s">
        <v>46</v>
      </c>
      <c r="UMD38" s="131" t="s">
        <v>44</v>
      </c>
      <c r="UME38" s="133" t="s">
        <v>45</v>
      </c>
      <c r="UMF38" s="134"/>
      <c r="UMG38" s="135"/>
      <c r="UMH38" s="125">
        <v>0</v>
      </c>
      <c r="UMI38" s="125">
        <v>40</v>
      </c>
      <c r="UMJ38" s="127">
        <f>SUM(UMI38)</f>
        <v>40</v>
      </c>
      <c r="UMK38" s="129" t="s">
        <v>46</v>
      </c>
      <c r="UML38" s="131" t="s">
        <v>44</v>
      </c>
      <c r="UMM38" s="133" t="s">
        <v>45</v>
      </c>
      <c r="UMN38" s="134"/>
      <c r="UMO38" s="135"/>
      <c r="UMP38" s="125">
        <v>0</v>
      </c>
      <c r="UMQ38" s="125">
        <v>40</v>
      </c>
      <c r="UMR38" s="127">
        <f>SUM(UMQ38)</f>
        <v>40</v>
      </c>
      <c r="UMS38" s="129" t="s">
        <v>46</v>
      </c>
      <c r="UMT38" s="131" t="s">
        <v>44</v>
      </c>
      <c r="UMU38" s="133" t="s">
        <v>45</v>
      </c>
      <c r="UMV38" s="134"/>
      <c r="UMW38" s="135"/>
      <c r="UMX38" s="125">
        <v>0</v>
      </c>
      <c r="UMY38" s="125">
        <v>40</v>
      </c>
      <c r="UMZ38" s="127">
        <f>SUM(UMY38)</f>
        <v>40</v>
      </c>
      <c r="UNA38" s="129" t="s">
        <v>46</v>
      </c>
      <c r="UNB38" s="131" t="s">
        <v>44</v>
      </c>
      <c r="UNC38" s="133" t="s">
        <v>45</v>
      </c>
      <c r="UND38" s="134"/>
      <c r="UNE38" s="135"/>
      <c r="UNF38" s="125">
        <v>0</v>
      </c>
      <c r="UNG38" s="125">
        <v>40</v>
      </c>
      <c r="UNH38" s="127">
        <f>SUM(UNG38)</f>
        <v>40</v>
      </c>
      <c r="UNI38" s="129" t="s">
        <v>46</v>
      </c>
      <c r="UNJ38" s="131" t="s">
        <v>44</v>
      </c>
      <c r="UNK38" s="133" t="s">
        <v>45</v>
      </c>
      <c r="UNL38" s="134"/>
      <c r="UNM38" s="135"/>
      <c r="UNN38" s="125">
        <v>0</v>
      </c>
      <c r="UNO38" s="125">
        <v>40</v>
      </c>
      <c r="UNP38" s="127">
        <f>SUM(UNO38)</f>
        <v>40</v>
      </c>
      <c r="UNQ38" s="129" t="s">
        <v>46</v>
      </c>
      <c r="UNR38" s="131" t="s">
        <v>44</v>
      </c>
      <c r="UNS38" s="133" t="s">
        <v>45</v>
      </c>
      <c r="UNT38" s="134"/>
      <c r="UNU38" s="135"/>
      <c r="UNV38" s="125">
        <v>0</v>
      </c>
      <c r="UNW38" s="125">
        <v>40</v>
      </c>
      <c r="UNX38" s="127">
        <f>SUM(UNW38)</f>
        <v>40</v>
      </c>
      <c r="UNY38" s="129" t="s">
        <v>46</v>
      </c>
      <c r="UNZ38" s="131" t="s">
        <v>44</v>
      </c>
      <c r="UOA38" s="133" t="s">
        <v>45</v>
      </c>
      <c r="UOB38" s="134"/>
      <c r="UOC38" s="135"/>
      <c r="UOD38" s="125">
        <v>0</v>
      </c>
      <c r="UOE38" s="125">
        <v>40</v>
      </c>
      <c r="UOF38" s="127">
        <f>SUM(UOE38)</f>
        <v>40</v>
      </c>
      <c r="UOG38" s="129" t="s">
        <v>46</v>
      </c>
      <c r="UOH38" s="131" t="s">
        <v>44</v>
      </c>
      <c r="UOI38" s="133" t="s">
        <v>45</v>
      </c>
      <c r="UOJ38" s="134"/>
      <c r="UOK38" s="135"/>
      <c r="UOL38" s="125">
        <v>0</v>
      </c>
      <c r="UOM38" s="125">
        <v>40</v>
      </c>
      <c r="UON38" s="127">
        <f>SUM(UOM38)</f>
        <v>40</v>
      </c>
      <c r="UOO38" s="129" t="s">
        <v>46</v>
      </c>
      <c r="UOP38" s="131" t="s">
        <v>44</v>
      </c>
      <c r="UOQ38" s="133" t="s">
        <v>45</v>
      </c>
      <c r="UOR38" s="134"/>
      <c r="UOS38" s="135"/>
      <c r="UOT38" s="125">
        <v>0</v>
      </c>
      <c r="UOU38" s="125">
        <v>40</v>
      </c>
      <c r="UOV38" s="127">
        <f>SUM(UOU38)</f>
        <v>40</v>
      </c>
      <c r="UOW38" s="129" t="s">
        <v>46</v>
      </c>
      <c r="UOX38" s="131" t="s">
        <v>44</v>
      </c>
      <c r="UOY38" s="133" t="s">
        <v>45</v>
      </c>
      <c r="UOZ38" s="134"/>
      <c r="UPA38" s="135"/>
      <c r="UPB38" s="125">
        <v>0</v>
      </c>
      <c r="UPC38" s="125">
        <v>40</v>
      </c>
      <c r="UPD38" s="127">
        <f>SUM(UPC38)</f>
        <v>40</v>
      </c>
      <c r="UPE38" s="129" t="s">
        <v>46</v>
      </c>
      <c r="UPF38" s="131" t="s">
        <v>44</v>
      </c>
      <c r="UPG38" s="133" t="s">
        <v>45</v>
      </c>
      <c r="UPH38" s="134"/>
      <c r="UPI38" s="135"/>
      <c r="UPJ38" s="125">
        <v>0</v>
      </c>
      <c r="UPK38" s="125">
        <v>40</v>
      </c>
      <c r="UPL38" s="127">
        <f>SUM(UPK38)</f>
        <v>40</v>
      </c>
      <c r="UPM38" s="129" t="s">
        <v>46</v>
      </c>
      <c r="UPN38" s="131" t="s">
        <v>44</v>
      </c>
      <c r="UPO38" s="133" t="s">
        <v>45</v>
      </c>
      <c r="UPP38" s="134"/>
      <c r="UPQ38" s="135"/>
      <c r="UPR38" s="125">
        <v>0</v>
      </c>
      <c r="UPS38" s="125">
        <v>40</v>
      </c>
      <c r="UPT38" s="127">
        <f>SUM(UPS38)</f>
        <v>40</v>
      </c>
      <c r="UPU38" s="129" t="s">
        <v>46</v>
      </c>
      <c r="UPV38" s="131" t="s">
        <v>44</v>
      </c>
      <c r="UPW38" s="133" t="s">
        <v>45</v>
      </c>
      <c r="UPX38" s="134"/>
      <c r="UPY38" s="135"/>
      <c r="UPZ38" s="125">
        <v>0</v>
      </c>
      <c r="UQA38" s="125">
        <v>40</v>
      </c>
      <c r="UQB38" s="127">
        <f>SUM(UQA38)</f>
        <v>40</v>
      </c>
      <c r="UQC38" s="129" t="s">
        <v>46</v>
      </c>
      <c r="UQD38" s="131" t="s">
        <v>44</v>
      </c>
      <c r="UQE38" s="133" t="s">
        <v>45</v>
      </c>
      <c r="UQF38" s="134"/>
      <c r="UQG38" s="135"/>
      <c r="UQH38" s="125">
        <v>0</v>
      </c>
      <c r="UQI38" s="125">
        <v>40</v>
      </c>
      <c r="UQJ38" s="127">
        <f>SUM(UQI38)</f>
        <v>40</v>
      </c>
      <c r="UQK38" s="129" t="s">
        <v>46</v>
      </c>
      <c r="UQL38" s="131" t="s">
        <v>44</v>
      </c>
      <c r="UQM38" s="133" t="s">
        <v>45</v>
      </c>
      <c r="UQN38" s="134"/>
      <c r="UQO38" s="135"/>
      <c r="UQP38" s="125">
        <v>0</v>
      </c>
      <c r="UQQ38" s="125">
        <v>40</v>
      </c>
      <c r="UQR38" s="127">
        <f>SUM(UQQ38)</f>
        <v>40</v>
      </c>
      <c r="UQS38" s="129" t="s">
        <v>46</v>
      </c>
      <c r="UQT38" s="131" t="s">
        <v>44</v>
      </c>
      <c r="UQU38" s="133" t="s">
        <v>45</v>
      </c>
      <c r="UQV38" s="134"/>
      <c r="UQW38" s="135"/>
      <c r="UQX38" s="125">
        <v>0</v>
      </c>
      <c r="UQY38" s="125">
        <v>40</v>
      </c>
      <c r="UQZ38" s="127">
        <f>SUM(UQY38)</f>
        <v>40</v>
      </c>
      <c r="URA38" s="129" t="s">
        <v>46</v>
      </c>
      <c r="URB38" s="131" t="s">
        <v>44</v>
      </c>
      <c r="URC38" s="133" t="s">
        <v>45</v>
      </c>
      <c r="URD38" s="134"/>
      <c r="URE38" s="135"/>
      <c r="URF38" s="125">
        <v>0</v>
      </c>
      <c r="URG38" s="125">
        <v>40</v>
      </c>
      <c r="URH38" s="127">
        <f>SUM(URG38)</f>
        <v>40</v>
      </c>
      <c r="URI38" s="129" t="s">
        <v>46</v>
      </c>
      <c r="URJ38" s="131" t="s">
        <v>44</v>
      </c>
      <c r="URK38" s="133" t="s">
        <v>45</v>
      </c>
      <c r="URL38" s="134"/>
      <c r="URM38" s="135"/>
      <c r="URN38" s="125">
        <v>0</v>
      </c>
      <c r="URO38" s="125">
        <v>40</v>
      </c>
      <c r="URP38" s="127">
        <f>SUM(URO38)</f>
        <v>40</v>
      </c>
      <c r="URQ38" s="129" t="s">
        <v>46</v>
      </c>
      <c r="URR38" s="131" t="s">
        <v>44</v>
      </c>
      <c r="URS38" s="133" t="s">
        <v>45</v>
      </c>
      <c r="URT38" s="134"/>
      <c r="URU38" s="135"/>
      <c r="URV38" s="125">
        <v>0</v>
      </c>
      <c r="URW38" s="125">
        <v>40</v>
      </c>
      <c r="URX38" s="127">
        <f>SUM(URW38)</f>
        <v>40</v>
      </c>
      <c r="URY38" s="129" t="s">
        <v>46</v>
      </c>
      <c r="URZ38" s="131" t="s">
        <v>44</v>
      </c>
      <c r="USA38" s="133" t="s">
        <v>45</v>
      </c>
      <c r="USB38" s="134"/>
      <c r="USC38" s="135"/>
      <c r="USD38" s="125">
        <v>0</v>
      </c>
      <c r="USE38" s="125">
        <v>40</v>
      </c>
      <c r="USF38" s="127">
        <f>SUM(USE38)</f>
        <v>40</v>
      </c>
      <c r="USG38" s="129" t="s">
        <v>46</v>
      </c>
      <c r="USH38" s="131" t="s">
        <v>44</v>
      </c>
      <c r="USI38" s="133" t="s">
        <v>45</v>
      </c>
      <c r="USJ38" s="134"/>
      <c r="USK38" s="135"/>
      <c r="USL38" s="125">
        <v>0</v>
      </c>
      <c r="USM38" s="125">
        <v>40</v>
      </c>
      <c r="USN38" s="127">
        <f>SUM(USM38)</f>
        <v>40</v>
      </c>
      <c r="USO38" s="129" t="s">
        <v>46</v>
      </c>
      <c r="USP38" s="131" t="s">
        <v>44</v>
      </c>
      <c r="USQ38" s="133" t="s">
        <v>45</v>
      </c>
      <c r="USR38" s="134"/>
      <c r="USS38" s="135"/>
      <c r="UST38" s="125">
        <v>0</v>
      </c>
      <c r="USU38" s="125">
        <v>40</v>
      </c>
      <c r="USV38" s="127">
        <f>SUM(USU38)</f>
        <v>40</v>
      </c>
      <c r="USW38" s="129" t="s">
        <v>46</v>
      </c>
      <c r="USX38" s="131" t="s">
        <v>44</v>
      </c>
      <c r="USY38" s="133" t="s">
        <v>45</v>
      </c>
      <c r="USZ38" s="134"/>
      <c r="UTA38" s="135"/>
      <c r="UTB38" s="125">
        <v>0</v>
      </c>
      <c r="UTC38" s="125">
        <v>40</v>
      </c>
      <c r="UTD38" s="127">
        <f>SUM(UTC38)</f>
        <v>40</v>
      </c>
      <c r="UTE38" s="129" t="s">
        <v>46</v>
      </c>
      <c r="UTF38" s="131" t="s">
        <v>44</v>
      </c>
      <c r="UTG38" s="133" t="s">
        <v>45</v>
      </c>
      <c r="UTH38" s="134"/>
      <c r="UTI38" s="135"/>
      <c r="UTJ38" s="125">
        <v>0</v>
      </c>
      <c r="UTK38" s="125">
        <v>40</v>
      </c>
      <c r="UTL38" s="127">
        <f>SUM(UTK38)</f>
        <v>40</v>
      </c>
      <c r="UTM38" s="129" t="s">
        <v>46</v>
      </c>
      <c r="UTN38" s="131" t="s">
        <v>44</v>
      </c>
      <c r="UTO38" s="133" t="s">
        <v>45</v>
      </c>
      <c r="UTP38" s="134"/>
      <c r="UTQ38" s="135"/>
      <c r="UTR38" s="125">
        <v>0</v>
      </c>
      <c r="UTS38" s="125">
        <v>40</v>
      </c>
      <c r="UTT38" s="127">
        <f>SUM(UTS38)</f>
        <v>40</v>
      </c>
      <c r="UTU38" s="129" t="s">
        <v>46</v>
      </c>
      <c r="UTV38" s="131" t="s">
        <v>44</v>
      </c>
      <c r="UTW38" s="133" t="s">
        <v>45</v>
      </c>
      <c r="UTX38" s="134"/>
      <c r="UTY38" s="135"/>
      <c r="UTZ38" s="125">
        <v>0</v>
      </c>
      <c r="UUA38" s="125">
        <v>40</v>
      </c>
      <c r="UUB38" s="127">
        <f>SUM(UUA38)</f>
        <v>40</v>
      </c>
      <c r="UUC38" s="129" t="s">
        <v>46</v>
      </c>
      <c r="UUD38" s="131" t="s">
        <v>44</v>
      </c>
      <c r="UUE38" s="133" t="s">
        <v>45</v>
      </c>
      <c r="UUF38" s="134"/>
      <c r="UUG38" s="135"/>
      <c r="UUH38" s="125">
        <v>0</v>
      </c>
      <c r="UUI38" s="125">
        <v>40</v>
      </c>
      <c r="UUJ38" s="127">
        <f>SUM(UUI38)</f>
        <v>40</v>
      </c>
      <c r="UUK38" s="129" t="s">
        <v>46</v>
      </c>
      <c r="UUL38" s="131" t="s">
        <v>44</v>
      </c>
      <c r="UUM38" s="133" t="s">
        <v>45</v>
      </c>
      <c r="UUN38" s="134"/>
      <c r="UUO38" s="135"/>
      <c r="UUP38" s="125">
        <v>0</v>
      </c>
      <c r="UUQ38" s="125">
        <v>40</v>
      </c>
      <c r="UUR38" s="127">
        <f>SUM(UUQ38)</f>
        <v>40</v>
      </c>
      <c r="UUS38" s="129" t="s">
        <v>46</v>
      </c>
      <c r="UUT38" s="131" t="s">
        <v>44</v>
      </c>
      <c r="UUU38" s="133" t="s">
        <v>45</v>
      </c>
      <c r="UUV38" s="134"/>
      <c r="UUW38" s="135"/>
      <c r="UUX38" s="125">
        <v>0</v>
      </c>
      <c r="UUY38" s="125">
        <v>40</v>
      </c>
      <c r="UUZ38" s="127">
        <f>SUM(UUY38)</f>
        <v>40</v>
      </c>
      <c r="UVA38" s="129" t="s">
        <v>46</v>
      </c>
      <c r="UVB38" s="131" t="s">
        <v>44</v>
      </c>
      <c r="UVC38" s="133" t="s">
        <v>45</v>
      </c>
      <c r="UVD38" s="134"/>
      <c r="UVE38" s="135"/>
      <c r="UVF38" s="125">
        <v>0</v>
      </c>
      <c r="UVG38" s="125">
        <v>40</v>
      </c>
      <c r="UVH38" s="127">
        <f>SUM(UVG38)</f>
        <v>40</v>
      </c>
      <c r="UVI38" s="129" t="s">
        <v>46</v>
      </c>
      <c r="UVJ38" s="131" t="s">
        <v>44</v>
      </c>
      <c r="UVK38" s="133" t="s">
        <v>45</v>
      </c>
      <c r="UVL38" s="134"/>
      <c r="UVM38" s="135"/>
      <c r="UVN38" s="125">
        <v>0</v>
      </c>
      <c r="UVO38" s="125">
        <v>40</v>
      </c>
      <c r="UVP38" s="127">
        <f>SUM(UVO38)</f>
        <v>40</v>
      </c>
      <c r="UVQ38" s="129" t="s">
        <v>46</v>
      </c>
      <c r="UVR38" s="131" t="s">
        <v>44</v>
      </c>
      <c r="UVS38" s="133" t="s">
        <v>45</v>
      </c>
      <c r="UVT38" s="134"/>
      <c r="UVU38" s="135"/>
      <c r="UVV38" s="125">
        <v>0</v>
      </c>
      <c r="UVW38" s="125">
        <v>40</v>
      </c>
      <c r="UVX38" s="127">
        <f>SUM(UVW38)</f>
        <v>40</v>
      </c>
      <c r="UVY38" s="129" t="s">
        <v>46</v>
      </c>
      <c r="UVZ38" s="131" t="s">
        <v>44</v>
      </c>
      <c r="UWA38" s="133" t="s">
        <v>45</v>
      </c>
      <c r="UWB38" s="134"/>
      <c r="UWC38" s="135"/>
      <c r="UWD38" s="125">
        <v>0</v>
      </c>
      <c r="UWE38" s="125">
        <v>40</v>
      </c>
      <c r="UWF38" s="127">
        <f>SUM(UWE38)</f>
        <v>40</v>
      </c>
      <c r="UWG38" s="129" t="s">
        <v>46</v>
      </c>
      <c r="UWH38" s="131" t="s">
        <v>44</v>
      </c>
      <c r="UWI38" s="133" t="s">
        <v>45</v>
      </c>
      <c r="UWJ38" s="134"/>
      <c r="UWK38" s="135"/>
      <c r="UWL38" s="125">
        <v>0</v>
      </c>
      <c r="UWM38" s="125">
        <v>40</v>
      </c>
      <c r="UWN38" s="127">
        <f>SUM(UWM38)</f>
        <v>40</v>
      </c>
      <c r="UWO38" s="129" t="s">
        <v>46</v>
      </c>
      <c r="UWP38" s="131" t="s">
        <v>44</v>
      </c>
      <c r="UWQ38" s="133" t="s">
        <v>45</v>
      </c>
      <c r="UWR38" s="134"/>
      <c r="UWS38" s="135"/>
      <c r="UWT38" s="125">
        <v>0</v>
      </c>
      <c r="UWU38" s="125">
        <v>40</v>
      </c>
      <c r="UWV38" s="127">
        <f>SUM(UWU38)</f>
        <v>40</v>
      </c>
      <c r="UWW38" s="129" t="s">
        <v>46</v>
      </c>
      <c r="UWX38" s="131" t="s">
        <v>44</v>
      </c>
      <c r="UWY38" s="133" t="s">
        <v>45</v>
      </c>
      <c r="UWZ38" s="134"/>
      <c r="UXA38" s="135"/>
      <c r="UXB38" s="125">
        <v>0</v>
      </c>
      <c r="UXC38" s="125">
        <v>40</v>
      </c>
      <c r="UXD38" s="127">
        <f>SUM(UXC38)</f>
        <v>40</v>
      </c>
      <c r="UXE38" s="129" t="s">
        <v>46</v>
      </c>
      <c r="UXF38" s="131" t="s">
        <v>44</v>
      </c>
      <c r="UXG38" s="133" t="s">
        <v>45</v>
      </c>
      <c r="UXH38" s="134"/>
      <c r="UXI38" s="135"/>
      <c r="UXJ38" s="125">
        <v>0</v>
      </c>
      <c r="UXK38" s="125">
        <v>40</v>
      </c>
      <c r="UXL38" s="127">
        <f>SUM(UXK38)</f>
        <v>40</v>
      </c>
      <c r="UXM38" s="129" t="s">
        <v>46</v>
      </c>
      <c r="UXN38" s="131" t="s">
        <v>44</v>
      </c>
      <c r="UXO38" s="133" t="s">
        <v>45</v>
      </c>
      <c r="UXP38" s="134"/>
      <c r="UXQ38" s="135"/>
      <c r="UXR38" s="125">
        <v>0</v>
      </c>
      <c r="UXS38" s="125">
        <v>40</v>
      </c>
      <c r="UXT38" s="127">
        <f>SUM(UXS38)</f>
        <v>40</v>
      </c>
      <c r="UXU38" s="129" t="s">
        <v>46</v>
      </c>
      <c r="UXV38" s="131" t="s">
        <v>44</v>
      </c>
      <c r="UXW38" s="133" t="s">
        <v>45</v>
      </c>
      <c r="UXX38" s="134"/>
      <c r="UXY38" s="135"/>
      <c r="UXZ38" s="125">
        <v>0</v>
      </c>
      <c r="UYA38" s="125">
        <v>40</v>
      </c>
      <c r="UYB38" s="127">
        <f>SUM(UYA38)</f>
        <v>40</v>
      </c>
      <c r="UYC38" s="129" t="s">
        <v>46</v>
      </c>
      <c r="UYD38" s="131" t="s">
        <v>44</v>
      </c>
      <c r="UYE38" s="133" t="s">
        <v>45</v>
      </c>
      <c r="UYF38" s="134"/>
      <c r="UYG38" s="135"/>
      <c r="UYH38" s="125">
        <v>0</v>
      </c>
      <c r="UYI38" s="125">
        <v>40</v>
      </c>
      <c r="UYJ38" s="127">
        <f>SUM(UYI38)</f>
        <v>40</v>
      </c>
      <c r="UYK38" s="129" t="s">
        <v>46</v>
      </c>
      <c r="UYL38" s="131" t="s">
        <v>44</v>
      </c>
      <c r="UYM38" s="133" t="s">
        <v>45</v>
      </c>
      <c r="UYN38" s="134"/>
      <c r="UYO38" s="135"/>
      <c r="UYP38" s="125">
        <v>0</v>
      </c>
      <c r="UYQ38" s="125">
        <v>40</v>
      </c>
      <c r="UYR38" s="127">
        <f>SUM(UYQ38)</f>
        <v>40</v>
      </c>
      <c r="UYS38" s="129" t="s">
        <v>46</v>
      </c>
      <c r="UYT38" s="131" t="s">
        <v>44</v>
      </c>
      <c r="UYU38" s="133" t="s">
        <v>45</v>
      </c>
      <c r="UYV38" s="134"/>
      <c r="UYW38" s="135"/>
      <c r="UYX38" s="125">
        <v>0</v>
      </c>
      <c r="UYY38" s="125">
        <v>40</v>
      </c>
      <c r="UYZ38" s="127">
        <f>SUM(UYY38)</f>
        <v>40</v>
      </c>
      <c r="UZA38" s="129" t="s">
        <v>46</v>
      </c>
      <c r="UZB38" s="131" t="s">
        <v>44</v>
      </c>
      <c r="UZC38" s="133" t="s">
        <v>45</v>
      </c>
      <c r="UZD38" s="134"/>
      <c r="UZE38" s="135"/>
      <c r="UZF38" s="125">
        <v>0</v>
      </c>
      <c r="UZG38" s="125">
        <v>40</v>
      </c>
      <c r="UZH38" s="127">
        <f>SUM(UZG38)</f>
        <v>40</v>
      </c>
      <c r="UZI38" s="129" t="s">
        <v>46</v>
      </c>
      <c r="UZJ38" s="131" t="s">
        <v>44</v>
      </c>
      <c r="UZK38" s="133" t="s">
        <v>45</v>
      </c>
      <c r="UZL38" s="134"/>
      <c r="UZM38" s="135"/>
      <c r="UZN38" s="125">
        <v>0</v>
      </c>
      <c r="UZO38" s="125">
        <v>40</v>
      </c>
      <c r="UZP38" s="127">
        <f>SUM(UZO38)</f>
        <v>40</v>
      </c>
      <c r="UZQ38" s="129" t="s">
        <v>46</v>
      </c>
      <c r="UZR38" s="131" t="s">
        <v>44</v>
      </c>
      <c r="UZS38" s="133" t="s">
        <v>45</v>
      </c>
      <c r="UZT38" s="134"/>
      <c r="UZU38" s="135"/>
      <c r="UZV38" s="125">
        <v>0</v>
      </c>
      <c r="UZW38" s="125">
        <v>40</v>
      </c>
      <c r="UZX38" s="127">
        <f>SUM(UZW38)</f>
        <v>40</v>
      </c>
      <c r="UZY38" s="129" t="s">
        <v>46</v>
      </c>
      <c r="UZZ38" s="131" t="s">
        <v>44</v>
      </c>
      <c r="VAA38" s="133" t="s">
        <v>45</v>
      </c>
      <c r="VAB38" s="134"/>
      <c r="VAC38" s="135"/>
      <c r="VAD38" s="125">
        <v>0</v>
      </c>
      <c r="VAE38" s="125">
        <v>40</v>
      </c>
      <c r="VAF38" s="127">
        <f>SUM(VAE38)</f>
        <v>40</v>
      </c>
      <c r="VAG38" s="129" t="s">
        <v>46</v>
      </c>
      <c r="VAH38" s="131" t="s">
        <v>44</v>
      </c>
      <c r="VAI38" s="133" t="s">
        <v>45</v>
      </c>
      <c r="VAJ38" s="134"/>
      <c r="VAK38" s="135"/>
      <c r="VAL38" s="125">
        <v>0</v>
      </c>
      <c r="VAM38" s="125">
        <v>40</v>
      </c>
      <c r="VAN38" s="127">
        <f>SUM(VAM38)</f>
        <v>40</v>
      </c>
      <c r="VAO38" s="129" t="s">
        <v>46</v>
      </c>
      <c r="VAP38" s="131" t="s">
        <v>44</v>
      </c>
      <c r="VAQ38" s="133" t="s">
        <v>45</v>
      </c>
      <c r="VAR38" s="134"/>
      <c r="VAS38" s="135"/>
      <c r="VAT38" s="125">
        <v>0</v>
      </c>
      <c r="VAU38" s="125">
        <v>40</v>
      </c>
      <c r="VAV38" s="127">
        <f>SUM(VAU38)</f>
        <v>40</v>
      </c>
      <c r="VAW38" s="129" t="s">
        <v>46</v>
      </c>
      <c r="VAX38" s="131" t="s">
        <v>44</v>
      </c>
      <c r="VAY38" s="133" t="s">
        <v>45</v>
      </c>
      <c r="VAZ38" s="134"/>
      <c r="VBA38" s="135"/>
      <c r="VBB38" s="125">
        <v>0</v>
      </c>
      <c r="VBC38" s="125">
        <v>40</v>
      </c>
      <c r="VBD38" s="127">
        <f>SUM(VBC38)</f>
        <v>40</v>
      </c>
      <c r="VBE38" s="129" t="s">
        <v>46</v>
      </c>
      <c r="VBF38" s="131" t="s">
        <v>44</v>
      </c>
      <c r="VBG38" s="133" t="s">
        <v>45</v>
      </c>
      <c r="VBH38" s="134"/>
      <c r="VBI38" s="135"/>
      <c r="VBJ38" s="125">
        <v>0</v>
      </c>
      <c r="VBK38" s="125">
        <v>40</v>
      </c>
      <c r="VBL38" s="127">
        <f>SUM(VBK38)</f>
        <v>40</v>
      </c>
      <c r="VBM38" s="129" t="s">
        <v>46</v>
      </c>
      <c r="VBN38" s="131" t="s">
        <v>44</v>
      </c>
      <c r="VBO38" s="133" t="s">
        <v>45</v>
      </c>
      <c r="VBP38" s="134"/>
      <c r="VBQ38" s="135"/>
      <c r="VBR38" s="125">
        <v>0</v>
      </c>
      <c r="VBS38" s="125">
        <v>40</v>
      </c>
      <c r="VBT38" s="127">
        <f>SUM(VBS38)</f>
        <v>40</v>
      </c>
      <c r="VBU38" s="129" t="s">
        <v>46</v>
      </c>
      <c r="VBV38" s="131" t="s">
        <v>44</v>
      </c>
      <c r="VBW38" s="133" t="s">
        <v>45</v>
      </c>
      <c r="VBX38" s="134"/>
      <c r="VBY38" s="135"/>
      <c r="VBZ38" s="125">
        <v>0</v>
      </c>
      <c r="VCA38" s="125">
        <v>40</v>
      </c>
      <c r="VCB38" s="127">
        <f>SUM(VCA38)</f>
        <v>40</v>
      </c>
      <c r="VCC38" s="129" t="s">
        <v>46</v>
      </c>
      <c r="VCD38" s="131" t="s">
        <v>44</v>
      </c>
      <c r="VCE38" s="133" t="s">
        <v>45</v>
      </c>
      <c r="VCF38" s="134"/>
      <c r="VCG38" s="135"/>
      <c r="VCH38" s="125">
        <v>0</v>
      </c>
      <c r="VCI38" s="125">
        <v>40</v>
      </c>
      <c r="VCJ38" s="127">
        <f>SUM(VCI38)</f>
        <v>40</v>
      </c>
      <c r="VCK38" s="129" t="s">
        <v>46</v>
      </c>
      <c r="VCL38" s="131" t="s">
        <v>44</v>
      </c>
      <c r="VCM38" s="133" t="s">
        <v>45</v>
      </c>
      <c r="VCN38" s="134"/>
      <c r="VCO38" s="135"/>
      <c r="VCP38" s="125">
        <v>0</v>
      </c>
      <c r="VCQ38" s="125">
        <v>40</v>
      </c>
      <c r="VCR38" s="127">
        <f>SUM(VCQ38)</f>
        <v>40</v>
      </c>
      <c r="VCS38" s="129" t="s">
        <v>46</v>
      </c>
      <c r="VCT38" s="131" t="s">
        <v>44</v>
      </c>
      <c r="VCU38" s="133" t="s">
        <v>45</v>
      </c>
      <c r="VCV38" s="134"/>
      <c r="VCW38" s="135"/>
      <c r="VCX38" s="125">
        <v>0</v>
      </c>
      <c r="VCY38" s="125">
        <v>40</v>
      </c>
      <c r="VCZ38" s="127">
        <f>SUM(VCY38)</f>
        <v>40</v>
      </c>
      <c r="VDA38" s="129" t="s">
        <v>46</v>
      </c>
      <c r="VDB38" s="131" t="s">
        <v>44</v>
      </c>
      <c r="VDC38" s="133" t="s">
        <v>45</v>
      </c>
      <c r="VDD38" s="134"/>
      <c r="VDE38" s="135"/>
      <c r="VDF38" s="125">
        <v>0</v>
      </c>
      <c r="VDG38" s="125">
        <v>40</v>
      </c>
      <c r="VDH38" s="127">
        <f>SUM(VDG38)</f>
        <v>40</v>
      </c>
      <c r="VDI38" s="129" t="s">
        <v>46</v>
      </c>
      <c r="VDJ38" s="131" t="s">
        <v>44</v>
      </c>
      <c r="VDK38" s="133" t="s">
        <v>45</v>
      </c>
      <c r="VDL38" s="134"/>
      <c r="VDM38" s="135"/>
      <c r="VDN38" s="125">
        <v>0</v>
      </c>
      <c r="VDO38" s="125">
        <v>40</v>
      </c>
      <c r="VDP38" s="127">
        <f>SUM(VDO38)</f>
        <v>40</v>
      </c>
      <c r="VDQ38" s="129" t="s">
        <v>46</v>
      </c>
      <c r="VDR38" s="131" t="s">
        <v>44</v>
      </c>
      <c r="VDS38" s="133" t="s">
        <v>45</v>
      </c>
      <c r="VDT38" s="134"/>
      <c r="VDU38" s="135"/>
      <c r="VDV38" s="125">
        <v>0</v>
      </c>
      <c r="VDW38" s="125">
        <v>40</v>
      </c>
      <c r="VDX38" s="127">
        <f>SUM(VDW38)</f>
        <v>40</v>
      </c>
      <c r="VDY38" s="129" t="s">
        <v>46</v>
      </c>
      <c r="VDZ38" s="131" t="s">
        <v>44</v>
      </c>
      <c r="VEA38" s="133" t="s">
        <v>45</v>
      </c>
      <c r="VEB38" s="134"/>
      <c r="VEC38" s="135"/>
      <c r="VED38" s="125">
        <v>0</v>
      </c>
      <c r="VEE38" s="125">
        <v>40</v>
      </c>
      <c r="VEF38" s="127">
        <f>SUM(VEE38)</f>
        <v>40</v>
      </c>
      <c r="VEG38" s="129" t="s">
        <v>46</v>
      </c>
      <c r="VEH38" s="131" t="s">
        <v>44</v>
      </c>
      <c r="VEI38" s="133" t="s">
        <v>45</v>
      </c>
      <c r="VEJ38" s="134"/>
      <c r="VEK38" s="135"/>
      <c r="VEL38" s="125">
        <v>0</v>
      </c>
      <c r="VEM38" s="125">
        <v>40</v>
      </c>
      <c r="VEN38" s="127">
        <f>SUM(VEM38)</f>
        <v>40</v>
      </c>
      <c r="VEO38" s="129" t="s">
        <v>46</v>
      </c>
      <c r="VEP38" s="131" t="s">
        <v>44</v>
      </c>
      <c r="VEQ38" s="133" t="s">
        <v>45</v>
      </c>
      <c r="VER38" s="134"/>
      <c r="VES38" s="135"/>
      <c r="VET38" s="125">
        <v>0</v>
      </c>
      <c r="VEU38" s="125">
        <v>40</v>
      </c>
      <c r="VEV38" s="127">
        <f>SUM(VEU38)</f>
        <v>40</v>
      </c>
      <c r="VEW38" s="129" t="s">
        <v>46</v>
      </c>
      <c r="VEX38" s="131" t="s">
        <v>44</v>
      </c>
      <c r="VEY38" s="133" t="s">
        <v>45</v>
      </c>
      <c r="VEZ38" s="134"/>
      <c r="VFA38" s="135"/>
      <c r="VFB38" s="125">
        <v>0</v>
      </c>
      <c r="VFC38" s="125">
        <v>40</v>
      </c>
      <c r="VFD38" s="127">
        <f>SUM(VFC38)</f>
        <v>40</v>
      </c>
      <c r="VFE38" s="129" t="s">
        <v>46</v>
      </c>
      <c r="VFF38" s="131" t="s">
        <v>44</v>
      </c>
      <c r="VFG38" s="133" t="s">
        <v>45</v>
      </c>
      <c r="VFH38" s="134"/>
      <c r="VFI38" s="135"/>
      <c r="VFJ38" s="125">
        <v>0</v>
      </c>
      <c r="VFK38" s="125">
        <v>40</v>
      </c>
      <c r="VFL38" s="127">
        <f>SUM(VFK38)</f>
        <v>40</v>
      </c>
      <c r="VFM38" s="129" t="s">
        <v>46</v>
      </c>
      <c r="VFN38" s="131" t="s">
        <v>44</v>
      </c>
      <c r="VFO38" s="133" t="s">
        <v>45</v>
      </c>
      <c r="VFP38" s="134"/>
      <c r="VFQ38" s="135"/>
      <c r="VFR38" s="125">
        <v>0</v>
      </c>
      <c r="VFS38" s="125">
        <v>40</v>
      </c>
      <c r="VFT38" s="127">
        <f>SUM(VFS38)</f>
        <v>40</v>
      </c>
      <c r="VFU38" s="129" t="s">
        <v>46</v>
      </c>
      <c r="VFV38" s="131" t="s">
        <v>44</v>
      </c>
      <c r="VFW38" s="133" t="s">
        <v>45</v>
      </c>
      <c r="VFX38" s="134"/>
      <c r="VFY38" s="135"/>
      <c r="VFZ38" s="125">
        <v>0</v>
      </c>
      <c r="VGA38" s="125">
        <v>40</v>
      </c>
      <c r="VGB38" s="127">
        <f>SUM(VGA38)</f>
        <v>40</v>
      </c>
      <c r="VGC38" s="129" t="s">
        <v>46</v>
      </c>
      <c r="VGD38" s="131" t="s">
        <v>44</v>
      </c>
      <c r="VGE38" s="133" t="s">
        <v>45</v>
      </c>
      <c r="VGF38" s="134"/>
      <c r="VGG38" s="135"/>
      <c r="VGH38" s="125">
        <v>0</v>
      </c>
      <c r="VGI38" s="125">
        <v>40</v>
      </c>
      <c r="VGJ38" s="127">
        <f>SUM(VGI38)</f>
        <v>40</v>
      </c>
      <c r="VGK38" s="129" t="s">
        <v>46</v>
      </c>
      <c r="VGL38" s="131" t="s">
        <v>44</v>
      </c>
      <c r="VGM38" s="133" t="s">
        <v>45</v>
      </c>
      <c r="VGN38" s="134"/>
      <c r="VGO38" s="135"/>
      <c r="VGP38" s="125">
        <v>0</v>
      </c>
      <c r="VGQ38" s="125">
        <v>40</v>
      </c>
      <c r="VGR38" s="127">
        <f>SUM(VGQ38)</f>
        <v>40</v>
      </c>
      <c r="VGS38" s="129" t="s">
        <v>46</v>
      </c>
      <c r="VGT38" s="131" t="s">
        <v>44</v>
      </c>
      <c r="VGU38" s="133" t="s">
        <v>45</v>
      </c>
      <c r="VGV38" s="134"/>
      <c r="VGW38" s="135"/>
      <c r="VGX38" s="125">
        <v>0</v>
      </c>
      <c r="VGY38" s="125">
        <v>40</v>
      </c>
      <c r="VGZ38" s="127">
        <f>SUM(VGY38)</f>
        <v>40</v>
      </c>
      <c r="VHA38" s="129" t="s">
        <v>46</v>
      </c>
      <c r="VHB38" s="131" t="s">
        <v>44</v>
      </c>
      <c r="VHC38" s="133" t="s">
        <v>45</v>
      </c>
      <c r="VHD38" s="134"/>
      <c r="VHE38" s="135"/>
      <c r="VHF38" s="125">
        <v>0</v>
      </c>
      <c r="VHG38" s="125">
        <v>40</v>
      </c>
      <c r="VHH38" s="127">
        <f>SUM(VHG38)</f>
        <v>40</v>
      </c>
      <c r="VHI38" s="129" t="s">
        <v>46</v>
      </c>
      <c r="VHJ38" s="131" t="s">
        <v>44</v>
      </c>
      <c r="VHK38" s="133" t="s">
        <v>45</v>
      </c>
      <c r="VHL38" s="134"/>
      <c r="VHM38" s="135"/>
      <c r="VHN38" s="125">
        <v>0</v>
      </c>
      <c r="VHO38" s="125">
        <v>40</v>
      </c>
      <c r="VHP38" s="127">
        <f>SUM(VHO38)</f>
        <v>40</v>
      </c>
      <c r="VHQ38" s="129" t="s">
        <v>46</v>
      </c>
      <c r="VHR38" s="131" t="s">
        <v>44</v>
      </c>
      <c r="VHS38" s="133" t="s">
        <v>45</v>
      </c>
      <c r="VHT38" s="134"/>
      <c r="VHU38" s="135"/>
      <c r="VHV38" s="125">
        <v>0</v>
      </c>
      <c r="VHW38" s="125">
        <v>40</v>
      </c>
      <c r="VHX38" s="127">
        <f>SUM(VHW38)</f>
        <v>40</v>
      </c>
      <c r="VHY38" s="129" t="s">
        <v>46</v>
      </c>
      <c r="VHZ38" s="131" t="s">
        <v>44</v>
      </c>
      <c r="VIA38" s="133" t="s">
        <v>45</v>
      </c>
      <c r="VIB38" s="134"/>
      <c r="VIC38" s="135"/>
      <c r="VID38" s="125">
        <v>0</v>
      </c>
      <c r="VIE38" s="125">
        <v>40</v>
      </c>
      <c r="VIF38" s="127">
        <f>SUM(VIE38)</f>
        <v>40</v>
      </c>
      <c r="VIG38" s="129" t="s">
        <v>46</v>
      </c>
      <c r="VIH38" s="131" t="s">
        <v>44</v>
      </c>
      <c r="VII38" s="133" t="s">
        <v>45</v>
      </c>
      <c r="VIJ38" s="134"/>
      <c r="VIK38" s="135"/>
      <c r="VIL38" s="125">
        <v>0</v>
      </c>
      <c r="VIM38" s="125">
        <v>40</v>
      </c>
      <c r="VIN38" s="127">
        <f>SUM(VIM38)</f>
        <v>40</v>
      </c>
      <c r="VIO38" s="129" t="s">
        <v>46</v>
      </c>
      <c r="VIP38" s="131" t="s">
        <v>44</v>
      </c>
      <c r="VIQ38" s="133" t="s">
        <v>45</v>
      </c>
      <c r="VIR38" s="134"/>
      <c r="VIS38" s="135"/>
      <c r="VIT38" s="125">
        <v>0</v>
      </c>
      <c r="VIU38" s="125">
        <v>40</v>
      </c>
      <c r="VIV38" s="127">
        <f>SUM(VIU38)</f>
        <v>40</v>
      </c>
      <c r="VIW38" s="129" t="s">
        <v>46</v>
      </c>
      <c r="VIX38" s="131" t="s">
        <v>44</v>
      </c>
      <c r="VIY38" s="133" t="s">
        <v>45</v>
      </c>
      <c r="VIZ38" s="134"/>
      <c r="VJA38" s="135"/>
      <c r="VJB38" s="125">
        <v>0</v>
      </c>
      <c r="VJC38" s="125">
        <v>40</v>
      </c>
      <c r="VJD38" s="127">
        <f>SUM(VJC38)</f>
        <v>40</v>
      </c>
      <c r="VJE38" s="129" t="s">
        <v>46</v>
      </c>
      <c r="VJF38" s="131" t="s">
        <v>44</v>
      </c>
      <c r="VJG38" s="133" t="s">
        <v>45</v>
      </c>
      <c r="VJH38" s="134"/>
      <c r="VJI38" s="135"/>
      <c r="VJJ38" s="125">
        <v>0</v>
      </c>
      <c r="VJK38" s="125">
        <v>40</v>
      </c>
      <c r="VJL38" s="127">
        <f>SUM(VJK38)</f>
        <v>40</v>
      </c>
      <c r="VJM38" s="129" t="s">
        <v>46</v>
      </c>
      <c r="VJN38" s="131" t="s">
        <v>44</v>
      </c>
      <c r="VJO38" s="133" t="s">
        <v>45</v>
      </c>
      <c r="VJP38" s="134"/>
      <c r="VJQ38" s="135"/>
      <c r="VJR38" s="125">
        <v>0</v>
      </c>
      <c r="VJS38" s="125">
        <v>40</v>
      </c>
      <c r="VJT38" s="127">
        <f>SUM(VJS38)</f>
        <v>40</v>
      </c>
      <c r="VJU38" s="129" t="s">
        <v>46</v>
      </c>
      <c r="VJV38" s="131" t="s">
        <v>44</v>
      </c>
      <c r="VJW38" s="133" t="s">
        <v>45</v>
      </c>
      <c r="VJX38" s="134"/>
      <c r="VJY38" s="135"/>
      <c r="VJZ38" s="125">
        <v>0</v>
      </c>
      <c r="VKA38" s="125">
        <v>40</v>
      </c>
      <c r="VKB38" s="127">
        <f>SUM(VKA38)</f>
        <v>40</v>
      </c>
      <c r="VKC38" s="129" t="s">
        <v>46</v>
      </c>
      <c r="VKD38" s="131" t="s">
        <v>44</v>
      </c>
      <c r="VKE38" s="133" t="s">
        <v>45</v>
      </c>
      <c r="VKF38" s="134"/>
      <c r="VKG38" s="135"/>
      <c r="VKH38" s="125">
        <v>0</v>
      </c>
      <c r="VKI38" s="125">
        <v>40</v>
      </c>
      <c r="VKJ38" s="127">
        <f>SUM(VKI38)</f>
        <v>40</v>
      </c>
      <c r="VKK38" s="129" t="s">
        <v>46</v>
      </c>
      <c r="VKL38" s="131" t="s">
        <v>44</v>
      </c>
      <c r="VKM38" s="133" t="s">
        <v>45</v>
      </c>
      <c r="VKN38" s="134"/>
      <c r="VKO38" s="135"/>
      <c r="VKP38" s="125">
        <v>0</v>
      </c>
      <c r="VKQ38" s="125">
        <v>40</v>
      </c>
      <c r="VKR38" s="127">
        <f>SUM(VKQ38)</f>
        <v>40</v>
      </c>
      <c r="VKS38" s="129" t="s">
        <v>46</v>
      </c>
      <c r="VKT38" s="131" t="s">
        <v>44</v>
      </c>
      <c r="VKU38" s="133" t="s">
        <v>45</v>
      </c>
      <c r="VKV38" s="134"/>
      <c r="VKW38" s="135"/>
      <c r="VKX38" s="125">
        <v>0</v>
      </c>
      <c r="VKY38" s="125">
        <v>40</v>
      </c>
      <c r="VKZ38" s="127">
        <f>SUM(VKY38)</f>
        <v>40</v>
      </c>
      <c r="VLA38" s="129" t="s">
        <v>46</v>
      </c>
      <c r="VLB38" s="131" t="s">
        <v>44</v>
      </c>
      <c r="VLC38" s="133" t="s">
        <v>45</v>
      </c>
      <c r="VLD38" s="134"/>
      <c r="VLE38" s="135"/>
      <c r="VLF38" s="125">
        <v>0</v>
      </c>
      <c r="VLG38" s="125">
        <v>40</v>
      </c>
      <c r="VLH38" s="127">
        <f>SUM(VLG38)</f>
        <v>40</v>
      </c>
      <c r="VLI38" s="129" t="s">
        <v>46</v>
      </c>
      <c r="VLJ38" s="131" t="s">
        <v>44</v>
      </c>
      <c r="VLK38" s="133" t="s">
        <v>45</v>
      </c>
      <c r="VLL38" s="134"/>
      <c r="VLM38" s="135"/>
      <c r="VLN38" s="125">
        <v>0</v>
      </c>
      <c r="VLO38" s="125">
        <v>40</v>
      </c>
      <c r="VLP38" s="127">
        <f>SUM(VLO38)</f>
        <v>40</v>
      </c>
      <c r="VLQ38" s="129" t="s">
        <v>46</v>
      </c>
      <c r="VLR38" s="131" t="s">
        <v>44</v>
      </c>
      <c r="VLS38" s="133" t="s">
        <v>45</v>
      </c>
      <c r="VLT38" s="134"/>
      <c r="VLU38" s="135"/>
      <c r="VLV38" s="125">
        <v>0</v>
      </c>
      <c r="VLW38" s="125">
        <v>40</v>
      </c>
      <c r="VLX38" s="127">
        <f>SUM(VLW38)</f>
        <v>40</v>
      </c>
      <c r="VLY38" s="129" t="s">
        <v>46</v>
      </c>
      <c r="VLZ38" s="131" t="s">
        <v>44</v>
      </c>
      <c r="VMA38" s="133" t="s">
        <v>45</v>
      </c>
      <c r="VMB38" s="134"/>
      <c r="VMC38" s="135"/>
      <c r="VMD38" s="125">
        <v>0</v>
      </c>
      <c r="VME38" s="125">
        <v>40</v>
      </c>
      <c r="VMF38" s="127">
        <f>SUM(VME38)</f>
        <v>40</v>
      </c>
      <c r="VMG38" s="129" t="s">
        <v>46</v>
      </c>
      <c r="VMH38" s="131" t="s">
        <v>44</v>
      </c>
      <c r="VMI38" s="133" t="s">
        <v>45</v>
      </c>
      <c r="VMJ38" s="134"/>
      <c r="VMK38" s="135"/>
      <c r="VML38" s="125">
        <v>0</v>
      </c>
      <c r="VMM38" s="125">
        <v>40</v>
      </c>
      <c r="VMN38" s="127">
        <f>SUM(VMM38)</f>
        <v>40</v>
      </c>
      <c r="VMO38" s="129" t="s">
        <v>46</v>
      </c>
      <c r="VMP38" s="131" t="s">
        <v>44</v>
      </c>
      <c r="VMQ38" s="133" t="s">
        <v>45</v>
      </c>
      <c r="VMR38" s="134"/>
      <c r="VMS38" s="135"/>
      <c r="VMT38" s="125">
        <v>0</v>
      </c>
      <c r="VMU38" s="125">
        <v>40</v>
      </c>
      <c r="VMV38" s="127">
        <f>SUM(VMU38)</f>
        <v>40</v>
      </c>
      <c r="VMW38" s="129" t="s">
        <v>46</v>
      </c>
      <c r="VMX38" s="131" t="s">
        <v>44</v>
      </c>
      <c r="VMY38" s="133" t="s">
        <v>45</v>
      </c>
      <c r="VMZ38" s="134"/>
      <c r="VNA38" s="135"/>
      <c r="VNB38" s="125">
        <v>0</v>
      </c>
      <c r="VNC38" s="125">
        <v>40</v>
      </c>
      <c r="VND38" s="127">
        <f>SUM(VNC38)</f>
        <v>40</v>
      </c>
      <c r="VNE38" s="129" t="s">
        <v>46</v>
      </c>
      <c r="VNF38" s="131" t="s">
        <v>44</v>
      </c>
      <c r="VNG38" s="133" t="s">
        <v>45</v>
      </c>
      <c r="VNH38" s="134"/>
      <c r="VNI38" s="135"/>
      <c r="VNJ38" s="125">
        <v>0</v>
      </c>
      <c r="VNK38" s="125">
        <v>40</v>
      </c>
      <c r="VNL38" s="127">
        <f>SUM(VNK38)</f>
        <v>40</v>
      </c>
      <c r="VNM38" s="129" t="s">
        <v>46</v>
      </c>
      <c r="VNN38" s="131" t="s">
        <v>44</v>
      </c>
      <c r="VNO38" s="133" t="s">
        <v>45</v>
      </c>
      <c r="VNP38" s="134"/>
      <c r="VNQ38" s="135"/>
      <c r="VNR38" s="125">
        <v>0</v>
      </c>
      <c r="VNS38" s="125">
        <v>40</v>
      </c>
      <c r="VNT38" s="127">
        <f>SUM(VNS38)</f>
        <v>40</v>
      </c>
      <c r="VNU38" s="129" t="s">
        <v>46</v>
      </c>
      <c r="VNV38" s="131" t="s">
        <v>44</v>
      </c>
      <c r="VNW38" s="133" t="s">
        <v>45</v>
      </c>
      <c r="VNX38" s="134"/>
      <c r="VNY38" s="135"/>
      <c r="VNZ38" s="125">
        <v>0</v>
      </c>
      <c r="VOA38" s="125">
        <v>40</v>
      </c>
      <c r="VOB38" s="127">
        <f>SUM(VOA38)</f>
        <v>40</v>
      </c>
      <c r="VOC38" s="129" t="s">
        <v>46</v>
      </c>
      <c r="VOD38" s="131" t="s">
        <v>44</v>
      </c>
      <c r="VOE38" s="133" t="s">
        <v>45</v>
      </c>
      <c r="VOF38" s="134"/>
      <c r="VOG38" s="135"/>
      <c r="VOH38" s="125">
        <v>0</v>
      </c>
      <c r="VOI38" s="125">
        <v>40</v>
      </c>
      <c r="VOJ38" s="127">
        <f>SUM(VOI38)</f>
        <v>40</v>
      </c>
      <c r="VOK38" s="129" t="s">
        <v>46</v>
      </c>
      <c r="VOL38" s="131" t="s">
        <v>44</v>
      </c>
      <c r="VOM38" s="133" t="s">
        <v>45</v>
      </c>
      <c r="VON38" s="134"/>
      <c r="VOO38" s="135"/>
      <c r="VOP38" s="125">
        <v>0</v>
      </c>
      <c r="VOQ38" s="125">
        <v>40</v>
      </c>
      <c r="VOR38" s="127">
        <f>SUM(VOQ38)</f>
        <v>40</v>
      </c>
      <c r="VOS38" s="129" t="s">
        <v>46</v>
      </c>
      <c r="VOT38" s="131" t="s">
        <v>44</v>
      </c>
      <c r="VOU38" s="133" t="s">
        <v>45</v>
      </c>
      <c r="VOV38" s="134"/>
      <c r="VOW38" s="135"/>
      <c r="VOX38" s="125">
        <v>0</v>
      </c>
      <c r="VOY38" s="125">
        <v>40</v>
      </c>
      <c r="VOZ38" s="127">
        <f>SUM(VOY38)</f>
        <v>40</v>
      </c>
      <c r="VPA38" s="129" t="s">
        <v>46</v>
      </c>
      <c r="VPB38" s="131" t="s">
        <v>44</v>
      </c>
      <c r="VPC38" s="133" t="s">
        <v>45</v>
      </c>
      <c r="VPD38" s="134"/>
      <c r="VPE38" s="135"/>
      <c r="VPF38" s="125">
        <v>0</v>
      </c>
      <c r="VPG38" s="125">
        <v>40</v>
      </c>
      <c r="VPH38" s="127">
        <f>SUM(VPG38)</f>
        <v>40</v>
      </c>
      <c r="VPI38" s="129" t="s">
        <v>46</v>
      </c>
      <c r="VPJ38" s="131" t="s">
        <v>44</v>
      </c>
      <c r="VPK38" s="133" t="s">
        <v>45</v>
      </c>
      <c r="VPL38" s="134"/>
      <c r="VPM38" s="135"/>
      <c r="VPN38" s="125">
        <v>0</v>
      </c>
      <c r="VPO38" s="125">
        <v>40</v>
      </c>
      <c r="VPP38" s="127">
        <f>SUM(VPO38)</f>
        <v>40</v>
      </c>
      <c r="VPQ38" s="129" t="s">
        <v>46</v>
      </c>
      <c r="VPR38" s="131" t="s">
        <v>44</v>
      </c>
      <c r="VPS38" s="133" t="s">
        <v>45</v>
      </c>
      <c r="VPT38" s="134"/>
      <c r="VPU38" s="135"/>
      <c r="VPV38" s="125">
        <v>0</v>
      </c>
      <c r="VPW38" s="125">
        <v>40</v>
      </c>
      <c r="VPX38" s="127">
        <f>SUM(VPW38)</f>
        <v>40</v>
      </c>
      <c r="VPY38" s="129" t="s">
        <v>46</v>
      </c>
      <c r="VPZ38" s="131" t="s">
        <v>44</v>
      </c>
      <c r="VQA38" s="133" t="s">
        <v>45</v>
      </c>
      <c r="VQB38" s="134"/>
      <c r="VQC38" s="135"/>
      <c r="VQD38" s="125">
        <v>0</v>
      </c>
      <c r="VQE38" s="125">
        <v>40</v>
      </c>
      <c r="VQF38" s="127">
        <f>SUM(VQE38)</f>
        <v>40</v>
      </c>
      <c r="VQG38" s="129" t="s">
        <v>46</v>
      </c>
      <c r="VQH38" s="131" t="s">
        <v>44</v>
      </c>
      <c r="VQI38" s="133" t="s">
        <v>45</v>
      </c>
      <c r="VQJ38" s="134"/>
      <c r="VQK38" s="135"/>
      <c r="VQL38" s="125">
        <v>0</v>
      </c>
      <c r="VQM38" s="125">
        <v>40</v>
      </c>
      <c r="VQN38" s="127">
        <f>SUM(VQM38)</f>
        <v>40</v>
      </c>
      <c r="VQO38" s="129" t="s">
        <v>46</v>
      </c>
      <c r="VQP38" s="131" t="s">
        <v>44</v>
      </c>
      <c r="VQQ38" s="133" t="s">
        <v>45</v>
      </c>
      <c r="VQR38" s="134"/>
      <c r="VQS38" s="135"/>
      <c r="VQT38" s="125">
        <v>0</v>
      </c>
      <c r="VQU38" s="125">
        <v>40</v>
      </c>
      <c r="VQV38" s="127">
        <f>SUM(VQU38)</f>
        <v>40</v>
      </c>
      <c r="VQW38" s="129" t="s">
        <v>46</v>
      </c>
      <c r="VQX38" s="131" t="s">
        <v>44</v>
      </c>
      <c r="VQY38" s="133" t="s">
        <v>45</v>
      </c>
      <c r="VQZ38" s="134"/>
      <c r="VRA38" s="135"/>
      <c r="VRB38" s="125">
        <v>0</v>
      </c>
      <c r="VRC38" s="125">
        <v>40</v>
      </c>
      <c r="VRD38" s="127">
        <f>SUM(VRC38)</f>
        <v>40</v>
      </c>
      <c r="VRE38" s="129" t="s">
        <v>46</v>
      </c>
      <c r="VRF38" s="131" t="s">
        <v>44</v>
      </c>
      <c r="VRG38" s="133" t="s">
        <v>45</v>
      </c>
      <c r="VRH38" s="134"/>
      <c r="VRI38" s="135"/>
      <c r="VRJ38" s="125">
        <v>0</v>
      </c>
      <c r="VRK38" s="125">
        <v>40</v>
      </c>
      <c r="VRL38" s="127">
        <f>SUM(VRK38)</f>
        <v>40</v>
      </c>
      <c r="VRM38" s="129" t="s">
        <v>46</v>
      </c>
      <c r="VRN38" s="131" t="s">
        <v>44</v>
      </c>
      <c r="VRO38" s="133" t="s">
        <v>45</v>
      </c>
      <c r="VRP38" s="134"/>
      <c r="VRQ38" s="135"/>
      <c r="VRR38" s="125">
        <v>0</v>
      </c>
      <c r="VRS38" s="125">
        <v>40</v>
      </c>
      <c r="VRT38" s="127">
        <f>SUM(VRS38)</f>
        <v>40</v>
      </c>
      <c r="VRU38" s="129" t="s">
        <v>46</v>
      </c>
      <c r="VRV38" s="131" t="s">
        <v>44</v>
      </c>
      <c r="VRW38" s="133" t="s">
        <v>45</v>
      </c>
      <c r="VRX38" s="134"/>
      <c r="VRY38" s="135"/>
      <c r="VRZ38" s="125">
        <v>0</v>
      </c>
      <c r="VSA38" s="125">
        <v>40</v>
      </c>
      <c r="VSB38" s="127">
        <f>SUM(VSA38)</f>
        <v>40</v>
      </c>
      <c r="VSC38" s="129" t="s">
        <v>46</v>
      </c>
      <c r="VSD38" s="131" t="s">
        <v>44</v>
      </c>
      <c r="VSE38" s="133" t="s">
        <v>45</v>
      </c>
      <c r="VSF38" s="134"/>
      <c r="VSG38" s="135"/>
      <c r="VSH38" s="125">
        <v>0</v>
      </c>
      <c r="VSI38" s="125">
        <v>40</v>
      </c>
      <c r="VSJ38" s="127">
        <f>SUM(VSI38)</f>
        <v>40</v>
      </c>
      <c r="VSK38" s="129" t="s">
        <v>46</v>
      </c>
      <c r="VSL38" s="131" t="s">
        <v>44</v>
      </c>
      <c r="VSM38" s="133" t="s">
        <v>45</v>
      </c>
      <c r="VSN38" s="134"/>
      <c r="VSO38" s="135"/>
      <c r="VSP38" s="125">
        <v>0</v>
      </c>
      <c r="VSQ38" s="125">
        <v>40</v>
      </c>
      <c r="VSR38" s="127">
        <f>SUM(VSQ38)</f>
        <v>40</v>
      </c>
      <c r="VSS38" s="129" t="s">
        <v>46</v>
      </c>
      <c r="VST38" s="131" t="s">
        <v>44</v>
      </c>
      <c r="VSU38" s="133" t="s">
        <v>45</v>
      </c>
      <c r="VSV38" s="134"/>
      <c r="VSW38" s="135"/>
      <c r="VSX38" s="125">
        <v>0</v>
      </c>
      <c r="VSY38" s="125">
        <v>40</v>
      </c>
      <c r="VSZ38" s="127">
        <f>SUM(VSY38)</f>
        <v>40</v>
      </c>
      <c r="VTA38" s="129" t="s">
        <v>46</v>
      </c>
      <c r="VTB38" s="131" t="s">
        <v>44</v>
      </c>
      <c r="VTC38" s="133" t="s">
        <v>45</v>
      </c>
      <c r="VTD38" s="134"/>
      <c r="VTE38" s="135"/>
      <c r="VTF38" s="125">
        <v>0</v>
      </c>
      <c r="VTG38" s="125">
        <v>40</v>
      </c>
      <c r="VTH38" s="127">
        <f>SUM(VTG38)</f>
        <v>40</v>
      </c>
      <c r="VTI38" s="129" t="s">
        <v>46</v>
      </c>
      <c r="VTJ38" s="131" t="s">
        <v>44</v>
      </c>
      <c r="VTK38" s="133" t="s">
        <v>45</v>
      </c>
      <c r="VTL38" s="134"/>
      <c r="VTM38" s="135"/>
      <c r="VTN38" s="125">
        <v>0</v>
      </c>
      <c r="VTO38" s="125">
        <v>40</v>
      </c>
      <c r="VTP38" s="127">
        <f>SUM(VTO38)</f>
        <v>40</v>
      </c>
      <c r="VTQ38" s="129" t="s">
        <v>46</v>
      </c>
      <c r="VTR38" s="131" t="s">
        <v>44</v>
      </c>
      <c r="VTS38" s="133" t="s">
        <v>45</v>
      </c>
      <c r="VTT38" s="134"/>
      <c r="VTU38" s="135"/>
      <c r="VTV38" s="125">
        <v>0</v>
      </c>
      <c r="VTW38" s="125">
        <v>40</v>
      </c>
      <c r="VTX38" s="127">
        <f>SUM(VTW38)</f>
        <v>40</v>
      </c>
      <c r="VTY38" s="129" t="s">
        <v>46</v>
      </c>
      <c r="VTZ38" s="131" t="s">
        <v>44</v>
      </c>
      <c r="VUA38" s="133" t="s">
        <v>45</v>
      </c>
      <c r="VUB38" s="134"/>
      <c r="VUC38" s="135"/>
      <c r="VUD38" s="125">
        <v>0</v>
      </c>
      <c r="VUE38" s="125">
        <v>40</v>
      </c>
      <c r="VUF38" s="127">
        <f>SUM(VUE38)</f>
        <v>40</v>
      </c>
      <c r="VUG38" s="129" t="s">
        <v>46</v>
      </c>
      <c r="VUH38" s="131" t="s">
        <v>44</v>
      </c>
      <c r="VUI38" s="133" t="s">
        <v>45</v>
      </c>
      <c r="VUJ38" s="134"/>
      <c r="VUK38" s="135"/>
      <c r="VUL38" s="125">
        <v>0</v>
      </c>
      <c r="VUM38" s="125">
        <v>40</v>
      </c>
      <c r="VUN38" s="127">
        <f>SUM(VUM38)</f>
        <v>40</v>
      </c>
      <c r="VUO38" s="129" t="s">
        <v>46</v>
      </c>
      <c r="VUP38" s="131" t="s">
        <v>44</v>
      </c>
      <c r="VUQ38" s="133" t="s">
        <v>45</v>
      </c>
      <c r="VUR38" s="134"/>
      <c r="VUS38" s="135"/>
      <c r="VUT38" s="125">
        <v>0</v>
      </c>
      <c r="VUU38" s="125">
        <v>40</v>
      </c>
      <c r="VUV38" s="127">
        <f>SUM(VUU38)</f>
        <v>40</v>
      </c>
      <c r="VUW38" s="129" t="s">
        <v>46</v>
      </c>
      <c r="VUX38" s="131" t="s">
        <v>44</v>
      </c>
      <c r="VUY38" s="133" t="s">
        <v>45</v>
      </c>
      <c r="VUZ38" s="134"/>
      <c r="VVA38" s="135"/>
      <c r="VVB38" s="125">
        <v>0</v>
      </c>
      <c r="VVC38" s="125">
        <v>40</v>
      </c>
      <c r="VVD38" s="127">
        <f>SUM(VVC38)</f>
        <v>40</v>
      </c>
      <c r="VVE38" s="129" t="s">
        <v>46</v>
      </c>
      <c r="VVF38" s="131" t="s">
        <v>44</v>
      </c>
      <c r="VVG38" s="133" t="s">
        <v>45</v>
      </c>
      <c r="VVH38" s="134"/>
      <c r="VVI38" s="135"/>
      <c r="VVJ38" s="125">
        <v>0</v>
      </c>
      <c r="VVK38" s="125">
        <v>40</v>
      </c>
      <c r="VVL38" s="127">
        <f>SUM(VVK38)</f>
        <v>40</v>
      </c>
      <c r="VVM38" s="129" t="s">
        <v>46</v>
      </c>
      <c r="VVN38" s="131" t="s">
        <v>44</v>
      </c>
      <c r="VVO38" s="133" t="s">
        <v>45</v>
      </c>
      <c r="VVP38" s="134"/>
      <c r="VVQ38" s="135"/>
      <c r="VVR38" s="125">
        <v>0</v>
      </c>
      <c r="VVS38" s="125">
        <v>40</v>
      </c>
      <c r="VVT38" s="127">
        <f>SUM(VVS38)</f>
        <v>40</v>
      </c>
      <c r="VVU38" s="129" t="s">
        <v>46</v>
      </c>
      <c r="VVV38" s="131" t="s">
        <v>44</v>
      </c>
      <c r="VVW38" s="133" t="s">
        <v>45</v>
      </c>
      <c r="VVX38" s="134"/>
      <c r="VVY38" s="135"/>
      <c r="VVZ38" s="125">
        <v>0</v>
      </c>
      <c r="VWA38" s="125">
        <v>40</v>
      </c>
      <c r="VWB38" s="127">
        <f>SUM(VWA38)</f>
        <v>40</v>
      </c>
      <c r="VWC38" s="129" t="s">
        <v>46</v>
      </c>
      <c r="VWD38" s="131" t="s">
        <v>44</v>
      </c>
      <c r="VWE38" s="133" t="s">
        <v>45</v>
      </c>
      <c r="VWF38" s="134"/>
      <c r="VWG38" s="135"/>
      <c r="VWH38" s="125">
        <v>0</v>
      </c>
      <c r="VWI38" s="125">
        <v>40</v>
      </c>
      <c r="VWJ38" s="127">
        <f>SUM(VWI38)</f>
        <v>40</v>
      </c>
      <c r="VWK38" s="129" t="s">
        <v>46</v>
      </c>
      <c r="VWL38" s="131" t="s">
        <v>44</v>
      </c>
      <c r="VWM38" s="133" t="s">
        <v>45</v>
      </c>
      <c r="VWN38" s="134"/>
      <c r="VWO38" s="135"/>
      <c r="VWP38" s="125">
        <v>0</v>
      </c>
      <c r="VWQ38" s="125">
        <v>40</v>
      </c>
      <c r="VWR38" s="127">
        <f>SUM(VWQ38)</f>
        <v>40</v>
      </c>
      <c r="VWS38" s="129" t="s">
        <v>46</v>
      </c>
      <c r="VWT38" s="131" t="s">
        <v>44</v>
      </c>
      <c r="VWU38" s="133" t="s">
        <v>45</v>
      </c>
      <c r="VWV38" s="134"/>
      <c r="VWW38" s="135"/>
      <c r="VWX38" s="125">
        <v>0</v>
      </c>
      <c r="VWY38" s="125">
        <v>40</v>
      </c>
      <c r="VWZ38" s="127">
        <f>SUM(VWY38)</f>
        <v>40</v>
      </c>
      <c r="VXA38" s="129" t="s">
        <v>46</v>
      </c>
      <c r="VXB38" s="131" t="s">
        <v>44</v>
      </c>
      <c r="VXC38" s="133" t="s">
        <v>45</v>
      </c>
      <c r="VXD38" s="134"/>
      <c r="VXE38" s="135"/>
      <c r="VXF38" s="125">
        <v>0</v>
      </c>
      <c r="VXG38" s="125">
        <v>40</v>
      </c>
      <c r="VXH38" s="127">
        <f>SUM(VXG38)</f>
        <v>40</v>
      </c>
      <c r="VXI38" s="129" t="s">
        <v>46</v>
      </c>
      <c r="VXJ38" s="131" t="s">
        <v>44</v>
      </c>
      <c r="VXK38" s="133" t="s">
        <v>45</v>
      </c>
      <c r="VXL38" s="134"/>
      <c r="VXM38" s="135"/>
      <c r="VXN38" s="125">
        <v>0</v>
      </c>
      <c r="VXO38" s="125">
        <v>40</v>
      </c>
      <c r="VXP38" s="127">
        <f>SUM(VXO38)</f>
        <v>40</v>
      </c>
      <c r="VXQ38" s="129" t="s">
        <v>46</v>
      </c>
      <c r="VXR38" s="131" t="s">
        <v>44</v>
      </c>
      <c r="VXS38" s="133" t="s">
        <v>45</v>
      </c>
      <c r="VXT38" s="134"/>
      <c r="VXU38" s="135"/>
      <c r="VXV38" s="125">
        <v>0</v>
      </c>
      <c r="VXW38" s="125">
        <v>40</v>
      </c>
      <c r="VXX38" s="127">
        <f>SUM(VXW38)</f>
        <v>40</v>
      </c>
      <c r="VXY38" s="129" t="s">
        <v>46</v>
      </c>
      <c r="VXZ38" s="131" t="s">
        <v>44</v>
      </c>
      <c r="VYA38" s="133" t="s">
        <v>45</v>
      </c>
      <c r="VYB38" s="134"/>
      <c r="VYC38" s="135"/>
      <c r="VYD38" s="125">
        <v>0</v>
      </c>
      <c r="VYE38" s="125">
        <v>40</v>
      </c>
      <c r="VYF38" s="127">
        <f>SUM(VYE38)</f>
        <v>40</v>
      </c>
      <c r="VYG38" s="129" t="s">
        <v>46</v>
      </c>
      <c r="VYH38" s="131" t="s">
        <v>44</v>
      </c>
      <c r="VYI38" s="133" t="s">
        <v>45</v>
      </c>
      <c r="VYJ38" s="134"/>
      <c r="VYK38" s="135"/>
      <c r="VYL38" s="125">
        <v>0</v>
      </c>
      <c r="VYM38" s="125">
        <v>40</v>
      </c>
      <c r="VYN38" s="127">
        <f>SUM(VYM38)</f>
        <v>40</v>
      </c>
      <c r="VYO38" s="129" t="s">
        <v>46</v>
      </c>
      <c r="VYP38" s="131" t="s">
        <v>44</v>
      </c>
      <c r="VYQ38" s="133" t="s">
        <v>45</v>
      </c>
      <c r="VYR38" s="134"/>
      <c r="VYS38" s="135"/>
      <c r="VYT38" s="125">
        <v>0</v>
      </c>
      <c r="VYU38" s="125">
        <v>40</v>
      </c>
      <c r="VYV38" s="127">
        <f>SUM(VYU38)</f>
        <v>40</v>
      </c>
      <c r="VYW38" s="129" t="s">
        <v>46</v>
      </c>
      <c r="VYX38" s="131" t="s">
        <v>44</v>
      </c>
      <c r="VYY38" s="133" t="s">
        <v>45</v>
      </c>
      <c r="VYZ38" s="134"/>
      <c r="VZA38" s="135"/>
      <c r="VZB38" s="125">
        <v>0</v>
      </c>
      <c r="VZC38" s="125">
        <v>40</v>
      </c>
      <c r="VZD38" s="127">
        <f>SUM(VZC38)</f>
        <v>40</v>
      </c>
      <c r="VZE38" s="129" t="s">
        <v>46</v>
      </c>
      <c r="VZF38" s="131" t="s">
        <v>44</v>
      </c>
      <c r="VZG38" s="133" t="s">
        <v>45</v>
      </c>
      <c r="VZH38" s="134"/>
      <c r="VZI38" s="135"/>
      <c r="VZJ38" s="125">
        <v>0</v>
      </c>
      <c r="VZK38" s="125">
        <v>40</v>
      </c>
      <c r="VZL38" s="127">
        <f>SUM(VZK38)</f>
        <v>40</v>
      </c>
      <c r="VZM38" s="129" t="s">
        <v>46</v>
      </c>
      <c r="VZN38" s="131" t="s">
        <v>44</v>
      </c>
      <c r="VZO38" s="133" t="s">
        <v>45</v>
      </c>
      <c r="VZP38" s="134"/>
      <c r="VZQ38" s="135"/>
      <c r="VZR38" s="125">
        <v>0</v>
      </c>
      <c r="VZS38" s="125">
        <v>40</v>
      </c>
      <c r="VZT38" s="127">
        <f>SUM(VZS38)</f>
        <v>40</v>
      </c>
      <c r="VZU38" s="129" t="s">
        <v>46</v>
      </c>
      <c r="VZV38" s="131" t="s">
        <v>44</v>
      </c>
      <c r="VZW38" s="133" t="s">
        <v>45</v>
      </c>
      <c r="VZX38" s="134"/>
      <c r="VZY38" s="135"/>
      <c r="VZZ38" s="125">
        <v>0</v>
      </c>
      <c r="WAA38" s="125">
        <v>40</v>
      </c>
      <c r="WAB38" s="127">
        <f>SUM(WAA38)</f>
        <v>40</v>
      </c>
      <c r="WAC38" s="129" t="s">
        <v>46</v>
      </c>
      <c r="WAD38" s="131" t="s">
        <v>44</v>
      </c>
      <c r="WAE38" s="133" t="s">
        <v>45</v>
      </c>
      <c r="WAF38" s="134"/>
      <c r="WAG38" s="135"/>
      <c r="WAH38" s="125">
        <v>0</v>
      </c>
      <c r="WAI38" s="125">
        <v>40</v>
      </c>
      <c r="WAJ38" s="127">
        <f>SUM(WAI38)</f>
        <v>40</v>
      </c>
      <c r="WAK38" s="129" t="s">
        <v>46</v>
      </c>
      <c r="WAL38" s="131" t="s">
        <v>44</v>
      </c>
      <c r="WAM38" s="133" t="s">
        <v>45</v>
      </c>
      <c r="WAN38" s="134"/>
      <c r="WAO38" s="135"/>
      <c r="WAP38" s="125">
        <v>0</v>
      </c>
      <c r="WAQ38" s="125">
        <v>40</v>
      </c>
      <c r="WAR38" s="127">
        <f>SUM(WAQ38)</f>
        <v>40</v>
      </c>
      <c r="WAS38" s="129" t="s">
        <v>46</v>
      </c>
      <c r="WAT38" s="131" t="s">
        <v>44</v>
      </c>
      <c r="WAU38" s="133" t="s">
        <v>45</v>
      </c>
      <c r="WAV38" s="134"/>
      <c r="WAW38" s="135"/>
      <c r="WAX38" s="125">
        <v>0</v>
      </c>
      <c r="WAY38" s="125">
        <v>40</v>
      </c>
      <c r="WAZ38" s="127">
        <f>SUM(WAY38)</f>
        <v>40</v>
      </c>
      <c r="WBA38" s="129" t="s">
        <v>46</v>
      </c>
      <c r="WBB38" s="131" t="s">
        <v>44</v>
      </c>
      <c r="WBC38" s="133" t="s">
        <v>45</v>
      </c>
      <c r="WBD38" s="134"/>
      <c r="WBE38" s="135"/>
      <c r="WBF38" s="125">
        <v>0</v>
      </c>
      <c r="WBG38" s="125">
        <v>40</v>
      </c>
      <c r="WBH38" s="127">
        <f>SUM(WBG38)</f>
        <v>40</v>
      </c>
      <c r="WBI38" s="129" t="s">
        <v>46</v>
      </c>
      <c r="WBJ38" s="131" t="s">
        <v>44</v>
      </c>
      <c r="WBK38" s="133" t="s">
        <v>45</v>
      </c>
      <c r="WBL38" s="134"/>
      <c r="WBM38" s="135"/>
      <c r="WBN38" s="125">
        <v>0</v>
      </c>
      <c r="WBO38" s="125">
        <v>40</v>
      </c>
      <c r="WBP38" s="127">
        <f>SUM(WBO38)</f>
        <v>40</v>
      </c>
      <c r="WBQ38" s="129" t="s">
        <v>46</v>
      </c>
      <c r="WBR38" s="131" t="s">
        <v>44</v>
      </c>
      <c r="WBS38" s="133" t="s">
        <v>45</v>
      </c>
      <c r="WBT38" s="134"/>
      <c r="WBU38" s="135"/>
      <c r="WBV38" s="125">
        <v>0</v>
      </c>
      <c r="WBW38" s="125">
        <v>40</v>
      </c>
      <c r="WBX38" s="127">
        <f>SUM(WBW38)</f>
        <v>40</v>
      </c>
      <c r="WBY38" s="129" t="s">
        <v>46</v>
      </c>
      <c r="WBZ38" s="131" t="s">
        <v>44</v>
      </c>
      <c r="WCA38" s="133" t="s">
        <v>45</v>
      </c>
      <c r="WCB38" s="134"/>
      <c r="WCC38" s="135"/>
      <c r="WCD38" s="125">
        <v>0</v>
      </c>
      <c r="WCE38" s="125">
        <v>40</v>
      </c>
      <c r="WCF38" s="127">
        <f>SUM(WCE38)</f>
        <v>40</v>
      </c>
      <c r="WCG38" s="129" t="s">
        <v>46</v>
      </c>
      <c r="WCH38" s="131" t="s">
        <v>44</v>
      </c>
      <c r="WCI38" s="133" t="s">
        <v>45</v>
      </c>
      <c r="WCJ38" s="134"/>
      <c r="WCK38" s="135"/>
      <c r="WCL38" s="125">
        <v>0</v>
      </c>
      <c r="WCM38" s="125">
        <v>40</v>
      </c>
      <c r="WCN38" s="127">
        <f>SUM(WCM38)</f>
        <v>40</v>
      </c>
      <c r="WCO38" s="129" t="s">
        <v>46</v>
      </c>
      <c r="WCP38" s="131" t="s">
        <v>44</v>
      </c>
      <c r="WCQ38" s="133" t="s">
        <v>45</v>
      </c>
      <c r="WCR38" s="134"/>
      <c r="WCS38" s="135"/>
      <c r="WCT38" s="125">
        <v>0</v>
      </c>
      <c r="WCU38" s="125">
        <v>40</v>
      </c>
      <c r="WCV38" s="127">
        <f>SUM(WCU38)</f>
        <v>40</v>
      </c>
      <c r="WCW38" s="129" t="s">
        <v>46</v>
      </c>
      <c r="WCX38" s="131" t="s">
        <v>44</v>
      </c>
      <c r="WCY38" s="133" t="s">
        <v>45</v>
      </c>
      <c r="WCZ38" s="134"/>
      <c r="WDA38" s="135"/>
      <c r="WDB38" s="125">
        <v>0</v>
      </c>
      <c r="WDC38" s="125">
        <v>40</v>
      </c>
      <c r="WDD38" s="127">
        <f>SUM(WDC38)</f>
        <v>40</v>
      </c>
      <c r="WDE38" s="129" t="s">
        <v>46</v>
      </c>
      <c r="WDF38" s="131" t="s">
        <v>44</v>
      </c>
      <c r="WDG38" s="133" t="s">
        <v>45</v>
      </c>
      <c r="WDH38" s="134"/>
      <c r="WDI38" s="135"/>
      <c r="WDJ38" s="125">
        <v>0</v>
      </c>
      <c r="WDK38" s="125">
        <v>40</v>
      </c>
      <c r="WDL38" s="127">
        <f>SUM(WDK38)</f>
        <v>40</v>
      </c>
      <c r="WDM38" s="129" t="s">
        <v>46</v>
      </c>
      <c r="WDN38" s="131" t="s">
        <v>44</v>
      </c>
      <c r="WDO38" s="133" t="s">
        <v>45</v>
      </c>
      <c r="WDP38" s="134"/>
      <c r="WDQ38" s="135"/>
      <c r="WDR38" s="125">
        <v>0</v>
      </c>
      <c r="WDS38" s="125">
        <v>40</v>
      </c>
      <c r="WDT38" s="127">
        <f>SUM(WDS38)</f>
        <v>40</v>
      </c>
      <c r="WDU38" s="129" t="s">
        <v>46</v>
      </c>
      <c r="WDV38" s="131" t="s">
        <v>44</v>
      </c>
      <c r="WDW38" s="133" t="s">
        <v>45</v>
      </c>
      <c r="WDX38" s="134"/>
      <c r="WDY38" s="135"/>
      <c r="WDZ38" s="125">
        <v>0</v>
      </c>
      <c r="WEA38" s="125">
        <v>40</v>
      </c>
      <c r="WEB38" s="127">
        <f>SUM(WEA38)</f>
        <v>40</v>
      </c>
      <c r="WEC38" s="129" t="s">
        <v>46</v>
      </c>
      <c r="WED38" s="131" t="s">
        <v>44</v>
      </c>
      <c r="WEE38" s="133" t="s">
        <v>45</v>
      </c>
      <c r="WEF38" s="134"/>
      <c r="WEG38" s="135"/>
      <c r="WEH38" s="125">
        <v>0</v>
      </c>
      <c r="WEI38" s="125">
        <v>40</v>
      </c>
      <c r="WEJ38" s="127">
        <f>SUM(WEI38)</f>
        <v>40</v>
      </c>
      <c r="WEK38" s="129" t="s">
        <v>46</v>
      </c>
      <c r="WEL38" s="131" t="s">
        <v>44</v>
      </c>
      <c r="WEM38" s="133" t="s">
        <v>45</v>
      </c>
      <c r="WEN38" s="134"/>
      <c r="WEO38" s="135"/>
      <c r="WEP38" s="125">
        <v>0</v>
      </c>
      <c r="WEQ38" s="125">
        <v>40</v>
      </c>
      <c r="WER38" s="127">
        <f>SUM(WEQ38)</f>
        <v>40</v>
      </c>
      <c r="WES38" s="129" t="s">
        <v>46</v>
      </c>
      <c r="WET38" s="131" t="s">
        <v>44</v>
      </c>
      <c r="WEU38" s="133" t="s">
        <v>45</v>
      </c>
      <c r="WEV38" s="134"/>
      <c r="WEW38" s="135"/>
      <c r="WEX38" s="125">
        <v>0</v>
      </c>
      <c r="WEY38" s="125">
        <v>40</v>
      </c>
      <c r="WEZ38" s="127">
        <f>SUM(WEY38)</f>
        <v>40</v>
      </c>
      <c r="WFA38" s="129" t="s">
        <v>46</v>
      </c>
      <c r="WFB38" s="131" t="s">
        <v>44</v>
      </c>
      <c r="WFC38" s="133" t="s">
        <v>45</v>
      </c>
      <c r="WFD38" s="134"/>
      <c r="WFE38" s="135"/>
      <c r="WFF38" s="125">
        <v>0</v>
      </c>
      <c r="WFG38" s="125">
        <v>40</v>
      </c>
      <c r="WFH38" s="127">
        <f>SUM(WFG38)</f>
        <v>40</v>
      </c>
      <c r="WFI38" s="129" t="s">
        <v>46</v>
      </c>
      <c r="WFJ38" s="131" t="s">
        <v>44</v>
      </c>
      <c r="WFK38" s="133" t="s">
        <v>45</v>
      </c>
      <c r="WFL38" s="134"/>
      <c r="WFM38" s="135"/>
      <c r="WFN38" s="125">
        <v>0</v>
      </c>
      <c r="WFO38" s="125">
        <v>40</v>
      </c>
      <c r="WFP38" s="127">
        <f>SUM(WFO38)</f>
        <v>40</v>
      </c>
      <c r="WFQ38" s="129" t="s">
        <v>46</v>
      </c>
      <c r="WFR38" s="131" t="s">
        <v>44</v>
      </c>
      <c r="WFS38" s="133" t="s">
        <v>45</v>
      </c>
      <c r="WFT38" s="134"/>
      <c r="WFU38" s="135"/>
      <c r="WFV38" s="125">
        <v>0</v>
      </c>
      <c r="WFW38" s="125">
        <v>40</v>
      </c>
      <c r="WFX38" s="127">
        <f>SUM(WFW38)</f>
        <v>40</v>
      </c>
      <c r="WFY38" s="129" t="s">
        <v>46</v>
      </c>
      <c r="WFZ38" s="131" t="s">
        <v>44</v>
      </c>
      <c r="WGA38" s="133" t="s">
        <v>45</v>
      </c>
      <c r="WGB38" s="134"/>
      <c r="WGC38" s="135"/>
      <c r="WGD38" s="125">
        <v>0</v>
      </c>
      <c r="WGE38" s="125">
        <v>40</v>
      </c>
      <c r="WGF38" s="127">
        <f>SUM(WGE38)</f>
        <v>40</v>
      </c>
      <c r="WGG38" s="129" t="s">
        <v>46</v>
      </c>
      <c r="WGH38" s="131" t="s">
        <v>44</v>
      </c>
      <c r="WGI38" s="133" t="s">
        <v>45</v>
      </c>
      <c r="WGJ38" s="134"/>
      <c r="WGK38" s="135"/>
      <c r="WGL38" s="125">
        <v>0</v>
      </c>
      <c r="WGM38" s="125">
        <v>40</v>
      </c>
      <c r="WGN38" s="127">
        <f>SUM(WGM38)</f>
        <v>40</v>
      </c>
      <c r="WGO38" s="129" t="s">
        <v>46</v>
      </c>
      <c r="WGP38" s="131" t="s">
        <v>44</v>
      </c>
      <c r="WGQ38" s="133" t="s">
        <v>45</v>
      </c>
      <c r="WGR38" s="134"/>
      <c r="WGS38" s="135"/>
      <c r="WGT38" s="125">
        <v>0</v>
      </c>
      <c r="WGU38" s="125">
        <v>40</v>
      </c>
      <c r="WGV38" s="127">
        <f>SUM(WGU38)</f>
        <v>40</v>
      </c>
      <c r="WGW38" s="129" t="s">
        <v>46</v>
      </c>
      <c r="WGX38" s="131" t="s">
        <v>44</v>
      </c>
      <c r="WGY38" s="133" t="s">
        <v>45</v>
      </c>
      <c r="WGZ38" s="134"/>
      <c r="WHA38" s="135"/>
      <c r="WHB38" s="125">
        <v>0</v>
      </c>
      <c r="WHC38" s="125">
        <v>40</v>
      </c>
      <c r="WHD38" s="127">
        <f>SUM(WHC38)</f>
        <v>40</v>
      </c>
      <c r="WHE38" s="129" t="s">
        <v>46</v>
      </c>
      <c r="WHF38" s="131" t="s">
        <v>44</v>
      </c>
      <c r="WHG38" s="133" t="s">
        <v>45</v>
      </c>
      <c r="WHH38" s="134"/>
      <c r="WHI38" s="135"/>
      <c r="WHJ38" s="125">
        <v>0</v>
      </c>
      <c r="WHK38" s="125">
        <v>40</v>
      </c>
      <c r="WHL38" s="127">
        <f>SUM(WHK38)</f>
        <v>40</v>
      </c>
      <c r="WHM38" s="129" t="s">
        <v>46</v>
      </c>
      <c r="WHN38" s="131" t="s">
        <v>44</v>
      </c>
      <c r="WHO38" s="133" t="s">
        <v>45</v>
      </c>
      <c r="WHP38" s="134"/>
      <c r="WHQ38" s="135"/>
      <c r="WHR38" s="125">
        <v>0</v>
      </c>
      <c r="WHS38" s="125">
        <v>40</v>
      </c>
      <c r="WHT38" s="127">
        <f>SUM(WHS38)</f>
        <v>40</v>
      </c>
      <c r="WHU38" s="129" t="s">
        <v>46</v>
      </c>
      <c r="WHV38" s="131" t="s">
        <v>44</v>
      </c>
      <c r="WHW38" s="133" t="s">
        <v>45</v>
      </c>
      <c r="WHX38" s="134"/>
      <c r="WHY38" s="135"/>
      <c r="WHZ38" s="125">
        <v>0</v>
      </c>
      <c r="WIA38" s="125">
        <v>40</v>
      </c>
      <c r="WIB38" s="127">
        <f>SUM(WIA38)</f>
        <v>40</v>
      </c>
      <c r="WIC38" s="129" t="s">
        <v>46</v>
      </c>
      <c r="WID38" s="131" t="s">
        <v>44</v>
      </c>
      <c r="WIE38" s="133" t="s">
        <v>45</v>
      </c>
      <c r="WIF38" s="134"/>
      <c r="WIG38" s="135"/>
      <c r="WIH38" s="125">
        <v>0</v>
      </c>
      <c r="WII38" s="125">
        <v>40</v>
      </c>
      <c r="WIJ38" s="127">
        <f>SUM(WII38)</f>
        <v>40</v>
      </c>
      <c r="WIK38" s="129" t="s">
        <v>46</v>
      </c>
      <c r="WIL38" s="131" t="s">
        <v>44</v>
      </c>
      <c r="WIM38" s="133" t="s">
        <v>45</v>
      </c>
      <c r="WIN38" s="134"/>
      <c r="WIO38" s="135"/>
      <c r="WIP38" s="125">
        <v>0</v>
      </c>
      <c r="WIQ38" s="125">
        <v>40</v>
      </c>
      <c r="WIR38" s="127">
        <f>SUM(WIQ38)</f>
        <v>40</v>
      </c>
      <c r="WIS38" s="129" t="s">
        <v>46</v>
      </c>
      <c r="WIT38" s="131" t="s">
        <v>44</v>
      </c>
      <c r="WIU38" s="133" t="s">
        <v>45</v>
      </c>
      <c r="WIV38" s="134"/>
      <c r="WIW38" s="135"/>
      <c r="WIX38" s="125">
        <v>0</v>
      </c>
      <c r="WIY38" s="125">
        <v>40</v>
      </c>
      <c r="WIZ38" s="127">
        <f>SUM(WIY38)</f>
        <v>40</v>
      </c>
      <c r="WJA38" s="129" t="s">
        <v>46</v>
      </c>
      <c r="WJB38" s="131" t="s">
        <v>44</v>
      </c>
      <c r="WJC38" s="133" t="s">
        <v>45</v>
      </c>
      <c r="WJD38" s="134"/>
      <c r="WJE38" s="135"/>
      <c r="WJF38" s="125">
        <v>0</v>
      </c>
      <c r="WJG38" s="125">
        <v>40</v>
      </c>
      <c r="WJH38" s="127">
        <f>SUM(WJG38)</f>
        <v>40</v>
      </c>
      <c r="WJI38" s="129" t="s">
        <v>46</v>
      </c>
      <c r="WJJ38" s="131" t="s">
        <v>44</v>
      </c>
      <c r="WJK38" s="133" t="s">
        <v>45</v>
      </c>
      <c r="WJL38" s="134"/>
      <c r="WJM38" s="135"/>
      <c r="WJN38" s="125">
        <v>0</v>
      </c>
      <c r="WJO38" s="125">
        <v>40</v>
      </c>
      <c r="WJP38" s="127">
        <f>SUM(WJO38)</f>
        <v>40</v>
      </c>
      <c r="WJQ38" s="129" t="s">
        <v>46</v>
      </c>
      <c r="WJR38" s="131" t="s">
        <v>44</v>
      </c>
      <c r="WJS38" s="133" t="s">
        <v>45</v>
      </c>
      <c r="WJT38" s="134"/>
      <c r="WJU38" s="135"/>
      <c r="WJV38" s="125">
        <v>0</v>
      </c>
      <c r="WJW38" s="125">
        <v>40</v>
      </c>
      <c r="WJX38" s="127">
        <f>SUM(WJW38)</f>
        <v>40</v>
      </c>
      <c r="WJY38" s="129" t="s">
        <v>46</v>
      </c>
      <c r="WJZ38" s="131" t="s">
        <v>44</v>
      </c>
      <c r="WKA38" s="133" t="s">
        <v>45</v>
      </c>
      <c r="WKB38" s="134"/>
      <c r="WKC38" s="135"/>
      <c r="WKD38" s="125">
        <v>0</v>
      </c>
      <c r="WKE38" s="125">
        <v>40</v>
      </c>
      <c r="WKF38" s="127">
        <f>SUM(WKE38)</f>
        <v>40</v>
      </c>
      <c r="WKG38" s="129" t="s">
        <v>46</v>
      </c>
      <c r="WKH38" s="131" t="s">
        <v>44</v>
      </c>
      <c r="WKI38" s="133" t="s">
        <v>45</v>
      </c>
      <c r="WKJ38" s="134"/>
      <c r="WKK38" s="135"/>
      <c r="WKL38" s="125">
        <v>0</v>
      </c>
      <c r="WKM38" s="125">
        <v>40</v>
      </c>
      <c r="WKN38" s="127">
        <f>SUM(WKM38)</f>
        <v>40</v>
      </c>
      <c r="WKO38" s="129" t="s">
        <v>46</v>
      </c>
      <c r="WKP38" s="131" t="s">
        <v>44</v>
      </c>
      <c r="WKQ38" s="133" t="s">
        <v>45</v>
      </c>
      <c r="WKR38" s="134"/>
      <c r="WKS38" s="135"/>
      <c r="WKT38" s="125">
        <v>0</v>
      </c>
      <c r="WKU38" s="125">
        <v>40</v>
      </c>
      <c r="WKV38" s="127">
        <f>SUM(WKU38)</f>
        <v>40</v>
      </c>
      <c r="WKW38" s="129" t="s">
        <v>46</v>
      </c>
      <c r="WKX38" s="131" t="s">
        <v>44</v>
      </c>
      <c r="WKY38" s="133" t="s">
        <v>45</v>
      </c>
      <c r="WKZ38" s="134"/>
      <c r="WLA38" s="135"/>
      <c r="WLB38" s="125">
        <v>0</v>
      </c>
      <c r="WLC38" s="125">
        <v>40</v>
      </c>
      <c r="WLD38" s="127">
        <f>SUM(WLC38)</f>
        <v>40</v>
      </c>
      <c r="WLE38" s="129" t="s">
        <v>46</v>
      </c>
      <c r="WLF38" s="131" t="s">
        <v>44</v>
      </c>
      <c r="WLG38" s="133" t="s">
        <v>45</v>
      </c>
      <c r="WLH38" s="134"/>
      <c r="WLI38" s="135"/>
      <c r="WLJ38" s="125">
        <v>0</v>
      </c>
      <c r="WLK38" s="125">
        <v>40</v>
      </c>
      <c r="WLL38" s="127">
        <f>SUM(WLK38)</f>
        <v>40</v>
      </c>
      <c r="WLM38" s="129" t="s">
        <v>46</v>
      </c>
      <c r="WLN38" s="131" t="s">
        <v>44</v>
      </c>
      <c r="WLO38" s="133" t="s">
        <v>45</v>
      </c>
      <c r="WLP38" s="134"/>
      <c r="WLQ38" s="135"/>
      <c r="WLR38" s="125">
        <v>0</v>
      </c>
      <c r="WLS38" s="125">
        <v>40</v>
      </c>
      <c r="WLT38" s="127">
        <f>SUM(WLS38)</f>
        <v>40</v>
      </c>
      <c r="WLU38" s="129" t="s">
        <v>46</v>
      </c>
      <c r="WLV38" s="131" t="s">
        <v>44</v>
      </c>
      <c r="WLW38" s="133" t="s">
        <v>45</v>
      </c>
      <c r="WLX38" s="134"/>
      <c r="WLY38" s="135"/>
      <c r="WLZ38" s="125">
        <v>0</v>
      </c>
      <c r="WMA38" s="125">
        <v>40</v>
      </c>
      <c r="WMB38" s="127">
        <f>SUM(WMA38)</f>
        <v>40</v>
      </c>
      <c r="WMC38" s="129" t="s">
        <v>46</v>
      </c>
      <c r="WMD38" s="131" t="s">
        <v>44</v>
      </c>
      <c r="WME38" s="133" t="s">
        <v>45</v>
      </c>
      <c r="WMF38" s="134"/>
      <c r="WMG38" s="135"/>
      <c r="WMH38" s="125">
        <v>0</v>
      </c>
      <c r="WMI38" s="125">
        <v>40</v>
      </c>
      <c r="WMJ38" s="127">
        <f>SUM(WMI38)</f>
        <v>40</v>
      </c>
      <c r="WMK38" s="129" t="s">
        <v>46</v>
      </c>
      <c r="WML38" s="131" t="s">
        <v>44</v>
      </c>
      <c r="WMM38" s="133" t="s">
        <v>45</v>
      </c>
      <c r="WMN38" s="134"/>
      <c r="WMO38" s="135"/>
      <c r="WMP38" s="125">
        <v>0</v>
      </c>
      <c r="WMQ38" s="125">
        <v>40</v>
      </c>
      <c r="WMR38" s="127">
        <f>SUM(WMQ38)</f>
        <v>40</v>
      </c>
      <c r="WMS38" s="129" t="s">
        <v>46</v>
      </c>
      <c r="WMT38" s="131" t="s">
        <v>44</v>
      </c>
      <c r="WMU38" s="133" t="s">
        <v>45</v>
      </c>
      <c r="WMV38" s="134"/>
      <c r="WMW38" s="135"/>
      <c r="WMX38" s="125">
        <v>0</v>
      </c>
      <c r="WMY38" s="125">
        <v>40</v>
      </c>
      <c r="WMZ38" s="127">
        <f>SUM(WMY38)</f>
        <v>40</v>
      </c>
      <c r="WNA38" s="129" t="s">
        <v>46</v>
      </c>
      <c r="WNB38" s="131" t="s">
        <v>44</v>
      </c>
      <c r="WNC38" s="133" t="s">
        <v>45</v>
      </c>
      <c r="WND38" s="134"/>
      <c r="WNE38" s="135"/>
      <c r="WNF38" s="125">
        <v>0</v>
      </c>
      <c r="WNG38" s="125">
        <v>40</v>
      </c>
      <c r="WNH38" s="127">
        <f>SUM(WNG38)</f>
        <v>40</v>
      </c>
      <c r="WNI38" s="129" t="s">
        <v>46</v>
      </c>
      <c r="WNJ38" s="131" t="s">
        <v>44</v>
      </c>
      <c r="WNK38" s="133" t="s">
        <v>45</v>
      </c>
      <c r="WNL38" s="134"/>
      <c r="WNM38" s="135"/>
      <c r="WNN38" s="125">
        <v>0</v>
      </c>
      <c r="WNO38" s="125">
        <v>40</v>
      </c>
      <c r="WNP38" s="127">
        <f>SUM(WNO38)</f>
        <v>40</v>
      </c>
      <c r="WNQ38" s="129" t="s">
        <v>46</v>
      </c>
      <c r="WNR38" s="131" t="s">
        <v>44</v>
      </c>
      <c r="WNS38" s="133" t="s">
        <v>45</v>
      </c>
      <c r="WNT38" s="134"/>
      <c r="WNU38" s="135"/>
      <c r="WNV38" s="125">
        <v>0</v>
      </c>
      <c r="WNW38" s="125">
        <v>40</v>
      </c>
      <c r="WNX38" s="127">
        <f>SUM(WNW38)</f>
        <v>40</v>
      </c>
      <c r="WNY38" s="129" t="s">
        <v>46</v>
      </c>
      <c r="WNZ38" s="131" t="s">
        <v>44</v>
      </c>
      <c r="WOA38" s="133" t="s">
        <v>45</v>
      </c>
      <c r="WOB38" s="134"/>
      <c r="WOC38" s="135"/>
      <c r="WOD38" s="125">
        <v>0</v>
      </c>
      <c r="WOE38" s="125">
        <v>40</v>
      </c>
      <c r="WOF38" s="127">
        <f>SUM(WOE38)</f>
        <v>40</v>
      </c>
      <c r="WOG38" s="129" t="s">
        <v>46</v>
      </c>
      <c r="WOH38" s="131" t="s">
        <v>44</v>
      </c>
      <c r="WOI38" s="133" t="s">
        <v>45</v>
      </c>
      <c r="WOJ38" s="134"/>
      <c r="WOK38" s="135"/>
      <c r="WOL38" s="125">
        <v>0</v>
      </c>
      <c r="WOM38" s="125">
        <v>40</v>
      </c>
      <c r="WON38" s="127">
        <f>SUM(WOM38)</f>
        <v>40</v>
      </c>
      <c r="WOO38" s="129" t="s">
        <v>46</v>
      </c>
      <c r="WOP38" s="131" t="s">
        <v>44</v>
      </c>
      <c r="WOQ38" s="133" t="s">
        <v>45</v>
      </c>
      <c r="WOR38" s="134"/>
      <c r="WOS38" s="135"/>
      <c r="WOT38" s="125">
        <v>0</v>
      </c>
      <c r="WOU38" s="125">
        <v>40</v>
      </c>
      <c r="WOV38" s="127">
        <f>SUM(WOU38)</f>
        <v>40</v>
      </c>
      <c r="WOW38" s="129" t="s">
        <v>46</v>
      </c>
      <c r="WOX38" s="131" t="s">
        <v>44</v>
      </c>
      <c r="WOY38" s="133" t="s">
        <v>45</v>
      </c>
      <c r="WOZ38" s="134"/>
      <c r="WPA38" s="135"/>
      <c r="WPB38" s="125">
        <v>0</v>
      </c>
      <c r="WPC38" s="125">
        <v>40</v>
      </c>
      <c r="WPD38" s="127">
        <f>SUM(WPC38)</f>
        <v>40</v>
      </c>
      <c r="WPE38" s="129" t="s">
        <v>46</v>
      </c>
      <c r="WPF38" s="131" t="s">
        <v>44</v>
      </c>
      <c r="WPG38" s="133" t="s">
        <v>45</v>
      </c>
      <c r="WPH38" s="134"/>
      <c r="WPI38" s="135"/>
      <c r="WPJ38" s="125">
        <v>0</v>
      </c>
      <c r="WPK38" s="125">
        <v>40</v>
      </c>
      <c r="WPL38" s="127">
        <f>SUM(WPK38)</f>
        <v>40</v>
      </c>
      <c r="WPM38" s="129" t="s">
        <v>46</v>
      </c>
      <c r="WPN38" s="131" t="s">
        <v>44</v>
      </c>
      <c r="WPO38" s="133" t="s">
        <v>45</v>
      </c>
      <c r="WPP38" s="134"/>
      <c r="WPQ38" s="135"/>
      <c r="WPR38" s="125">
        <v>0</v>
      </c>
      <c r="WPS38" s="125">
        <v>40</v>
      </c>
      <c r="WPT38" s="127">
        <f>SUM(WPS38)</f>
        <v>40</v>
      </c>
      <c r="WPU38" s="129" t="s">
        <v>46</v>
      </c>
      <c r="WPV38" s="131" t="s">
        <v>44</v>
      </c>
      <c r="WPW38" s="133" t="s">
        <v>45</v>
      </c>
      <c r="WPX38" s="134"/>
      <c r="WPY38" s="135"/>
      <c r="WPZ38" s="125">
        <v>0</v>
      </c>
      <c r="WQA38" s="125">
        <v>40</v>
      </c>
      <c r="WQB38" s="127">
        <f>SUM(WQA38)</f>
        <v>40</v>
      </c>
      <c r="WQC38" s="129" t="s">
        <v>46</v>
      </c>
      <c r="WQD38" s="131" t="s">
        <v>44</v>
      </c>
      <c r="WQE38" s="133" t="s">
        <v>45</v>
      </c>
      <c r="WQF38" s="134"/>
      <c r="WQG38" s="135"/>
      <c r="WQH38" s="125">
        <v>0</v>
      </c>
      <c r="WQI38" s="125">
        <v>40</v>
      </c>
      <c r="WQJ38" s="127">
        <f>SUM(WQI38)</f>
        <v>40</v>
      </c>
      <c r="WQK38" s="129" t="s">
        <v>46</v>
      </c>
      <c r="WQL38" s="131" t="s">
        <v>44</v>
      </c>
      <c r="WQM38" s="133" t="s">
        <v>45</v>
      </c>
      <c r="WQN38" s="134"/>
      <c r="WQO38" s="135"/>
      <c r="WQP38" s="125">
        <v>0</v>
      </c>
      <c r="WQQ38" s="125">
        <v>40</v>
      </c>
      <c r="WQR38" s="127">
        <f>SUM(WQQ38)</f>
        <v>40</v>
      </c>
      <c r="WQS38" s="129" t="s">
        <v>46</v>
      </c>
      <c r="WQT38" s="131" t="s">
        <v>44</v>
      </c>
      <c r="WQU38" s="133" t="s">
        <v>45</v>
      </c>
      <c r="WQV38" s="134"/>
      <c r="WQW38" s="135"/>
      <c r="WQX38" s="125">
        <v>0</v>
      </c>
      <c r="WQY38" s="125">
        <v>40</v>
      </c>
      <c r="WQZ38" s="127">
        <f>SUM(WQY38)</f>
        <v>40</v>
      </c>
      <c r="WRA38" s="129" t="s">
        <v>46</v>
      </c>
      <c r="WRB38" s="131" t="s">
        <v>44</v>
      </c>
      <c r="WRC38" s="133" t="s">
        <v>45</v>
      </c>
      <c r="WRD38" s="134"/>
      <c r="WRE38" s="135"/>
      <c r="WRF38" s="125">
        <v>0</v>
      </c>
      <c r="WRG38" s="125">
        <v>40</v>
      </c>
      <c r="WRH38" s="127">
        <f>SUM(WRG38)</f>
        <v>40</v>
      </c>
      <c r="WRI38" s="129" t="s">
        <v>46</v>
      </c>
      <c r="WRJ38" s="131" t="s">
        <v>44</v>
      </c>
      <c r="WRK38" s="133" t="s">
        <v>45</v>
      </c>
      <c r="WRL38" s="134"/>
      <c r="WRM38" s="135"/>
      <c r="WRN38" s="125">
        <v>0</v>
      </c>
      <c r="WRO38" s="125">
        <v>40</v>
      </c>
      <c r="WRP38" s="127">
        <f>SUM(WRO38)</f>
        <v>40</v>
      </c>
      <c r="WRQ38" s="129" t="s">
        <v>46</v>
      </c>
      <c r="WRR38" s="131" t="s">
        <v>44</v>
      </c>
      <c r="WRS38" s="133" t="s">
        <v>45</v>
      </c>
      <c r="WRT38" s="134"/>
      <c r="WRU38" s="135"/>
      <c r="WRV38" s="125">
        <v>0</v>
      </c>
      <c r="WRW38" s="125">
        <v>40</v>
      </c>
      <c r="WRX38" s="127">
        <f>SUM(WRW38)</f>
        <v>40</v>
      </c>
      <c r="WRY38" s="129" t="s">
        <v>46</v>
      </c>
      <c r="WRZ38" s="131" t="s">
        <v>44</v>
      </c>
      <c r="WSA38" s="133" t="s">
        <v>45</v>
      </c>
      <c r="WSB38" s="134"/>
      <c r="WSC38" s="135"/>
      <c r="WSD38" s="125">
        <v>0</v>
      </c>
      <c r="WSE38" s="125">
        <v>40</v>
      </c>
      <c r="WSF38" s="127">
        <f>SUM(WSE38)</f>
        <v>40</v>
      </c>
      <c r="WSG38" s="129" t="s">
        <v>46</v>
      </c>
      <c r="WSH38" s="131" t="s">
        <v>44</v>
      </c>
      <c r="WSI38" s="133" t="s">
        <v>45</v>
      </c>
      <c r="WSJ38" s="134"/>
      <c r="WSK38" s="135"/>
      <c r="WSL38" s="125">
        <v>0</v>
      </c>
      <c r="WSM38" s="125">
        <v>40</v>
      </c>
      <c r="WSN38" s="127">
        <f>SUM(WSM38)</f>
        <v>40</v>
      </c>
      <c r="WSO38" s="129" t="s">
        <v>46</v>
      </c>
      <c r="WSP38" s="131" t="s">
        <v>44</v>
      </c>
      <c r="WSQ38" s="133" t="s">
        <v>45</v>
      </c>
      <c r="WSR38" s="134"/>
      <c r="WSS38" s="135"/>
      <c r="WST38" s="125">
        <v>0</v>
      </c>
      <c r="WSU38" s="125">
        <v>40</v>
      </c>
      <c r="WSV38" s="127">
        <f>SUM(WSU38)</f>
        <v>40</v>
      </c>
      <c r="WSW38" s="129" t="s">
        <v>46</v>
      </c>
      <c r="WSX38" s="131" t="s">
        <v>44</v>
      </c>
      <c r="WSY38" s="133" t="s">
        <v>45</v>
      </c>
      <c r="WSZ38" s="134"/>
      <c r="WTA38" s="135"/>
      <c r="WTB38" s="125">
        <v>0</v>
      </c>
      <c r="WTC38" s="125">
        <v>40</v>
      </c>
      <c r="WTD38" s="127">
        <f>SUM(WTC38)</f>
        <v>40</v>
      </c>
      <c r="WTE38" s="129" t="s">
        <v>46</v>
      </c>
      <c r="WTF38" s="131" t="s">
        <v>44</v>
      </c>
      <c r="WTG38" s="133" t="s">
        <v>45</v>
      </c>
      <c r="WTH38" s="134"/>
      <c r="WTI38" s="135"/>
      <c r="WTJ38" s="125">
        <v>0</v>
      </c>
      <c r="WTK38" s="125">
        <v>40</v>
      </c>
      <c r="WTL38" s="127">
        <f>SUM(WTK38)</f>
        <v>40</v>
      </c>
      <c r="WTM38" s="129" t="s">
        <v>46</v>
      </c>
      <c r="WTN38" s="131" t="s">
        <v>44</v>
      </c>
      <c r="WTO38" s="133" t="s">
        <v>45</v>
      </c>
      <c r="WTP38" s="134"/>
      <c r="WTQ38" s="135"/>
      <c r="WTR38" s="125">
        <v>0</v>
      </c>
      <c r="WTS38" s="125">
        <v>40</v>
      </c>
      <c r="WTT38" s="127">
        <f>SUM(WTS38)</f>
        <v>40</v>
      </c>
      <c r="WTU38" s="129" t="s">
        <v>46</v>
      </c>
      <c r="WTV38" s="131" t="s">
        <v>44</v>
      </c>
      <c r="WTW38" s="133" t="s">
        <v>45</v>
      </c>
      <c r="WTX38" s="134"/>
      <c r="WTY38" s="135"/>
      <c r="WTZ38" s="125">
        <v>0</v>
      </c>
      <c r="WUA38" s="125">
        <v>40</v>
      </c>
      <c r="WUB38" s="127">
        <f>SUM(WUA38)</f>
        <v>40</v>
      </c>
      <c r="WUC38" s="129" t="s">
        <v>46</v>
      </c>
      <c r="WUD38" s="131" t="s">
        <v>44</v>
      </c>
      <c r="WUE38" s="133" t="s">
        <v>45</v>
      </c>
      <c r="WUF38" s="134"/>
      <c r="WUG38" s="135"/>
      <c r="WUH38" s="125">
        <v>0</v>
      </c>
      <c r="WUI38" s="125">
        <v>40</v>
      </c>
      <c r="WUJ38" s="127">
        <f>SUM(WUI38)</f>
        <v>40</v>
      </c>
      <c r="WUK38" s="129" t="s">
        <v>46</v>
      </c>
      <c r="WUL38" s="131" t="s">
        <v>44</v>
      </c>
      <c r="WUM38" s="133" t="s">
        <v>45</v>
      </c>
      <c r="WUN38" s="134"/>
      <c r="WUO38" s="135"/>
      <c r="WUP38" s="125">
        <v>0</v>
      </c>
      <c r="WUQ38" s="125">
        <v>40</v>
      </c>
      <c r="WUR38" s="127">
        <f>SUM(WUQ38)</f>
        <v>40</v>
      </c>
      <c r="WUS38" s="129" t="s">
        <v>46</v>
      </c>
      <c r="WUT38" s="131" t="s">
        <v>44</v>
      </c>
      <c r="WUU38" s="133" t="s">
        <v>45</v>
      </c>
      <c r="WUV38" s="134"/>
      <c r="WUW38" s="135"/>
      <c r="WUX38" s="125">
        <v>0</v>
      </c>
      <c r="WUY38" s="125">
        <v>40</v>
      </c>
      <c r="WUZ38" s="127">
        <f>SUM(WUY38)</f>
        <v>40</v>
      </c>
      <c r="WVA38" s="129" t="s">
        <v>46</v>
      </c>
      <c r="WVB38" s="131" t="s">
        <v>44</v>
      </c>
      <c r="WVC38" s="133" t="s">
        <v>45</v>
      </c>
      <c r="WVD38" s="134"/>
      <c r="WVE38" s="135"/>
      <c r="WVF38" s="125">
        <v>0</v>
      </c>
      <c r="WVG38" s="125">
        <v>40</v>
      </c>
      <c r="WVH38" s="127">
        <f>SUM(WVG38)</f>
        <v>40</v>
      </c>
      <c r="WVI38" s="129" t="s">
        <v>46</v>
      </c>
      <c r="WVJ38" s="131" t="s">
        <v>44</v>
      </c>
      <c r="WVK38" s="133" t="s">
        <v>45</v>
      </c>
      <c r="WVL38" s="134"/>
      <c r="WVM38" s="135"/>
      <c r="WVN38" s="125">
        <v>0</v>
      </c>
      <c r="WVO38" s="125">
        <v>40</v>
      </c>
      <c r="WVP38" s="127">
        <f>SUM(WVO38)</f>
        <v>40</v>
      </c>
      <c r="WVQ38" s="129" t="s">
        <v>46</v>
      </c>
      <c r="WVR38" s="131" t="s">
        <v>44</v>
      </c>
      <c r="WVS38" s="133" t="s">
        <v>45</v>
      </c>
      <c r="WVT38" s="134"/>
      <c r="WVU38" s="135"/>
      <c r="WVV38" s="125">
        <v>0</v>
      </c>
      <c r="WVW38" s="125">
        <v>40</v>
      </c>
      <c r="WVX38" s="127">
        <f>SUM(WVW38)</f>
        <v>40</v>
      </c>
      <c r="WVY38" s="129" t="s">
        <v>46</v>
      </c>
      <c r="WVZ38" s="131" t="s">
        <v>44</v>
      </c>
      <c r="WWA38" s="133" t="s">
        <v>45</v>
      </c>
      <c r="WWB38" s="134"/>
      <c r="WWC38" s="135"/>
      <c r="WWD38" s="125">
        <v>0</v>
      </c>
      <c r="WWE38" s="125">
        <v>40</v>
      </c>
      <c r="WWF38" s="127">
        <f>SUM(WWE38)</f>
        <v>40</v>
      </c>
      <c r="WWG38" s="129" t="s">
        <v>46</v>
      </c>
      <c r="WWH38" s="131" t="s">
        <v>44</v>
      </c>
      <c r="WWI38" s="133" t="s">
        <v>45</v>
      </c>
      <c r="WWJ38" s="134"/>
      <c r="WWK38" s="135"/>
      <c r="WWL38" s="125">
        <v>0</v>
      </c>
      <c r="WWM38" s="125">
        <v>40</v>
      </c>
      <c r="WWN38" s="127">
        <f>SUM(WWM38)</f>
        <v>40</v>
      </c>
      <c r="WWO38" s="129" t="s">
        <v>46</v>
      </c>
      <c r="WWP38" s="131" t="s">
        <v>44</v>
      </c>
      <c r="WWQ38" s="133" t="s">
        <v>45</v>
      </c>
      <c r="WWR38" s="134"/>
      <c r="WWS38" s="135"/>
      <c r="WWT38" s="125">
        <v>0</v>
      </c>
      <c r="WWU38" s="125">
        <v>40</v>
      </c>
      <c r="WWV38" s="127">
        <f>SUM(WWU38)</f>
        <v>40</v>
      </c>
      <c r="WWW38" s="129" t="s">
        <v>46</v>
      </c>
      <c r="WWX38" s="131" t="s">
        <v>44</v>
      </c>
      <c r="WWY38" s="133" t="s">
        <v>45</v>
      </c>
      <c r="WWZ38" s="134"/>
      <c r="WXA38" s="135"/>
      <c r="WXB38" s="125">
        <v>0</v>
      </c>
      <c r="WXC38" s="125">
        <v>40</v>
      </c>
      <c r="WXD38" s="127">
        <f>SUM(WXC38)</f>
        <v>40</v>
      </c>
      <c r="WXE38" s="129" t="s">
        <v>46</v>
      </c>
      <c r="WXF38" s="131" t="s">
        <v>44</v>
      </c>
      <c r="WXG38" s="133" t="s">
        <v>45</v>
      </c>
      <c r="WXH38" s="134"/>
      <c r="WXI38" s="135"/>
      <c r="WXJ38" s="125">
        <v>0</v>
      </c>
      <c r="WXK38" s="125">
        <v>40</v>
      </c>
      <c r="WXL38" s="127">
        <f>SUM(WXK38)</f>
        <v>40</v>
      </c>
      <c r="WXM38" s="129" t="s">
        <v>46</v>
      </c>
      <c r="WXN38" s="131" t="s">
        <v>44</v>
      </c>
      <c r="WXO38" s="133" t="s">
        <v>45</v>
      </c>
      <c r="WXP38" s="134"/>
      <c r="WXQ38" s="135"/>
      <c r="WXR38" s="125">
        <v>0</v>
      </c>
      <c r="WXS38" s="125">
        <v>40</v>
      </c>
      <c r="WXT38" s="127">
        <f>SUM(WXS38)</f>
        <v>40</v>
      </c>
      <c r="WXU38" s="129" t="s">
        <v>46</v>
      </c>
      <c r="WXV38" s="131" t="s">
        <v>44</v>
      </c>
      <c r="WXW38" s="133" t="s">
        <v>45</v>
      </c>
      <c r="WXX38" s="134"/>
      <c r="WXY38" s="135"/>
      <c r="WXZ38" s="125">
        <v>0</v>
      </c>
      <c r="WYA38" s="125">
        <v>40</v>
      </c>
      <c r="WYB38" s="127">
        <f>SUM(WYA38)</f>
        <v>40</v>
      </c>
      <c r="WYC38" s="129" t="s">
        <v>46</v>
      </c>
      <c r="WYD38" s="131" t="s">
        <v>44</v>
      </c>
      <c r="WYE38" s="133" t="s">
        <v>45</v>
      </c>
      <c r="WYF38" s="134"/>
      <c r="WYG38" s="135"/>
      <c r="WYH38" s="125">
        <v>0</v>
      </c>
      <c r="WYI38" s="125">
        <v>40</v>
      </c>
      <c r="WYJ38" s="127">
        <f>SUM(WYI38)</f>
        <v>40</v>
      </c>
      <c r="WYK38" s="129" t="s">
        <v>46</v>
      </c>
      <c r="WYL38" s="131" t="s">
        <v>44</v>
      </c>
      <c r="WYM38" s="133" t="s">
        <v>45</v>
      </c>
      <c r="WYN38" s="134"/>
      <c r="WYO38" s="135"/>
      <c r="WYP38" s="125">
        <v>0</v>
      </c>
      <c r="WYQ38" s="125">
        <v>40</v>
      </c>
      <c r="WYR38" s="127">
        <f>SUM(WYQ38)</f>
        <v>40</v>
      </c>
      <c r="WYS38" s="129" t="s">
        <v>46</v>
      </c>
      <c r="WYT38" s="131" t="s">
        <v>44</v>
      </c>
      <c r="WYU38" s="133" t="s">
        <v>45</v>
      </c>
      <c r="WYV38" s="134"/>
      <c r="WYW38" s="135"/>
      <c r="WYX38" s="125">
        <v>0</v>
      </c>
      <c r="WYY38" s="125">
        <v>40</v>
      </c>
      <c r="WYZ38" s="127">
        <f>SUM(WYY38)</f>
        <v>40</v>
      </c>
      <c r="WZA38" s="129" t="s">
        <v>46</v>
      </c>
      <c r="WZB38" s="131" t="s">
        <v>44</v>
      </c>
      <c r="WZC38" s="133" t="s">
        <v>45</v>
      </c>
      <c r="WZD38" s="134"/>
      <c r="WZE38" s="135"/>
      <c r="WZF38" s="125">
        <v>0</v>
      </c>
      <c r="WZG38" s="125">
        <v>40</v>
      </c>
      <c r="WZH38" s="127">
        <f>SUM(WZG38)</f>
        <v>40</v>
      </c>
      <c r="WZI38" s="129" t="s">
        <v>46</v>
      </c>
      <c r="WZJ38" s="131" t="s">
        <v>44</v>
      </c>
      <c r="WZK38" s="133" t="s">
        <v>45</v>
      </c>
      <c r="WZL38" s="134"/>
      <c r="WZM38" s="135"/>
      <c r="WZN38" s="125">
        <v>0</v>
      </c>
      <c r="WZO38" s="125">
        <v>40</v>
      </c>
      <c r="WZP38" s="127">
        <f>SUM(WZO38)</f>
        <v>40</v>
      </c>
      <c r="WZQ38" s="129" t="s">
        <v>46</v>
      </c>
      <c r="WZR38" s="131" t="s">
        <v>44</v>
      </c>
      <c r="WZS38" s="133" t="s">
        <v>45</v>
      </c>
      <c r="WZT38" s="134"/>
      <c r="WZU38" s="135"/>
      <c r="WZV38" s="125">
        <v>0</v>
      </c>
      <c r="WZW38" s="125">
        <v>40</v>
      </c>
      <c r="WZX38" s="127">
        <f>SUM(WZW38)</f>
        <v>40</v>
      </c>
      <c r="WZY38" s="129" t="s">
        <v>46</v>
      </c>
      <c r="WZZ38" s="131" t="s">
        <v>44</v>
      </c>
      <c r="XAA38" s="133" t="s">
        <v>45</v>
      </c>
      <c r="XAB38" s="134"/>
      <c r="XAC38" s="135"/>
      <c r="XAD38" s="125">
        <v>0</v>
      </c>
      <c r="XAE38" s="125">
        <v>40</v>
      </c>
      <c r="XAF38" s="127">
        <f>SUM(XAE38)</f>
        <v>40</v>
      </c>
      <c r="XAG38" s="129" t="s">
        <v>46</v>
      </c>
      <c r="XAH38" s="131" t="s">
        <v>44</v>
      </c>
      <c r="XAI38" s="133" t="s">
        <v>45</v>
      </c>
      <c r="XAJ38" s="134"/>
      <c r="XAK38" s="135"/>
      <c r="XAL38" s="125">
        <v>0</v>
      </c>
      <c r="XAM38" s="125">
        <v>40</v>
      </c>
      <c r="XAN38" s="127">
        <f>SUM(XAM38)</f>
        <v>40</v>
      </c>
      <c r="XAO38" s="129" t="s">
        <v>46</v>
      </c>
      <c r="XAP38" s="131" t="s">
        <v>44</v>
      </c>
      <c r="XAQ38" s="133" t="s">
        <v>45</v>
      </c>
      <c r="XAR38" s="134"/>
      <c r="XAS38" s="135"/>
      <c r="XAT38" s="125">
        <v>0</v>
      </c>
      <c r="XAU38" s="125">
        <v>40</v>
      </c>
      <c r="XAV38" s="127">
        <f>SUM(XAU38)</f>
        <v>40</v>
      </c>
      <c r="XAW38" s="129" t="s">
        <v>46</v>
      </c>
      <c r="XAX38" s="131" t="s">
        <v>44</v>
      </c>
      <c r="XAY38" s="133" t="s">
        <v>45</v>
      </c>
      <c r="XAZ38" s="134"/>
      <c r="XBA38" s="135"/>
      <c r="XBB38" s="125">
        <v>0</v>
      </c>
      <c r="XBC38" s="125">
        <v>40</v>
      </c>
      <c r="XBD38" s="127">
        <f>SUM(XBC38)</f>
        <v>40</v>
      </c>
      <c r="XBE38" s="129" t="s">
        <v>46</v>
      </c>
      <c r="XBF38" s="131" t="s">
        <v>44</v>
      </c>
      <c r="XBG38" s="133" t="s">
        <v>45</v>
      </c>
      <c r="XBH38" s="134"/>
      <c r="XBI38" s="135"/>
      <c r="XBJ38" s="125">
        <v>0</v>
      </c>
      <c r="XBK38" s="125">
        <v>40</v>
      </c>
      <c r="XBL38" s="127">
        <f>SUM(XBK38)</f>
        <v>40</v>
      </c>
      <c r="XBM38" s="129" t="s">
        <v>46</v>
      </c>
      <c r="XBN38" s="131" t="s">
        <v>44</v>
      </c>
      <c r="XBO38" s="133" t="s">
        <v>45</v>
      </c>
      <c r="XBP38" s="134"/>
      <c r="XBQ38" s="135"/>
      <c r="XBR38" s="125">
        <v>0</v>
      </c>
      <c r="XBS38" s="125">
        <v>40</v>
      </c>
      <c r="XBT38" s="127">
        <f>SUM(XBS38)</f>
        <v>40</v>
      </c>
      <c r="XBU38" s="129" t="s">
        <v>46</v>
      </c>
      <c r="XBV38" s="131" t="s">
        <v>44</v>
      </c>
      <c r="XBW38" s="133" t="s">
        <v>45</v>
      </c>
      <c r="XBX38" s="134"/>
      <c r="XBY38" s="135"/>
      <c r="XBZ38" s="125">
        <v>0</v>
      </c>
      <c r="XCA38" s="125">
        <v>40</v>
      </c>
      <c r="XCB38" s="127">
        <f>SUM(XCA38)</f>
        <v>40</v>
      </c>
      <c r="XCC38" s="129" t="s">
        <v>46</v>
      </c>
      <c r="XCD38" s="131" t="s">
        <v>44</v>
      </c>
      <c r="XCE38" s="133" t="s">
        <v>45</v>
      </c>
      <c r="XCF38" s="134"/>
      <c r="XCG38" s="135"/>
      <c r="XCH38" s="125">
        <v>0</v>
      </c>
      <c r="XCI38" s="125">
        <v>40</v>
      </c>
      <c r="XCJ38" s="127">
        <f>SUM(XCI38)</f>
        <v>40</v>
      </c>
      <c r="XCK38" s="129" t="s">
        <v>46</v>
      </c>
      <c r="XCL38" s="131" t="s">
        <v>44</v>
      </c>
      <c r="XCM38" s="133" t="s">
        <v>45</v>
      </c>
      <c r="XCN38" s="134"/>
      <c r="XCO38" s="135"/>
      <c r="XCP38" s="125">
        <v>0</v>
      </c>
      <c r="XCQ38" s="125">
        <v>40</v>
      </c>
      <c r="XCR38" s="127">
        <f>SUM(XCQ38)</f>
        <v>40</v>
      </c>
      <c r="XCS38" s="129" t="s">
        <v>46</v>
      </c>
      <c r="XCT38" s="131" t="s">
        <v>44</v>
      </c>
      <c r="XCU38" s="133" t="s">
        <v>45</v>
      </c>
      <c r="XCV38" s="134"/>
      <c r="XCW38" s="135"/>
      <c r="XCX38" s="125">
        <v>0</v>
      </c>
      <c r="XCY38" s="125">
        <v>40</v>
      </c>
      <c r="XCZ38" s="127">
        <f>SUM(XCY38)</f>
        <v>40</v>
      </c>
      <c r="XDA38" s="129" t="s">
        <v>46</v>
      </c>
      <c r="XDB38" s="131" t="s">
        <v>44</v>
      </c>
      <c r="XDC38" s="133" t="s">
        <v>45</v>
      </c>
      <c r="XDD38" s="134"/>
      <c r="XDE38" s="135"/>
      <c r="XDF38" s="125">
        <v>0</v>
      </c>
      <c r="XDG38" s="125">
        <v>40</v>
      </c>
      <c r="XDH38" s="127">
        <f>SUM(XDG38)</f>
        <v>40</v>
      </c>
      <c r="XDI38" s="129" t="s">
        <v>46</v>
      </c>
      <c r="XDJ38" s="131" t="s">
        <v>44</v>
      </c>
      <c r="XDK38" s="133" t="s">
        <v>45</v>
      </c>
      <c r="XDL38" s="134"/>
      <c r="XDM38" s="135"/>
      <c r="XDN38" s="125">
        <v>0</v>
      </c>
      <c r="XDO38" s="125">
        <v>40</v>
      </c>
      <c r="XDP38" s="127">
        <f>SUM(XDO38)</f>
        <v>40</v>
      </c>
      <c r="XDQ38" s="129" t="s">
        <v>46</v>
      </c>
      <c r="XDR38" s="131" t="s">
        <v>44</v>
      </c>
      <c r="XDS38" s="133" t="s">
        <v>45</v>
      </c>
      <c r="XDT38" s="134"/>
      <c r="XDU38" s="135"/>
      <c r="XDV38" s="125">
        <v>0</v>
      </c>
      <c r="XDW38" s="125">
        <v>40</v>
      </c>
      <c r="XDX38" s="127">
        <f>SUM(XDW38)</f>
        <v>40</v>
      </c>
      <c r="XDY38" s="129" t="s">
        <v>46</v>
      </c>
      <c r="XDZ38" s="131" t="s">
        <v>44</v>
      </c>
      <c r="XEA38" s="133" t="s">
        <v>45</v>
      </c>
      <c r="XEB38" s="134"/>
      <c r="XEC38" s="135"/>
      <c r="XED38" s="125">
        <v>0</v>
      </c>
      <c r="XEE38" s="125">
        <v>40</v>
      </c>
      <c r="XEF38" s="127">
        <f>SUM(XEE38)</f>
        <v>40</v>
      </c>
      <c r="XEG38" s="129" t="s">
        <v>46</v>
      </c>
      <c r="XEH38" s="131" t="s">
        <v>44</v>
      </c>
      <c r="XEI38" s="133" t="s">
        <v>45</v>
      </c>
      <c r="XEJ38" s="134"/>
      <c r="XEK38" s="135"/>
      <c r="XEL38" s="125">
        <v>0</v>
      </c>
      <c r="XEM38" s="125">
        <v>40</v>
      </c>
      <c r="XEN38" s="127">
        <f>SUM(XEM38)</f>
        <v>40</v>
      </c>
      <c r="XEO38" s="129" t="s">
        <v>46</v>
      </c>
      <c r="XEP38" s="131" t="s">
        <v>44</v>
      </c>
      <c r="XEQ38" s="133" t="s">
        <v>45</v>
      </c>
      <c r="XER38" s="134"/>
      <c r="XES38" s="135"/>
      <c r="XET38" s="125">
        <v>0</v>
      </c>
      <c r="XEU38" s="125">
        <v>40</v>
      </c>
      <c r="XEV38" s="127">
        <f>SUM(XEU38)</f>
        <v>40</v>
      </c>
      <c r="XEW38" s="129" t="s">
        <v>46</v>
      </c>
      <c r="XEX38" s="131" t="s">
        <v>44</v>
      </c>
      <c r="XEY38" s="133" t="s">
        <v>45</v>
      </c>
      <c r="XEZ38" s="134"/>
      <c r="XFA38" s="135"/>
      <c r="XFB38" s="125">
        <v>0</v>
      </c>
      <c r="XFC38" s="125">
        <v>40</v>
      </c>
      <c r="XFD38" s="127">
        <f>SUM(XFC38)</f>
        <v>40</v>
      </c>
    </row>
    <row r="39" spans="1:16384" customFormat="1" ht="46.5" customHeight="1">
      <c r="A39" s="137"/>
      <c r="B39" s="139"/>
      <c r="C39" s="123" t="s">
        <v>47</v>
      </c>
      <c r="D39" s="92"/>
      <c r="E39" s="93"/>
      <c r="F39" s="80"/>
      <c r="G39" s="80">
        <v>16</v>
      </c>
      <c r="H39" s="81">
        <f t="shared" si="6"/>
        <v>16</v>
      </c>
      <c r="I39" s="116"/>
      <c r="J39" s="92"/>
      <c r="K39" s="117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HJ39" s="132"/>
      <c r="HK39" s="133" t="s">
        <v>48</v>
      </c>
      <c r="HL39" s="134"/>
      <c r="HM39" s="135"/>
      <c r="HN39" s="126"/>
      <c r="HO39" s="126"/>
      <c r="HP39" s="128"/>
      <c r="HQ39" s="130"/>
      <c r="HR39" s="132"/>
      <c r="HS39" s="133" t="s">
        <v>48</v>
      </c>
      <c r="HT39" s="134"/>
      <c r="HU39" s="135"/>
      <c r="HV39" s="126"/>
      <c r="HW39" s="126"/>
      <c r="HX39" s="128"/>
      <c r="HY39" s="130"/>
      <c r="HZ39" s="132"/>
      <c r="IA39" s="133" t="s">
        <v>48</v>
      </c>
      <c r="IB39" s="134"/>
      <c r="IC39" s="135"/>
      <c r="ID39" s="126"/>
      <c r="IE39" s="126"/>
      <c r="IF39" s="128"/>
      <c r="IG39" s="130"/>
      <c r="IH39" s="132"/>
      <c r="II39" s="133" t="s">
        <v>48</v>
      </c>
      <c r="IJ39" s="134"/>
      <c r="IK39" s="135"/>
      <c r="IL39" s="126"/>
      <c r="IM39" s="126"/>
      <c r="IN39" s="128"/>
      <c r="IO39" s="130"/>
      <c r="IP39" s="132"/>
      <c r="IQ39" s="133" t="s">
        <v>48</v>
      </c>
      <c r="IR39" s="134"/>
      <c r="IS39" s="135"/>
      <c r="IT39" s="126"/>
      <c r="IU39" s="126"/>
      <c r="IV39" s="128"/>
      <c r="IW39" s="130"/>
      <c r="IX39" s="132"/>
      <c r="IY39" s="133" t="s">
        <v>48</v>
      </c>
      <c r="IZ39" s="134"/>
      <c r="JA39" s="135"/>
      <c r="JB39" s="126"/>
      <c r="JC39" s="126"/>
      <c r="JD39" s="128"/>
      <c r="JE39" s="130"/>
      <c r="JF39" s="132"/>
      <c r="JG39" s="133" t="s">
        <v>48</v>
      </c>
      <c r="JH39" s="134"/>
      <c r="JI39" s="135"/>
      <c r="JJ39" s="126"/>
      <c r="JK39" s="126"/>
      <c r="JL39" s="128"/>
      <c r="JM39" s="130"/>
      <c r="JN39" s="132"/>
      <c r="JO39" s="133" t="s">
        <v>48</v>
      </c>
      <c r="JP39" s="134"/>
      <c r="JQ39" s="135"/>
      <c r="JR39" s="126"/>
      <c r="JS39" s="126"/>
      <c r="JT39" s="128"/>
      <c r="JU39" s="130"/>
      <c r="JV39" s="132"/>
      <c r="JW39" s="133" t="s">
        <v>48</v>
      </c>
      <c r="JX39" s="134"/>
      <c r="JY39" s="135"/>
      <c r="JZ39" s="126"/>
      <c r="KA39" s="126"/>
      <c r="KB39" s="128"/>
      <c r="KC39" s="130"/>
      <c r="KD39" s="132"/>
      <c r="KE39" s="133" t="s">
        <v>48</v>
      </c>
      <c r="KF39" s="134"/>
      <c r="KG39" s="135"/>
      <c r="KH39" s="126"/>
      <c r="KI39" s="126"/>
      <c r="KJ39" s="128"/>
      <c r="KK39" s="130"/>
      <c r="KL39" s="132"/>
      <c r="KM39" s="133" t="s">
        <v>48</v>
      </c>
      <c r="KN39" s="134"/>
      <c r="KO39" s="135"/>
      <c r="KP39" s="126"/>
      <c r="KQ39" s="126"/>
      <c r="KR39" s="128"/>
      <c r="KS39" s="130"/>
      <c r="KT39" s="132"/>
      <c r="KU39" s="133" t="s">
        <v>48</v>
      </c>
      <c r="KV39" s="134"/>
      <c r="KW39" s="135"/>
      <c r="KX39" s="126"/>
      <c r="KY39" s="126"/>
      <c r="KZ39" s="128"/>
      <c r="LA39" s="130"/>
      <c r="LB39" s="132"/>
      <c r="LC39" s="133" t="s">
        <v>48</v>
      </c>
      <c r="LD39" s="134"/>
      <c r="LE39" s="135"/>
      <c r="LF39" s="126"/>
      <c r="LG39" s="126"/>
      <c r="LH39" s="128"/>
      <c r="LI39" s="130"/>
      <c r="LJ39" s="132"/>
      <c r="LK39" s="133" t="s">
        <v>48</v>
      </c>
      <c r="LL39" s="134"/>
      <c r="LM39" s="135"/>
      <c r="LN39" s="126"/>
      <c r="LO39" s="126"/>
      <c r="LP39" s="128"/>
      <c r="LQ39" s="130"/>
      <c r="LR39" s="132"/>
      <c r="LS39" s="133" t="s">
        <v>48</v>
      </c>
      <c r="LT39" s="134"/>
      <c r="LU39" s="135"/>
      <c r="LV39" s="126"/>
      <c r="LW39" s="126"/>
      <c r="LX39" s="128"/>
      <c r="LY39" s="130"/>
      <c r="LZ39" s="132"/>
      <c r="MA39" s="133" t="s">
        <v>48</v>
      </c>
      <c r="MB39" s="134"/>
      <c r="MC39" s="135"/>
      <c r="MD39" s="126"/>
      <c r="ME39" s="126"/>
      <c r="MF39" s="128"/>
      <c r="MG39" s="130"/>
      <c r="MH39" s="132"/>
      <c r="MI39" s="133" t="s">
        <v>48</v>
      </c>
      <c r="MJ39" s="134"/>
      <c r="MK39" s="135"/>
      <c r="ML39" s="126"/>
      <c r="MM39" s="126"/>
      <c r="MN39" s="128"/>
      <c r="MO39" s="130"/>
      <c r="MP39" s="132"/>
      <c r="MQ39" s="133" t="s">
        <v>48</v>
      </c>
      <c r="MR39" s="134"/>
      <c r="MS39" s="135"/>
      <c r="MT39" s="126"/>
      <c r="MU39" s="126"/>
      <c r="MV39" s="128"/>
      <c r="MW39" s="130"/>
      <c r="MX39" s="132"/>
      <c r="MY39" s="133" t="s">
        <v>48</v>
      </c>
      <c r="MZ39" s="134"/>
      <c r="NA39" s="135"/>
      <c r="NB39" s="126"/>
      <c r="NC39" s="126"/>
      <c r="ND39" s="128"/>
      <c r="NE39" s="130"/>
      <c r="NF39" s="132"/>
      <c r="NG39" s="133" t="s">
        <v>48</v>
      </c>
      <c r="NH39" s="134"/>
      <c r="NI39" s="135"/>
      <c r="NJ39" s="126"/>
      <c r="NK39" s="126"/>
      <c r="NL39" s="128"/>
      <c r="NM39" s="130"/>
      <c r="NN39" s="132"/>
      <c r="NO39" s="133" t="s">
        <v>48</v>
      </c>
      <c r="NP39" s="134"/>
      <c r="NQ39" s="135"/>
      <c r="NR39" s="126"/>
      <c r="NS39" s="126"/>
      <c r="NT39" s="128"/>
      <c r="NU39" s="130"/>
      <c r="NV39" s="132"/>
      <c r="NW39" s="133" t="s">
        <v>48</v>
      </c>
      <c r="NX39" s="134"/>
      <c r="NY39" s="135"/>
      <c r="NZ39" s="126"/>
      <c r="OA39" s="126"/>
      <c r="OB39" s="128"/>
      <c r="OC39" s="130"/>
      <c r="OD39" s="132"/>
      <c r="OE39" s="133" t="s">
        <v>48</v>
      </c>
      <c r="OF39" s="134"/>
      <c r="OG39" s="135"/>
      <c r="OH39" s="126"/>
      <c r="OI39" s="126"/>
      <c r="OJ39" s="128"/>
      <c r="OK39" s="130"/>
      <c r="OL39" s="132"/>
      <c r="OM39" s="133" t="s">
        <v>48</v>
      </c>
      <c r="ON39" s="134"/>
      <c r="OO39" s="135"/>
      <c r="OP39" s="126"/>
      <c r="OQ39" s="126"/>
      <c r="OR39" s="128"/>
      <c r="OS39" s="130"/>
      <c r="OT39" s="132"/>
      <c r="OU39" s="133" t="s">
        <v>48</v>
      </c>
      <c r="OV39" s="134"/>
      <c r="OW39" s="135"/>
      <c r="OX39" s="126"/>
      <c r="OY39" s="126"/>
      <c r="OZ39" s="128"/>
      <c r="PA39" s="130"/>
      <c r="PB39" s="132"/>
      <c r="PC39" s="133" t="s">
        <v>48</v>
      </c>
      <c r="PD39" s="134"/>
      <c r="PE39" s="135"/>
      <c r="PF39" s="126"/>
      <c r="PG39" s="126"/>
      <c r="PH39" s="128"/>
      <c r="PI39" s="130"/>
      <c r="PJ39" s="132"/>
      <c r="PK39" s="133" t="s">
        <v>48</v>
      </c>
      <c r="PL39" s="134"/>
      <c r="PM39" s="135"/>
      <c r="PN39" s="126"/>
      <c r="PO39" s="126"/>
      <c r="PP39" s="128"/>
      <c r="PQ39" s="130"/>
      <c r="PR39" s="132"/>
      <c r="PS39" s="133" t="s">
        <v>48</v>
      </c>
      <c r="PT39" s="134"/>
      <c r="PU39" s="135"/>
      <c r="PV39" s="126"/>
      <c r="PW39" s="126"/>
      <c r="PX39" s="128"/>
      <c r="PY39" s="130"/>
      <c r="PZ39" s="132"/>
      <c r="QA39" s="133" t="s">
        <v>48</v>
      </c>
      <c r="QB39" s="134"/>
      <c r="QC39" s="135"/>
      <c r="QD39" s="126"/>
      <c r="QE39" s="126"/>
      <c r="QF39" s="128"/>
      <c r="QG39" s="130"/>
      <c r="QH39" s="132"/>
      <c r="QI39" s="133" t="s">
        <v>48</v>
      </c>
      <c r="QJ39" s="134"/>
      <c r="QK39" s="135"/>
      <c r="QL39" s="126"/>
      <c r="QM39" s="126"/>
      <c r="QN39" s="128"/>
      <c r="QO39" s="130"/>
      <c r="QP39" s="132"/>
      <c r="QQ39" s="133" t="s">
        <v>48</v>
      </c>
      <c r="QR39" s="134"/>
      <c r="QS39" s="135"/>
      <c r="QT39" s="126"/>
      <c r="QU39" s="126"/>
      <c r="QV39" s="128"/>
      <c r="QW39" s="130"/>
      <c r="QX39" s="132"/>
      <c r="QY39" s="133" t="s">
        <v>48</v>
      </c>
      <c r="QZ39" s="134"/>
      <c r="RA39" s="135"/>
      <c r="RB39" s="126"/>
      <c r="RC39" s="126"/>
      <c r="RD39" s="128"/>
      <c r="RE39" s="130"/>
      <c r="RF39" s="132"/>
      <c r="RG39" s="133" t="s">
        <v>48</v>
      </c>
      <c r="RH39" s="134"/>
      <c r="RI39" s="135"/>
      <c r="RJ39" s="126"/>
      <c r="RK39" s="126"/>
      <c r="RL39" s="128"/>
      <c r="RM39" s="130"/>
      <c r="RN39" s="132"/>
      <c r="RO39" s="133" t="s">
        <v>48</v>
      </c>
      <c r="RP39" s="134"/>
      <c r="RQ39" s="135"/>
      <c r="RR39" s="126"/>
      <c r="RS39" s="126"/>
      <c r="RT39" s="128"/>
      <c r="RU39" s="130"/>
      <c r="RV39" s="132"/>
      <c r="RW39" s="133" t="s">
        <v>48</v>
      </c>
      <c r="RX39" s="134"/>
      <c r="RY39" s="135"/>
      <c r="RZ39" s="126"/>
      <c r="SA39" s="126"/>
      <c r="SB39" s="128"/>
      <c r="SC39" s="130"/>
      <c r="SD39" s="132"/>
      <c r="SE39" s="133" t="s">
        <v>48</v>
      </c>
      <c r="SF39" s="134"/>
      <c r="SG39" s="135"/>
      <c r="SH39" s="126"/>
      <c r="SI39" s="126"/>
      <c r="SJ39" s="128"/>
      <c r="SK39" s="130"/>
      <c r="SL39" s="132"/>
      <c r="SM39" s="133" t="s">
        <v>48</v>
      </c>
      <c r="SN39" s="134"/>
      <c r="SO39" s="135"/>
      <c r="SP39" s="126"/>
      <c r="SQ39" s="126"/>
      <c r="SR39" s="128"/>
      <c r="SS39" s="130"/>
      <c r="ST39" s="132"/>
      <c r="SU39" s="133" t="s">
        <v>48</v>
      </c>
      <c r="SV39" s="134"/>
      <c r="SW39" s="135"/>
      <c r="SX39" s="126"/>
      <c r="SY39" s="126"/>
      <c r="SZ39" s="128"/>
      <c r="TA39" s="130"/>
      <c r="TB39" s="132"/>
      <c r="TC39" s="133" t="s">
        <v>48</v>
      </c>
      <c r="TD39" s="134"/>
      <c r="TE39" s="135"/>
      <c r="TF39" s="126"/>
      <c r="TG39" s="126"/>
      <c r="TH39" s="128"/>
      <c r="TI39" s="130"/>
      <c r="TJ39" s="132"/>
      <c r="TK39" s="133" t="s">
        <v>48</v>
      </c>
      <c r="TL39" s="134"/>
      <c r="TM39" s="135"/>
      <c r="TN39" s="126"/>
      <c r="TO39" s="126"/>
      <c r="TP39" s="128"/>
      <c r="TQ39" s="130"/>
      <c r="TR39" s="132"/>
      <c r="TS39" s="133" t="s">
        <v>48</v>
      </c>
      <c r="TT39" s="134"/>
      <c r="TU39" s="135"/>
      <c r="TV39" s="126"/>
      <c r="TW39" s="126"/>
      <c r="TX39" s="128"/>
      <c r="TY39" s="130"/>
      <c r="TZ39" s="132"/>
      <c r="UA39" s="133" t="s">
        <v>48</v>
      </c>
      <c r="UB39" s="134"/>
      <c r="UC39" s="135"/>
      <c r="UD39" s="126"/>
      <c r="UE39" s="126"/>
      <c r="UF39" s="128"/>
      <c r="UG39" s="130"/>
      <c r="UH39" s="132"/>
      <c r="UI39" s="133" t="s">
        <v>48</v>
      </c>
      <c r="UJ39" s="134"/>
      <c r="UK39" s="135"/>
      <c r="UL39" s="126"/>
      <c r="UM39" s="126"/>
      <c r="UN39" s="128"/>
      <c r="UO39" s="130"/>
      <c r="UP39" s="132"/>
      <c r="UQ39" s="133" t="s">
        <v>48</v>
      </c>
      <c r="UR39" s="134"/>
      <c r="US39" s="135"/>
      <c r="UT39" s="126"/>
      <c r="UU39" s="126"/>
      <c r="UV39" s="128"/>
      <c r="UW39" s="130"/>
      <c r="UX39" s="132"/>
      <c r="UY39" s="133" t="s">
        <v>48</v>
      </c>
      <c r="UZ39" s="134"/>
      <c r="VA39" s="135"/>
      <c r="VB39" s="126"/>
      <c r="VC39" s="126"/>
      <c r="VD39" s="128"/>
      <c r="VE39" s="130"/>
      <c r="VF39" s="132"/>
      <c r="VG39" s="133" t="s">
        <v>48</v>
      </c>
      <c r="VH39" s="134"/>
      <c r="VI39" s="135"/>
      <c r="VJ39" s="126"/>
      <c r="VK39" s="126"/>
      <c r="VL39" s="128"/>
      <c r="VM39" s="130"/>
      <c r="VN39" s="132"/>
      <c r="VO39" s="133" t="s">
        <v>48</v>
      </c>
      <c r="VP39" s="134"/>
      <c r="VQ39" s="135"/>
      <c r="VR39" s="126"/>
      <c r="VS39" s="126"/>
      <c r="VT39" s="128"/>
      <c r="VU39" s="130"/>
      <c r="VV39" s="132"/>
      <c r="VW39" s="133" t="s">
        <v>48</v>
      </c>
      <c r="VX39" s="134"/>
      <c r="VY39" s="135"/>
      <c r="VZ39" s="126"/>
      <c r="WA39" s="126"/>
      <c r="WB39" s="128"/>
      <c r="WC39" s="130"/>
      <c r="WD39" s="132"/>
      <c r="WE39" s="133" t="s">
        <v>48</v>
      </c>
      <c r="WF39" s="134"/>
      <c r="WG39" s="135"/>
      <c r="WH39" s="126"/>
      <c r="WI39" s="126"/>
      <c r="WJ39" s="128"/>
      <c r="WK39" s="130"/>
      <c r="WL39" s="132"/>
      <c r="WM39" s="133" t="s">
        <v>48</v>
      </c>
      <c r="WN39" s="134"/>
      <c r="WO39" s="135"/>
      <c r="WP39" s="126"/>
      <c r="WQ39" s="126"/>
      <c r="WR39" s="128"/>
      <c r="WS39" s="130"/>
      <c r="WT39" s="132"/>
      <c r="WU39" s="133" t="s">
        <v>48</v>
      </c>
      <c r="WV39" s="134"/>
      <c r="WW39" s="135"/>
      <c r="WX39" s="126"/>
      <c r="WY39" s="126"/>
      <c r="WZ39" s="128"/>
      <c r="XA39" s="130"/>
      <c r="XB39" s="132"/>
      <c r="XC39" s="133" t="s">
        <v>48</v>
      </c>
      <c r="XD39" s="134"/>
      <c r="XE39" s="135"/>
      <c r="XF39" s="126"/>
      <c r="XG39" s="126"/>
      <c r="XH39" s="128"/>
      <c r="XI39" s="130"/>
      <c r="XJ39" s="132"/>
      <c r="XK39" s="133" t="s">
        <v>48</v>
      </c>
      <c r="XL39" s="134"/>
      <c r="XM39" s="135"/>
      <c r="XN39" s="126"/>
      <c r="XO39" s="126"/>
      <c r="XP39" s="128"/>
      <c r="XQ39" s="130"/>
      <c r="XR39" s="132"/>
      <c r="XS39" s="133" t="s">
        <v>48</v>
      </c>
      <c r="XT39" s="134"/>
      <c r="XU39" s="135"/>
      <c r="XV39" s="126"/>
      <c r="XW39" s="126"/>
      <c r="XX39" s="128"/>
      <c r="XY39" s="130"/>
      <c r="XZ39" s="132"/>
      <c r="YA39" s="133" t="s">
        <v>48</v>
      </c>
      <c r="YB39" s="134"/>
      <c r="YC39" s="135"/>
      <c r="YD39" s="126"/>
      <c r="YE39" s="126"/>
      <c r="YF39" s="128"/>
      <c r="YG39" s="130"/>
      <c r="YH39" s="132"/>
      <c r="YI39" s="133" t="s">
        <v>48</v>
      </c>
      <c r="YJ39" s="134"/>
      <c r="YK39" s="135"/>
      <c r="YL39" s="126"/>
      <c r="YM39" s="126"/>
      <c r="YN39" s="128"/>
      <c r="YO39" s="130"/>
      <c r="YP39" s="132"/>
      <c r="YQ39" s="133" t="s">
        <v>48</v>
      </c>
      <c r="YR39" s="134"/>
      <c r="YS39" s="135"/>
      <c r="YT39" s="126"/>
      <c r="YU39" s="126"/>
      <c r="YV39" s="128"/>
      <c r="YW39" s="130"/>
      <c r="YX39" s="132"/>
      <c r="YY39" s="133" t="s">
        <v>48</v>
      </c>
      <c r="YZ39" s="134"/>
      <c r="ZA39" s="135"/>
      <c r="ZB39" s="126"/>
      <c r="ZC39" s="126"/>
      <c r="ZD39" s="128"/>
      <c r="ZE39" s="130"/>
      <c r="ZF39" s="132"/>
      <c r="ZG39" s="133" t="s">
        <v>48</v>
      </c>
      <c r="ZH39" s="134"/>
      <c r="ZI39" s="135"/>
      <c r="ZJ39" s="126"/>
      <c r="ZK39" s="126"/>
      <c r="ZL39" s="128"/>
      <c r="ZM39" s="130"/>
      <c r="ZN39" s="132"/>
      <c r="ZO39" s="133" t="s">
        <v>48</v>
      </c>
      <c r="ZP39" s="134"/>
      <c r="ZQ39" s="135"/>
      <c r="ZR39" s="126"/>
      <c r="ZS39" s="126"/>
      <c r="ZT39" s="128"/>
      <c r="ZU39" s="130"/>
      <c r="ZV39" s="132"/>
      <c r="ZW39" s="133" t="s">
        <v>48</v>
      </c>
      <c r="ZX39" s="134"/>
      <c r="ZY39" s="135"/>
      <c r="ZZ39" s="126"/>
      <c r="AAA39" s="126"/>
      <c r="AAB39" s="128"/>
      <c r="AAC39" s="130"/>
      <c r="AAD39" s="132"/>
      <c r="AAE39" s="133" t="s">
        <v>48</v>
      </c>
      <c r="AAF39" s="134"/>
      <c r="AAG39" s="135"/>
      <c r="AAH39" s="126"/>
      <c r="AAI39" s="126"/>
      <c r="AAJ39" s="128"/>
      <c r="AAK39" s="130"/>
      <c r="AAL39" s="132"/>
      <c r="AAM39" s="133" t="s">
        <v>48</v>
      </c>
      <c r="AAN39" s="134"/>
      <c r="AAO39" s="135"/>
      <c r="AAP39" s="126"/>
      <c r="AAQ39" s="126"/>
      <c r="AAR39" s="128"/>
      <c r="AAS39" s="130"/>
      <c r="AAT39" s="132"/>
      <c r="AAU39" s="133" t="s">
        <v>48</v>
      </c>
      <c r="AAV39" s="134"/>
      <c r="AAW39" s="135"/>
      <c r="AAX39" s="126"/>
      <c r="AAY39" s="126"/>
      <c r="AAZ39" s="128"/>
      <c r="ABA39" s="130"/>
      <c r="ABB39" s="132"/>
      <c r="ABC39" s="133" t="s">
        <v>48</v>
      </c>
      <c r="ABD39" s="134"/>
      <c r="ABE39" s="135"/>
      <c r="ABF39" s="126"/>
      <c r="ABG39" s="126"/>
      <c r="ABH39" s="128"/>
      <c r="ABI39" s="130"/>
      <c r="ABJ39" s="132"/>
      <c r="ABK39" s="133" t="s">
        <v>48</v>
      </c>
      <c r="ABL39" s="134"/>
      <c r="ABM39" s="135"/>
      <c r="ABN39" s="126"/>
      <c r="ABO39" s="126"/>
      <c r="ABP39" s="128"/>
      <c r="ABQ39" s="130"/>
      <c r="ABR39" s="132"/>
      <c r="ABS39" s="133" t="s">
        <v>48</v>
      </c>
      <c r="ABT39" s="134"/>
      <c r="ABU39" s="135"/>
      <c r="ABV39" s="126"/>
      <c r="ABW39" s="126"/>
      <c r="ABX39" s="128"/>
      <c r="ABY39" s="130"/>
      <c r="ABZ39" s="132"/>
      <c r="ACA39" s="133" t="s">
        <v>48</v>
      </c>
      <c r="ACB39" s="134"/>
      <c r="ACC39" s="135"/>
      <c r="ACD39" s="126"/>
      <c r="ACE39" s="126"/>
      <c r="ACF39" s="128"/>
      <c r="ACG39" s="130"/>
      <c r="ACH39" s="132"/>
      <c r="ACI39" s="133" t="s">
        <v>48</v>
      </c>
      <c r="ACJ39" s="134"/>
      <c r="ACK39" s="135"/>
      <c r="ACL39" s="126"/>
      <c r="ACM39" s="126"/>
      <c r="ACN39" s="128"/>
      <c r="ACO39" s="130"/>
      <c r="ACP39" s="132"/>
      <c r="ACQ39" s="133" t="s">
        <v>48</v>
      </c>
      <c r="ACR39" s="134"/>
      <c r="ACS39" s="135"/>
      <c r="ACT39" s="126"/>
      <c r="ACU39" s="126"/>
      <c r="ACV39" s="128"/>
      <c r="ACW39" s="130"/>
      <c r="ACX39" s="132"/>
      <c r="ACY39" s="133" t="s">
        <v>48</v>
      </c>
      <c r="ACZ39" s="134"/>
      <c r="ADA39" s="135"/>
      <c r="ADB39" s="126"/>
      <c r="ADC39" s="126"/>
      <c r="ADD39" s="128"/>
      <c r="ADE39" s="130"/>
      <c r="ADF39" s="132"/>
      <c r="ADG39" s="133" t="s">
        <v>48</v>
      </c>
      <c r="ADH39" s="134"/>
      <c r="ADI39" s="135"/>
      <c r="ADJ39" s="126"/>
      <c r="ADK39" s="126"/>
      <c r="ADL39" s="128"/>
      <c r="ADM39" s="130"/>
      <c r="ADN39" s="132"/>
      <c r="ADO39" s="133" t="s">
        <v>48</v>
      </c>
      <c r="ADP39" s="134"/>
      <c r="ADQ39" s="135"/>
      <c r="ADR39" s="126"/>
      <c r="ADS39" s="126"/>
      <c r="ADT39" s="128"/>
      <c r="ADU39" s="130"/>
      <c r="ADV39" s="132"/>
      <c r="ADW39" s="133" t="s">
        <v>48</v>
      </c>
      <c r="ADX39" s="134"/>
      <c r="ADY39" s="135"/>
      <c r="ADZ39" s="126"/>
      <c r="AEA39" s="126"/>
      <c r="AEB39" s="128"/>
      <c r="AEC39" s="130"/>
      <c r="AED39" s="132"/>
      <c r="AEE39" s="133" t="s">
        <v>48</v>
      </c>
      <c r="AEF39" s="134"/>
      <c r="AEG39" s="135"/>
      <c r="AEH39" s="126"/>
      <c r="AEI39" s="126"/>
      <c r="AEJ39" s="128"/>
      <c r="AEK39" s="130"/>
      <c r="AEL39" s="132"/>
      <c r="AEM39" s="133" t="s">
        <v>48</v>
      </c>
      <c r="AEN39" s="134"/>
      <c r="AEO39" s="135"/>
      <c r="AEP39" s="126"/>
      <c r="AEQ39" s="126"/>
      <c r="AER39" s="128"/>
      <c r="AES39" s="130"/>
      <c r="AET39" s="132"/>
      <c r="AEU39" s="133" t="s">
        <v>48</v>
      </c>
      <c r="AEV39" s="134"/>
      <c r="AEW39" s="135"/>
      <c r="AEX39" s="126"/>
      <c r="AEY39" s="126"/>
      <c r="AEZ39" s="128"/>
      <c r="AFA39" s="130"/>
      <c r="AFB39" s="132"/>
      <c r="AFC39" s="133" t="s">
        <v>48</v>
      </c>
      <c r="AFD39" s="134"/>
      <c r="AFE39" s="135"/>
      <c r="AFF39" s="126"/>
      <c r="AFG39" s="126"/>
      <c r="AFH39" s="128"/>
      <c r="AFI39" s="130"/>
      <c r="AFJ39" s="132"/>
      <c r="AFK39" s="133" t="s">
        <v>48</v>
      </c>
      <c r="AFL39" s="134"/>
      <c r="AFM39" s="135"/>
      <c r="AFN39" s="126"/>
      <c r="AFO39" s="126"/>
      <c r="AFP39" s="128"/>
      <c r="AFQ39" s="130"/>
      <c r="AFR39" s="132"/>
      <c r="AFS39" s="133" t="s">
        <v>48</v>
      </c>
      <c r="AFT39" s="134"/>
      <c r="AFU39" s="135"/>
      <c r="AFV39" s="126"/>
      <c r="AFW39" s="126"/>
      <c r="AFX39" s="128"/>
      <c r="AFY39" s="130"/>
      <c r="AFZ39" s="132"/>
      <c r="AGA39" s="133" t="s">
        <v>48</v>
      </c>
      <c r="AGB39" s="134"/>
      <c r="AGC39" s="135"/>
      <c r="AGD39" s="126"/>
      <c r="AGE39" s="126"/>
      <c r="AGF39" s="128"/>
      <c r="AGG39" s="130"/>
      <c r="AGH39" s="132"/>
      <c r="AGI39" s="133" t="s">
        <v>48</v>
      </c>
      <c r="AGJ39" s="134"/>
      <c r="AGK39" s="135"/>
      <c r="AGL39" s="126"/>
      <c r="AGM39" s="126"/>
      <c r="AGN39" s="128"/>
      <c r="AGO39" s="130"/>
      <c r="AGP39" s="132"/>
      <c r="AGQ39" s="133" t="s">
        <v>48</v>
      </c>
      <c r="AGR39" s="134"/>
      <c r="AGS39" s="135"/>
      <c r="AGT39" s="126"/>
      <c r="AGU39" s="126"/>
      <c r="AGV39" s="128"/>
      <c r="AGW39" s="130"/>
      <c r="AGX39" s="132"/>
      <c r="AGY39" s="133" t="s">
        <v>48</v>
      </c>
      <c r="AGZ39" s="134"/>
      <c r="AHA39" s="135"/>
      <c r="AHB39" s="126"/>
      <c r="AHC39" s="126"/>
      <c r="AHD39" s="128"/>
      <c r="AHE39" s="130"/>
      <c r="AHF39" s="132"/>
      <c r="AHG39" s="133" t="s">
        <v>48</v>
      </c>
      <c r="AHH39" s="134"/>
      <c r="AHI39" s="135"/>
      <c r="AHJ39" s="126"/>
      <c r="AHK39" s="126"/>
      <c r="AHL39" s="128"/>
      <c r="AHM39" s="130"/>
      <c r="AHN39" s="132"/>
      <c r="AHO39" s="133" t="s">
        <v>48</v>
      </c>
      <c r="AHP39" s="134"/>
      <c r="AHQ39" s="135"/>
      <c r="AHR39" s="126"/>
      <c r="AHS39" s="126"/>
      <c r="AHT39" s="128"/>
      <c r="AHU39" s="130"/>
      <c r="AHV39" s="132"/>
      <c r="AHW39" s="133" t="s">
        <v>48</v>
      </c>
      <c r="AHX39" s="134"/>
      <c r="AHY39" s="135"/>
      <c r="AHZ39" s="126"/>
      <c r="AIA39" s="126"/>
      <c r="AIB39" s="128"/>
      <c r="AIC39" s="130"/>
      <c r="AID39" s="132"/>
      <c r="AIE39" s="133" t="s">
        <v>48</v>
      </c>
      <c r="AIF39" s="134"/>
      <c r="AIG39" s="135"/>
      <c r="AIH39" s="126"/>
      <c r="AII39" s="126"/>
      <c r="AIJ39" s="128"/>
      <c r="AIK39" s="130"/>
      <c r="AIL39" s="132"/>
      <c r="AIM39" s="133" t="s">
        <v>48</v>
      </c>
      <c r="AIN39" s="134"/>
      <c r="AIO39" s="135"/>
      <c r="AIP39" s="126"/>
      <c r="AIQ39" s="126"/>
      <c r="AIR39" s="128"/>
      <c r="AIS39" s="130"/>
      <c r="AIT39" s="132"/>
      <c r="AIU39" s="133" t="s">
        <v>48</v>
      </c>
      <c r="AIV39" s="134"/>
      <c r="AIW39" s="135"/>
      <c r="AIX39" s="126"/>
      <c r="AIY39" s="126"/>
      <c r="AIZ39" s="128"/>
      <c r="AJA39" s="130"/>
      <c r="AJB39" s="132"/>
      <c r="AJC39" s="133" t="s">
        <v>48</v>
      </c>
      <c r="AJD39" s="134"/>
      <c r="AJE39" s="135"/>
      <c r="AJF39" s="126"/>
      <c r="AJG39" s="126"/>
      <c r="AJH39" s="128"/>
      <c r="AJI39" s="130"/>
      <c r="AJJ39" s="132"/>
      <c r="AJK39" s="133" t="s">
        <v>48</v>
      </c>
      <c r="AJL39" s="134"/>
      <c r="AJM39" s="135"/>
      <c r="AJN39" s="126"/>
      <c r="AJO39" s="126"/>
      <c r="AJP39" s="128"/>
      <c r="AJQ39" s="130"/>
      <c r="AJR39" s="132"/>
      <c r="AJS39" s="133" t="s">
        <v>48</v>
      </c>
      <c r="AJT39" s="134"/>
      <c r="AJU39" s="135"/>
      <c r="AJV39" s="126"/>
      <c r="AJW39" s="126"/>
      <c r="AJX39" s="128"/>
      <c r="AJY39" s="130"/>
      <c r="AJZ39" s="132"/>
      <c r="AKA39" s="133" t="s">
        <v>48</v>
      </c>
      <c r="AKB39" s="134"/>
      <c r="AKC39" s="135"/>
      <c r="AKD39" s="126"/>
      <c r="AKE39" s="126"/>
      <c r="AKF39" s="128"/>
      <c r="AKG39" s="130"/>
      <c r="AKH39" s="132"/>
      <c r="AKI39" s="133" t="s">
        <v>48</v>
      </c>
      <c r="AKJ39" s="134"/>
      <c r="AKK39" s="135"/>
      <c r="AKL39" s="126"/>
      <c r="AKM39" s="126"/>
      <c r="AKN39" s="128"/>
      <c r="AKO39" s="130"/>
      <c r="AKP39" s="132"/>
      <c r="AKQ39" s="133" t="s">
        <v>48</v>
      </c>
      <c r="AKR39" s="134"/>
      <c r="AKS39" s="135"/>
      <c r="AKT39" s="126"/>
      <c r="AKU39" s="126"/>
      <c r="AKV39" s="128"/>
      <c r="AKW39" s="130"/>
      <c r="AKX39" s="132"/>
      <c r="AKY39" s="133" t="s">
        <v>48</v>
      </c>
      <c r="AKZ39" s="134"/>
      <c r="ALA39" s="135"/>
      <c r="ALB39" s="126"/>
      <c r="ALC39" s="126"/>
      <c r="ALD39" s="128"/>
      <c r="ALE39" s="130"/>
      <c r="ALF39" s="132"/>
      <c r="ALG39" s="133" t="s">
        <v>48</v>
      </c>
      <c r="ALH39" s="134"/>
      <c r="ALI39" s="135"/>
      <c r="ALJ39" s="126"/>
      <c r="ALK39" s="126"/>
      <c r="ALL39" s="128"/>
      <c r="ALM39" s="130"/>
      <c r="ALN39" s="132"/>
      <c r="ALO39" s="133" t="s">
        <v>48</v>
      </c>
      <c r="ALP39" s="134"/>
      <c r="ALQ39" s="135"/>
      <c r="ALR39" s="126"/>
      <c r="ALS39" s="126"/>
      <c r="ALT39" s="128"/>
      <c r="ALU39" s="130"/>
      <c r="ALV39" s="132"/>
      <c r="ALW39" s="133" t="s">
        <v>48</v>
      </c>
      <c r="ALX39" s="134"/>
      <c r="ALY39" s="135"/>
      <c r="ALZ39" s="126"/>
      <c r="AMA39" s="126"/>
      <c r="AMB39" s="128"/>
      <c r="AMC39" s="130"/>
      <c r="AMD39" s="132"/>
      <c r="AME39" s="133" t="s">
        <v>48</v>
      </c>
      <c r="AMF39" s="134"/>
      <c r="AMG39" s="135"/>
      <c r="AMH39" s="126"/>
      <c r="AMI39" s="126"/>
      <c r="AMJ39" s="128"/>
      <c r="AMK39" s="130"/>
      <c r="AML39" s="132"/>
      <c r="AMM39" s="133" t="s">
        <v>48</v>
      </c>
      <c r="AMN39" s="134"/>
      <c r="AMO39" s="135"/>
      <c r="AMP39" s="126"/>
      <c r="AMQ39" s="126"/>
      <c r="AMR39" s="128"/>
      <c r="AMS39" s="130"/>
      <c r="AMT39" s="132"/>
      <c r="AMU39" s="133" t="s">
        <v>48</v>
      </c>
      <c r="AMV39" s="134"/>
      <c r="AMW39" s="135"/>
      <c r="AMX39" s="126"/>
      <c r="AMY39" s="126"/>
      <c r="AMZ39" s="128"/>
      <c r="ANA39" s="130"/>
      <c r="ANB39" s="132"/>
      <c r="ANC39" s="133" t="s">
        <v>48</v>
      </c>
      <c r="AND39" s="134"/>
      <c r="ANE39" s="135"/>
      <c r="ANF39" s="126"/>
      <c r="ANG39" s="126"/>
      <c r="ANH39" s="128"/>
      <c r="ANI39" s="130"/>
      <c r="ANJ39" s="132"/>
      <c r="ANK39" s="133" t="s">
        <v>48</v>
      </c>
      <c r="ANL39" s="134"/>
      <c r="ANM39" s="135"/>
      <c r="ANN39" s="126"/>
      <c r="ANO39" s="126"/>
      <c r="ANP39" s="128"/>
      <c r="ANQ39" s="130"/>
      <c r="ANR39" s="132"/>
      <c r="ANS39" s="133" t="s">
        <v>48</v>
      </c>
      <c r="ANT39" s="134"/>
      <c r="ANU39" s="135"/>
      <c r="ANV39" s="126"/>
      <c r="ANW39" s="126"/>
      <c r="ANX39" s="128"/>
      <c r="ANY39" s="130"/>
      <c r="ANZ39" s="132"/>
      <c r="AOA39" s="133" t="s">
        <v>48</v>
      </c>
      <c r="AOB39" s="134"/>
      <c r="AOC39" s="135"/>
      <c r="AOD39" s="126"/>
      <c r="AOE39" s="126"/>
      <c r="AOF39" s="128"/>
      <c r="AOG39" s="130"/>
      <c r="AOH39" s="132"/>
      <c r="AOI39" s="133" t="s">
        <v>48</v>
      </c>
      <c r="AOJ39" s="134"/>
      <c r="AOK39" s="135"/>
      <c r="AOL39" s="126"/>
      <c r="AOM39" s="126"/>
      <c r="AON39" s="128"/>
      <c r="AOO39" s="130"/>
      <c r="AOP39" s="132"/>
      <c r="AOQ39" s="133" t="s">
        <v>48</v>
      </c>
      <c r="AOR39" s="134"/>
      <c r="AOS39" s="135"/>
      <c r="AOT39" s="126"/>
      <c r="AOU39" s="126"/>
      <c r="AOV39" s="128"/>
      <c r="AOW39" s="130"/>
      <c r="AOX39" s="132"/>
      <c r="AOY39" s="133" t="s">
        <v>48</v>
      </c>
      <c r="AOZ39" s="134"/>
      <c r="APA39" s="135"/>
      <c r="APB39" s="126"/>
      <c r="APC39" s="126"/>
      <c r="APD39" s="128"/>
      <c r="APE39" s="130"/>
      <c r="APF39" s="132"/>
      <c r="APG39" s="133" t="s">
        <v>48</v>
      </c>
      <c r="APH39" s="134"/>
      <c r="API39" s="135"/>
      <c r="APJ39" s="126"/>
      <c r="APK39" s="126"/>
      <c r="APL39" s="128"/>
      <c r="APM39" s="130"/>
      <c r="APN39" s="132"/>
      <c r="APO39" s="133" t="s">
        <v>48</v>
      </c>
      <c r="APP39" s="134"/>
      <c r="APQ39" s="135"/>
      <c r="APR39" s="126"/>
      <c r="APS39" s="126"/>
      <c r="APT39" s="128"/>
      <c r="APU39" s="130"/>
      <c r="APV39" s="132"/>
      <c r="APW39" s="133" t="s">
        <v>48</v>
      </c>
      <c r="APX39" s="134"/>
      <c r="APY39" s="135"/>
      <c r="APZ39" s="126"/>
      <c r="AQA39" s="126"/>
      <c r="AQB39" s="128"/>
      <c r="AQC39" s="130"/>
      <c r="AQD39" s="132"/>
      <c r="AQE39" s="133" t="s">
        <v>48</v>
      </c>
      <c r="AQF39" s="134"/>
      <c r="AQG39" s="135"/>
      <c r="AQH39" s="126"/>
      <c r="AQI39" s="126"/>
      <c r="AQJ39" s="128"/>
      <c r="AQK39" s="130"/>
      <c r="AQL39" s="132"/>
      <c r="AQM39" s="133" t="s">
        <v>48</v>
      </c>
      <c r="AQN39" s="134"/>
      <c r="AQO39" s="135"/>
      <c r="AQP39" s="126"/>
      <c r="AQQ39" s="126"/>
      <c r="AQR39" s="128"/>
      <c r="AQS39" s="130"/>
      <c r="AQT39" s="132"/>
      <c r="AQU39" s="133" t="s">
        <v>48</v>
      </c>
      <c r="AQV39" s="134"/>
      <c r="AQW39" s="135"/>
      <c r="AQX39" s="126"/>
      <c r="AQY39" s="126"/>
      <c r="AQZ39" s="128"/>
      <c r="ARA39" s="130"/>
      <c r="ARB39" s="132"/>
      <c r="ARC39" s="133" t="s">
        <v>48</v>
      </c>
      <c r="ARD39" s="134"/>
      <c r="ARE39" s="135"/>
      <c r="ARF39" s="126"/>
      <c r="ARG39" s="126"/>
      <c r="ARH39" s="128"/>
      <c r="ARI39" s="130"/>
      <c r="ARJ39" s="132"/>
      <c r="ARK39" s="133" t="s">
        <v>48</v>
      </c>
      <c r="ARL39" s="134"/>
      <c r="ARM39" s="135"/>
      <c r="ARN39" s="126"/>
      <c r="ARO39" s="126"/>
      <c r="ARP39" s="128"/>
      <c r="ARQ39" s="130"/>
      <c r="ARR39" s="132"/>
      <c r="ARS39" s="133" t="s">
        <v>48</v>
      </c>
      <c r="ART39" s="134"/>
      <c r="ARU39" s="135"/>
      <c r="ARV39" s="126"/>
      <c r="ARW39" s="126"/>
      <c r="ARX39" s="128"/>
      <c r="ARY39" s="130"/>
      <c r="ARZ39" s="132"/>
      <c r="ASA39" s="133" t="s">
        <v>48</v>
      </c>
      <c r="ASB39" s="134"/>
      <c r="ASC39" s="135"/>
      <c r="ASD39" s="126"/>
      <c r="ASE39" s="126"/>
      <c r="ASF39" s="128"/>
      <c r="ASG39" s="130"/>
      <c r="ASH39" s="132"/>
      <c r="ASI39" s="133" t="s">
        <v>48</v>
      </c>
      <c r="ASJ39" s="134"/>
      <c r="ASK39" s="135"/>
      <c r="ASL39" s="126"/>
      <c r="ASM39" s="126"/>
      <c r="ASN39" s="128"/>
      <c r="ASO39" s="130"/>
      <c r="ASP39" s="132"/>
      <c r="ASQ39" s="133" t="s">
        <v>48</v>
      </c>
      <c r="ASR39" s="134"/>
      <c r="ASS39" s="135"/>
      <c r="AST39" s="126"/>
      <c r="ASU39" s="126"/>
      <c r="ASV39" s="128"/>
      <c r="ASW39" s="130"/>
      <c r="ASX39" s="132"/>
      <c r="ASY39" s="133" t="s">
        <v>48</v>
      </c>
      <c r="ASZ39" s="134"/>
      <c r="ATA39" s="135"/>
      <c r="ATB39" s="126"/>
      <c r="ATC39" s="126"/>
      <c r="ATD39" s="128"/>
      <c r="ATE39" s="130"/>
      <c r="ATF39" s="132"/>
      <c r="ATG39" s="133" t="s">
        <v>48</v>
      </c>
      <c r="ATH39" s="134"/>
      <c r="ATI39" s="135"/>
      <c r="ATJ39" s="126"/>
      <c r="ATK39" s="126"/>
      <c r="ATL39" s="128"/>
      <c r="ATM39" s="130"/>
      <c r="ATN39" s="132"/>
      <c r="ATO39" s="133" t="s">
        <v>48</v>
      </c>
      <c r="ATP39" s="134"/>
      <c r="ATQ39" s="135"/>
      <c r="ATR39" s="126"/>
      <c r="ATS39" s="126"/>
      <c r="ATT39" s="128"/>
      <c r="ATU39" s="130"/>
      <c r="ATV39" s="132"/>
      <c r="ATW39" s="133" t="s">
        <v>48</v>
      </c>
      <c r="ATX39" s="134"/>
      <c r="ATY39" s="135"/>
      <c r="ATZ39" s="126"/>
      <c r="AUA39" s="126"/>
      <c r="AUB39" s="128"/>
      <c r="AUC39" s="130"/>
      <c r="AUD39" s="132"/>
      <c r="AUE39" s="133" t="s">
        <v>48</v>
      </c>
      <c r="AUF39" s="134"/>
      <c r="AUG39" s="135"/>
      <c r="AUH39" s="126"/>
      <c r="AUI39" s="126"/>
      <c r="AUJ39" s="128"/>
      <c r="AUK39" s="130"/>
      <c r="AUL39" s="132"/>
      <c r="AUM39" s="133" t="s">
        <v>48</v>
      </c>
      <c r="AUN39" s="134"/>
      <c r="AUO39" s="135"/>
      <c r="AUP39" s="126"/>
      <c r="AUQ39" s="126"/>
      <c r="AUR39" s="128"/>
      <c r="AUS39" s="130"/>
      <c r="AUT39" s="132"/>
      <c r="AUU39" s="133" t="s">
        <v>48</v>
      </c>
      <c r="AUV39" s="134"/>
      <c r="AUW39" s="135"/>
      <c r="AUX39" s="126"/>
      <c r="AUY39" s="126"/>
      <c r="AUZ39" s="128"/>
      <c r="AVA39" s="130"/>
      <c r="AVB39" s="132"/>
      <c r="AVC39" s="133" t="s">
        <v>48</v>
      </c>
      <c r="AVD39" s="134"/>
      <c r="AVE39" s="135"/>
      <c r="AVF39" s="126"/>
      <c r="AVG39" s="126"/>
      <c r="AVH39" s="128"/>
      <c r="AVI39" s="130"/>
      <c r="AVJ39" s="132"/>
      <c r="AVK39" s="133" t="s">
        <v>48</v>
      </c>
      <c r="AVL39" s="134"/>
      <c r="AVM39" s="135"/>
      <c r="AVN39" s="126"/>
      <c r="AVO39" s="126"/>
      <c r="AVP39" s="128"/>
      <c r="AVQ39" s="130"/>
      <c r="AVR39" s="132"/>
      <c r="AVS39" s="133" t="s">
        <v>48</v>
      </c>
      <c r="AVT39" s="134"/>
      <c r="AVU39" s="135"/>
      <c r="AVV39" s="126"/>
      <c r="AVW39" s="126"/>
      <c r="AVX39" s="128"/>
      <c r="AVY39" s="130"/>
      <c r="AVZ39" s="132"/>
      <c r="AWA39" s="133" t="s">
        <v>48</v>
      </c>
      <c r="AWB39" s="134"/>
      <c r="AWC39" s="135"/>
      <c r="AWD39" s="126"/>
      <c r="AWE39" s="126"/>
      <c r="AWF39" s="128"/>
      <c r="AWG39" s="130"/>
      <c r="AWH39" s="132"/>
      <c r="AWI39" s="133" t="s">
        <v>48</v>
      </c>
      <c r="AWJ39" s="134"/>
      <c r="AWK39" s="135"/>
      <c r="AWL39" s="126"/>
      <c r="AWM39" s="126"/>
      <c r="AWN39" s="128"/>
      <c r="AWO39" s="130"/>
      <c r="AWP39" s="132"/>
      <c r="AWQ39" s="133" t="s">
        <v>48</v>
      </c>
      <c r="AWR39" s="134"/>
      <c r="AWS39" s="135"/>
      <c r="AWT39" s="126"/>
      <c r="AWU39" s="126"/>
      <c r="AWV39" s="128"/>
      <c r="AWW39" s="130"/>
      <c r="AWX39" s="132"/>
      <c r="AWY39" s="133" t="s">
        <v>48</v>
      </c>
      <c r="AWZ39" s="134"/>
      <c r="AXA39" s="135"/>
      <c r="AXB39" s="126"/>
      <c r="AXC39" s="126"/>
      <c r="AXD39" s="128"/>
      <c r="AXE39" s="130"/>
      <c r="AXF39" s="132"/>
      <c r="AXG39" s="133" t="s">
        <v>48</v>
      </c>
      <c r="AXH39" s="134"/>
      <c r="AXI39" s="135"/>
      <c r="AXJ39" s="126"/>
      <c r="AXK39" s="126"/>
      <c r="AXL39" s="128"/>
      <c r="AXM39" s="130"/>
      <c r="AXN39" s="132"/>
      <c r="AXO39" s="133" t="s">
        <v>48</v>
      </c>
      <c r="AXP39" s="134"/>
      <c r="AXQ39" s="135"/>
      <c r="AXR39" s="126"/>
      <c r="AXS39" s="126"/>
      <c r="AXT39" s="128"/>
      <c r="AXU39" s="130"/>
      <c r="AXV39" s="132"/>
      <c r="AXW39" s="133" t="s">
        <v>48</v>
      </c>
      <c r="AXX39" s="134"/>
      <c r="AXY39" s="135"/>
      <c r="AXZ39" s="126"/>
      <c r="AYA39" s="126"/>
      <c r="AYB39" s="128"/>
      <c r="AYC39" s="130"/>
      <c r="AYD39" s="132"/>
      <c r="AYE39" s="133" t="s">
        <v>48</v>
      </c>
      <c r="AYF39" s="134"/>
      <c r="AYG39" s="135"/>
      <c r="AYH39" s="126"/>
      <c r="AYI39" s="126"/>
      <c r="AYJ39" s="128"/>
      <c r="AYK39" s="130"/>
      <c r="AYL39" s="132"/>
      <c r="AYM39" s="133" t="s">
        <v>48</v>
      </c>
      <c r="AYN39" s="134"/>
      <c r="AYO39" s="135"/>
      <c r="AYP39" s="126"/>
      <c r="AYQ39" s="126"/>
      <c r="AYR39" s="128"/>
      <c r="AYS39" s="130"/>
      <c r="AYT39" s="132"/>
      <c r="AYU39" s="133" t="s">
        <v>48</v>
      </c>
      <c r="AYV39" s="134"/>
      <c r="AYW39" s="135"/>
      <c r="AYX39" s="126"/>
      <c r="AYY39" s="126"/>
      <c r="AYZ39" s="128"/>
      <c r="AZA39" s="130"/>
      <c r="AZB39" s="132"/>
      <c r="AZC39" s="133" t="s">
        <v>48</v>
      </c>
      <c r="AZD39" s="134"/>
      <c r="AZE39" s="135"/>
      <c r="AZF39" s="126"/>
      <c r="AZG39" s="126"/>
      <c r="AZH39" s="128"/>
      <c r="AZI39" s="130"/>
      <c r="AZJ39" s="132"/>
      <c r="AZK39" s="133" t="s">
        <v>48</v>
      </c>
      <c r="AZL39" s="134"/>
      <c r="AZM39" s="135"/>
      <c r="AZN39" s="126"/>
      <c r="AZO39" s="126"/>
      <c r="AZP39" s="128"/>
      <c r="AZQ39" s="130"/>
      <c r="AZR39" s="132"/>
      <c r="AZS39" s="133" t="s">
        <v>48</v>
      </c>
      <c r="AZT39" s="134"/>
      <c r="AZU39" s="135"/>
      <c r="AZV39" s="126"/>
      <c r="AZW39" s="126"/>
      <c r="AZX39" s="128"/>
      <c r="AZY39" s="130"/>
      <c r="AZZ39" s="132"/>
      <c r="BAA39" s="133" t="s">
        <v>48</v>
      </c>
      <c r="BAB39" s="134"/>
      <c r="BAC39" s="135"/>
      <c r="BAD39" s="126"/>
      <c r="BAE39" s="126"/>
      <c r="BAF39" s="128"/>
      <c r="BAG39" s="130"/>
      <c r="BAH39" s="132"/>
      <c r="BAI39" s="133" t="s">
        <v>48</v>
      </c>
      <c r="BAJ39" s="134"/>
      <c r="BAK39" s="135"/>
      <c r="BAL39" s="126"/>
      <c r="BAM39" s="126"/>
      <c r="BAN39" s="128"/>
      <c r="BAO39" s="130"/>
      <c r="BAP39" s="132"/>
      <c r="BAQ39" s="133" t="s">
        <v>48</v>
      </c>
      <c r="BAR39" s="134"/>
      <c r="BAS39" s="135"/>
      <c r="BAT39" s="126"/>
      <c r="BAU39" s="126"/>
      <c r="BAV39" s="128"/>
      <c r="BAW39" s="130"/>
      <c r="BAX39" s="132"/>
      <c r="BAY39" s="133" t="s">
        <v>48</v>
      </c>
      <c r="BAZ39" s="134"/>
      <c r="BBA39" s="135"/>
      <c r="BBB39" s="126"/>
      <c r="BBC39" s="126"/>
      <c r="BBD39" s="128"/>
      <c r="BBE39" s="130"/>
      <c r="BBF39" s="132"/>
      <c r="BBG39" s="133" t="s">
        <v>48</v>
      </c>
      <c r="BBH39" s="134"/>
      <c r="BBI39" s="135"/>
      <c r="BBJ39" s="126"/>
      <c r="BBK39" s="126"/>
      <c r="BBL39" s="128"/>
      <c r="BBM39" s="130"/>
      <c r="BBN39" s="132"/>
      <c r="BBO39" s="133" t="s">
        <v>48</v>
      </c>
      <c r="BBP39" s="134"/>
      <c r="BBQ39" s="135"/>
      <c r="BBR39" s="126"/>
      <c r="BBS39" s="126"/>
      <c r="BBT39" s="128"/>
      <c r="BBU39" s="130"/>
      <c r="BBV39" s="132"/>
      <c r="BBW39" s="133" t="s">
        <v>48</v>
      </c>
      <c r="BBX39" s="134"/>
      <c r="BBY39" s="135"/>
      <c r="BBZ39" s="126"/>
      <c r="BCA39" s="126"/>
      <c r="BCB39" s="128"/>
      <c r="BCC39" s="130"/>
      <c r="BCD39" s="132"/>
      <c r="BCE39" s="133" t="s">
        <v>48</v>
      </c>
      <c r="BCF39" s="134"/>
      <c r="BCG39" s="135"/>
      <c r="BCH39" s="126"/>
      <c r="BCI39" s="126"/>
      <c r="BCJ39" s="128"/>
      <c r="BCK39" s="130"/>
      <c r="BCL39" s="132"/>
      <c r="BCM39" s="133" t="s">
        <v>48</v>
      </c>
      <c r="BCN39" s="134"/>
      <c r="BCO39" s="135"/>
      <c r="BCP39" s="126"/>
      <c r="BCQ39" s="126"/>
      <c r="BCR39" s="128"/>
      <c r="BCS39" s="130"/>
      <c r="BCT39" s="132"/>
      <c r="BCU39" s="133" t="s">
        <v>48</v>
      </c>
      <c r="BCV39" s="134"/>
      <c r="BCW39" s="135"/>
      <c r="BCX39" s="126"/>
      <c r="BCY39" s="126"/>
      <c r="BCZ39" s="128"/>
      <c r="BDA39" s="130"/>
      <c r="BDB39" s="132"/>
      <c r="BDC39" s="133" t="s">
        <v>48</v>
      </c>
      <c r="BDD39" s="134"/>
      <c r="BDE39" s="135"/>
      <c r="BDF39" s="126"/>
      <c r="BDG39" s="126"/>
      <c r="BDH39" s="128"/>
      <c r="BDI39" s="130"/>
      <c r="BDJ39" s="132"/>
      <c r="BDK39" s="133" t="s">
        <v>48</v>
      </c>
      <c r="BDL39" s="134"/>
      <c r="BDM39" s="135"/>
      <c r="BDN39" s="126"/>
      <c r="BDO39" s="126"/>
      <c r="BDP39" s="128"/>
      <c r="BDQ39" s="130"/>
      <c r="BDR39" s="132"/>
      <c r="BDS39" s="133" t="s">
        <v>48</v>
      </c>
      <c r="BDT39" s="134"/>
      <c r="BDU39" s="135"/>
      <c r="BDV39" s="126"/>
      <c r="BDW39" s="126"/>
      <c r="BDX39" s="128"/>
      <c r="BDY39" s="130"/>
      <c r="BDZ39" s="132"/>
      <c r="BEA39" s="133" t="s">
        <v>48</v>
      </c>
      <c r="BEB39" s="134"/>
      <c r="BEC39" s="135"/>
      <c r="BED39" s="126"/>
      <c r="BEE39" s="126"/>
      <c r="BEF39" s="128"/>
      <c r="BEG39" s="130"/>
      <c r="BEH39" s="132"/>
      <c r="BEI39" s="133" t="s">
        <v>48</v>
      </c>
      <c r="BEJ39" s="134"/>
      <c r="BEK39" s="135"/>
      <c r="BEL39" s="126"/>
      <c r="BEM39" s="126"/>
      <c r="BEN39" s="128"/>
      <c r="BEO39" s="130"/>
      <c r="BEP39" s="132"/>
      <c r="BEQ39" s="133" t="s">
        <v>48</v>
      </c>
      <c r="BER39" s="134"/>
      <c r="BES39" s="135"/>
      <c r="BET39" s="126"/>
      <c r="BEU39" s="126"/>
      <c r="BEV39" s="128"/>
      <c r="BEW39" s="130"/>
      <c r="BEX39" s="132"/>
      <c r="BEY39" s="133" t="s">
        <v>48</v>
      </c>
      <c r="BEZ39" s="134"/>
      <c r="BFA39" s="135"/>
      <c r="BFB39" s="126"/>
      <c r="BFC39" s="126"/>
      <c r="BFD39" s="128"/>
      <c r="BFE39" s="130"/>
      <c r="BFF39" s="132"/>
      <c r="BFG39" s="133" t="s">
        <v>48</v>
      </c>
      <c r="BFH39" s="134"/>
      <c r="BFI39" s="135"/>
      <c r="BFJ39" s="126"/>
      <c r="BFK39" s="126"/>
      <c r="BFL39" s="128"/>
      <c r="BFM39" s="130"/>
      <c r="BFN39" s="132"/>
      <c r="BFO39" s="133" t="s">
        <v>48</v>
      </c>
      <c r="BFP39" s="134"/>
      <c r="BFQ39" s="135"/>
      <c r="BFR39" s="126"/>
      <c r="BFS39" s="126"/>
      <c r="BFT39" s="128"/>
      <c r="BFU39" s="130"/>
      <c r="BFV39" s="132"/>
      <c r="BFW39" s="133" t="s">
        <v>48</v>
      </c>
      <c r="BFX39" s="134"/>
      <c r="BFY39" s="135"/>
      <c r="BFZ39" s="126"/>
      <c r="BGA39" s="126"/>
      <c r="BGB39" s="128"/>
      <c r="BGC39" s="130"/>
      <c r="BGD39" s="132"/>
      <c r="BGE39" s="133" t="s">
        <v>48</v>
      </c>
      <c r="BGF39" s="134"/>
      <c r="BGG39" s="135"/>
      <c r="BGH39" s="126"/>
      <c r="BGI39" s="126"/>
      <c r="BGJ39" s="128"/>
      <c r="BGK39" s="130"/>
      <c r="BGL39" s="132"/>
      <c r="BGM39" s="133" t="s">
        <v>48</v>
      </c>
      <c r="BGN39" s="134"/>
      <c r="BGO39" s="135"/>
      <c r="BGP39" s="126"/>
      <c r="BGQ39" s="126"/>
      <c r="BGR39" s="128"/>
      <c r="BGS39" s="130"/>
      <c r="BGT39" s="132"/>
      <c r="BGU39" s="133" t="s">
        <v>48</v>
      </c>
      <c r="BGV39" s="134"/>
      <c r="BGW39" s="135"/>
      <c r="BGX39" s="126"/>
      <c r="BGY39" s="126"/>
      <c r="BGZ39" s="128"/>
      <c r="BHA39" s="130"/>
      <c r="BHB39" s="132"/>
      <c r="BHC39" s="133" t="s">
        <v>48</v>
      </c>
      <c r="BHD39" s="134"/>
      <c r="BHE39" s="135"/>
      <c r="BHF39" s="126"/>
      <c r="BHG39" s="126"/>
      <c r="BHH39" s="128"/>
      <c r="BHI39" s="130"/>
      <c r="BHJ39" s="132"/>
      <c r="BHK39" s="133" t="s">
        <v>48</v>
      </c>
      <c r="BHL39" s="134"/>
      <c r="BHM39" s="135"/>
      <c r="BHN39" s="126"/>
      <c r="BHO39" s="126"/>
      <c r="BHP39" s="128"/>
      <c r="BHQ39" s="130"/>
      <c r="BHR39" s="132"/>
      <c r="BHS39" s="133" t="s">
        <v>48</v>
      </c>
      <c r="BHT39" s="134"/>
      <c r="BHU39" s="135"/>
      <c r="BHV39" s="126"/>
      <c r="BHW39" s="126"/>
      <c r="BHX39" s="128"/>
      <c r="BHY39" s="130"/>
      <c r="BHZ39" s="132"/>
      <c r="BIA39" s="133" t="s">
        <v>48</v>
      </c>
      <c r="BIB39" s="134"/>
      <c r="BIC39" s="135"/>
      <c r="BID39" s="126"/>
      <c r="BIE39" s="126"/>
      <c r="BIF39" s="128"/>
      <c r="BIG39" s="130"/>
      <c r="BIH39" s="132"/>
      <c r="BII39" s="133" t="s">
        <v>48</v>
      </c>
      <c r="BIJ39" s="134"/>
      <c r="BIK39" s="135"/>
      <c r="BIL39" s="126"/>
      <c r="BIM39" s="126"/>
      <c r="BIN39" s="128"/>
      <c r="BIO39" s="130"/>
      <c r="BIP39" s="132"/>
      <c r="BIQ39" s="133" t="s">
        <v>48</v>
      </c>
      <c r="BIR39" s="134"/>
      <c r="BIS39" s="135"/>
      <c r="BIT39" s="126"/>
      <c r="BIU39" s="126"/>
      <c r="BIV39" s="128"/>
      <c r="BIW39" s="130"/>
      <c r="BIX39" s="132"/>
      <c r="BIY39" s="133" t="s">
        <v>48</v>
      </c>
      <c r="BIZ39" s="134"/>
      <c r="BJA39" s="135"/>
      <c r="BJB39" s="126"/>
      <c r="BJC39" s="126"/>
      <c r="BJD39" s="128"/>
      <c r="BJE39" s="130"/>
      <c r="BJF39" s="132"/>
      <c r="BJG39" s="133" t="s">
        <v>48</v>
      </c>
      <c r="BJH39" s="134"/>
      <c r="BJI39" s="135"/>
      <c r="BJJ39" s="126"/>
      <c r="BJK39" s="126"/>
      <c r="BJL39" s="128"/>
      <c r="BJM39" s="130"/>
      <c r="BJN39" s="132"/>
      <c r="BJO39" s="133" t="s">
        <v>48</v>
      </c>
      <c r="BJP39" s="134"/>
      <c r="BJQ39" s="135"/>
      <c r="BJR39" s="126"/>
      <c r="BJS39" s="126"/>
      <c r="BJT39" s="128"/>
      <c r="BJU39" s="130"/>
      <c r="BJV39" s="132"/>
      <c r="BJW39" s="133" t="s">
        <v>48</v>
      </c>
      <c r="BJX39" s="134"/>
      <c r="BJY39" s="135"/>
      <c r="BJZ39" s="126"/>
      <c r="BKA39" s="126"/>
      <c r="BKB39" s="128"/>
      <c r="BKC39" s="130"/>
      <c r="BKD39" s="132"/>
      <c r="BKE39" s="133" t="s">
        <v>48</v>
      </c>
      <c r="BKF39" s="134"/>
      <c r="BKG39" s="135"/>
      <c r="BKH39" s="126"/>
      <c r="BKI39" s="126"/>
      <c r="BKJ39" s="128"/>
      <c r="BKK39" s="130"/>
      <c r="BKL39" s="132"/>
      <c r="BKM39" s="133" t="s">
        <v>48</v>
      </c>
      <c r="BKN39" s="134"/>
      <c r="BKO39" s="135"/>
      <c r="BKP39" s="126"/>
      <c r="BKQ39" s="126"/>
      <c r="BKR39" s="128"/>
      <c r="BKS39" s="130"/>
      <c r="BKT39" s="132"/>
      <c r="BKU39" s="133" t="s">
        <v>48</v>
      </c>
      <c r="BKV39" s="134"/>
      <c r="BKW39" s="135"/>
      <c r="BKX39" s="126"/>
      <c r="BKY39" s="126"/>
      <c r="BKZ39" s="128"/>
      <c r="BLA39" s="130"/>
      <c r="BLB39" s="132"/>
      <c r="BLC39" s="133" t="s">
        <v>48</v>
      </c>
      <c r="BLD39" s="134"/>
      <c r="BLE39" s="135"/>
      <c r="BLF39" s="126"/>
      <c r="BLG39" s="126"/>
      <c r="BLH39" s="128"/>
      <c r="BLI39" s="130"/>
      <c r="BLJ39" s="132"/>
      <c r="BLK39" s="133" t="s">
        <v>48</v>
      </c>
      <c r="BLL39" s="134"/>
      <c r="BLM39" s="135"/>
      <c r="BLN39" s="126"/>
      <c r="BLO39" s="126"/>
      <c r="BLP39" s="128"/>
      <c r="BLQ39" s="130"/>
      <c r="BLR39" s="132"/>
      <c r="BLS39" s="133" t="s">
        <v>48</v>
      </c>
      <c r="BLT39" s="134"/>
      <c r="BLU39" s="135"/>
      <c r="BLV39" s="126"/>
      <c r="BLW39" s="126"/>
      <c r="BLX39" s="128"/>
      <c r="BLY39" s="130"/>
      <c r="BLZ39" s="132"/>
      <c r="BMA39" s="133" t="s">
        <v>48</v>
      </c>
      <c r="BMB39" s="134"/>
      <c r="BMC39" s="135"/>
      <c r="BMD39" s="126"/>
      <c r="BME39" s="126"/>
      <c r="BMF39" s="128"/>
      <c r="BMG39" s="130"/>
      <c r="BMH39" s="132"/>
      <c r="BMI39" s="133" t="s">
        <v>48</v>
      </c>
      <c r="BMJ39" s="134"/>
      <c r="BMK39" s="135"/>
      <c r="BML39" s="126"/>
      <c r="BMM39" s="126"/>
      <c r="BMN39" s="128"/>
      <c r="BMO39" s="130"/>
      <c r="BMP39" s="132"/>
      <c r="BMQ39" s="133" t="s">
        <v>48</v>
      </c>
      <c r="BMR39" s="134"/>
      <c r="BMS39" s="135"/>
      <c r="BMT39" s="126"/>
      <c r="BMU39" s="126"/>
      <c r="BMV39" s="128"/>
      <c r="BMW39" s="130"/>
      <c r="BMX39" s="132"/>
      <c r="BMY39" s="133" t="s">
        <v>48</v>
      </c>
      <c r="BMZ39" s="134"/>
      <c r="BNA39" s="135"/>
      <c r="BNB39" s="126"/>
      <c r="BNC39" s="126"/>
      <c r="BND39" s="128"/>
      <c r="BNE39" s="130"/>
      <c r="BNF39" s="132"/>
      <c r="BNG39" s="133" t="s">
        <v>48</v>
      </c>
      <c r="BNH39" s="134"/>
      <c r="BNI39" s="135"/>
      <c r="BNJ39" s="126"/>
      <c r="BNK39" s="126"/>
      <c r="BNL39" s="128"/>
      <c r="BNM39" s="130"/>
      <c r="BNN39" s="132"/>
      <c r="BNO39" s="133" t="s">
        <v>48</v>
      </c>
      <c r="BNP39" s="134"/>
      <c r="BNQ39" s="135"/>
      <c r="BNR39" s="126"/>
      <c r="BNS39" s="126"/>
      <c r="BNT39" s="128"/>
      <c r="BNU39" s="130"/>
      <c r="BNV39" s="132"/>
      <c r="BNW39" s="133" t="s">
        <v>48</v>
      </c>
      <c r="BNX39" s="134"/>
      <c r="BNY39" s="135"/>
      <c r="BNZ39" s="126"/>
      <c r="BOA39" s="126"/>
      <c r="BOB39" s="128"/>
      <c r="BOC39" s="130"/>
      <c r="BOD39" s="132"/>
      <c r="BOE39" s="133" t="s">
        <v>48</v>
      </c>
      <c r="BOF39" s="134"/>
      <c r="BOG39" s="135"/>
      <c r="BOH39" s="126"/>
      <c r="BOI39" s="126"/>
      <c r="BOJ39" s="128"/>
      <c r="BOK39" s="130"/>
      <c r="BOL39" s="132"/>
      <c r="BOM39" s="133" t="s">
        <v>48</v>
      </c>
      <c r="BON39" s="134"/>
      <c r="BOO39" s="135"/>
      <c r="BOP39" s="126"/>
      <c r="BOQ39" s="126"/>
      <c r="BOR39" s="128"/>
      <c r="BOS39" s="130"/>
      <c r="BOT39" s="132"/>
      <c r="BOU39" s="133" t="s">
        <v>48</v>
      </c>
      <c r="BOV39" s="134"/>
      <c r="BOW39" s="135"/>
      <c r="BOX39" s="126"/>
      <c r="BOY39" s="126"/>
      <c r="BOZ39" s="128"/>
      <c r="BPA39" s="130"/>
      <c r="BPB39" s="132"/>
      <c r="BPC39" s="133" t="s">
        <v>48</v>
      </c>
      <c r="BPD39" s="134"/>
      <c r="BPE39" s="135"/>
      <c r="BPF39" s="126"/>
      <c r="BPG39" s="126"/>
      <c r="BPH39" s="128"/>
      <c r="BPI39" s="130"/>
      <c r="BPJ39" s="132"/>
      <c r="BPK39" s="133" t="s">
        <v>48</v>
      </c>
      <c r="BPL39" s="134"/>
      <c r="BPM39" s="135"/>
      <c r="BPN39" s="126"/>
      <c r="BPO39" s="126"/>
      <c r="BPP39" s="128"/>
      <c r="BPQ39" s="130"/>
      <c r="BPR39" s="132"/>
      <c r="BPS39" s="133" t="s">
        <v>48</v>
      </c>
      <c r="BPT39" s="134"/>
      <c r="BPU39" s="135"/>
      <c r="BPV39" s="126"/>
      <c r="BPW39" s="126"/>
      <c r="BPX39" s="128"/>
      <c r="BPY39" s="130"/>
      <c r="BPZ39" s="132"/>
      <c r="BQA39" s="133" t="s">
        <v>48</v>
      </c>
      <c r="BQB39" s="134"/>
      <c r="BQC39" s="135"/>
      <c r="BQD39" s="126"/>
      <c r="BQE39" s="126"/>
      <c r="BQF39" s="128"/>
      <c r="BQG39" s="130"/>
      <c r="BQH39" s="132"/>
      <c r="BQI39" s="133" t="s">
        <v>48</v>
      </c>
      <c r="BQJ39" s="134"/>
      <c r="BQK39" s="135"/>
      <c r="BQL39" s="126"/>
      <c r="BQM39" s="126"/>
      <c r="BQN39" s="128"/>
      <c r="BQO39" s="130"/>
      <c r="BQP39" s="132"/>
      <c r="BQQ39" s="133" t="s">
        <v>48</v>
      </c>
      <c r="BQR39" s="134"/>
      <c r="BQS39" s="135"/>
      <c r="BQT39" s="126"/>
      <c r="BQU39" s="126"/>
      <c r="BQV39" s="128"/>
      <c r="BQW39" s="130"/>
      <c r="BQX39" s="132"/>
      <c r="BQY39" s="133" t="s">
        <v>48</v>
      </c>
      <c r="BQZ39" s="134"/>
      <c r="BRA39" s="135"/>
      <c r="BRB39" s="126"/>
      <c r="BRC39" s="126"/>
      <c r="BRD39" s="128"/>
      <c r="BRE39" s="130"/>
      <c r="BRF39" s="132"/>
      <c r="BRG39" s="133" t="s">
        <v>48</v>
      </c>
      <c r="BRH39" s="134"/>
      <c r="BRI39" s="135"/>
      <c r="BRJ39" s="126"/>
      <c r="BRK39" s="126"/>
      <c r="BRL39" s="128"/>
      <c r="BRM39" s="130"/>
      <c r="BRN39" s="132"/>
      <c r="BRO39" s="133" t="s">
        <v>48</v>
      </c>
      <c r="BRP39" s="134"/>
      <c r="BRQ39" s="135"/>
      <c r="BRR39" s="126"/>
      <c r="BRS39" s="126"/>
      <c r="BRT39" s="128"/>
      <c r="BRU39" s="130"/>
      <c r="BRV39" s="132"/>
      <c r="BRW39" s="133" t="s">
        <v>48</v>
      </c>
      <c r="BRX39" s="134"/>
      <c r="BRY39" s="135"/>
      <c r="BRZ39" s="126"/>
      <c r="BSA39" s="126"/>
      <c r="BSB39" s="128"/>
      <c r="BSC39" s="130"/>
      <c r="BSD39" s="132"/>
      <c r="BSE39" s="133" t="s">
        <v>48</v>
      </c>
      <c r="BSF39" s="134"/>
      <c r="BSG39" s="135"/>
      <c r="BSH39" s="126"/>
      <c r="BSI39" s="126"/>
      <c r="BSJ39" s="128"/>
      <c r="BSK39" s="130"/>
      <c r="BSL39" s="132"/>
      <c r="BSM39" s="133" t="s">
        <v>48</v>
      </c>
      <c r="BSN39" s="134"/>
      <c r="BSO39" s="135"/>
      <c r="BSP39" s="126"/>
      <c r="BSQ39" s="126"/>
      <c r="BSR39" s="128"/>
      <c r="BSS39" s="130"/>
      <c r="BST39" s="132"/>
      <c r="BSU39" s="133" t="s">
        <v>48</v>
      </c>
      <c r="BSV39" s="134"/>
      <c r="BSW39" s="135"/>
      <c r="BSX39" s="126"/>
      <c r="BSY39" s="126"/>
      <c r="BSZ39" s="128"/>
      <c r="BTA39" s="130"/>
      <c r="BTB39" s="132"/>
      <c r="BTC39" s="133" t="s">
        <v>48</v>
      </c>
      <c r="BTD39" s="134"/>
      <c r="BTE39" s="135"/>
      <c r="BTF39" s="126"/>
      <c r="BTG39" s="126"/>
      <c r="BTH39" s="128"/>
      <c r="BTI39" s="130"/>
      <c r="BTJ39" s="132"/>
      <c r="BTK39" s="133" t="s">
        <v>48</v>
      </c>
      <c r="BTL39" s="134"/>
      <c r="BTM39" s="135"/>
      <c r="BTN39" s="126"/>
      <c r="BTO39" s="126"/>
      <c r="BTP39" s="128"/>
      <c r="BTQ39" s="130"/>
      <c r="BTR39" s="132"/>
      <c r="BTS39" s="133" t="s">
        <v>48</v>
      </c>
      <c r="BTT39" s="134"/>
      <c r="BTU39" s="135"/>
      <c r="BTV39" s="126"/>
      <c r="BTW39" s="126"/>
      <c r="BTX39" s="128"/>
      <c r="BTY39" s="130"/>
      <c r="BTZ39" s="132"/>
      <c r="BUA39" s="133" t="s">
        <v>48</v>
      </c>
      <c r="BUB39" s="134"/>
      <c r="BUC39" s="135"/>
      <c r="BUD39" s="126"/>
      <c r="BUE39" s="126"/>
      <c r="BUF39" s="128"/>
      <c r="BUG39" s="130"/>
      <c r="BUH39" s="132"/>
      <c r="BUI39" s="133" t="s">
        <v>48</v>
      </c>
      <c r="BUJ39" s="134"/>
      <c r="BUK39" s="135"/>
      <c r="BUL39" s="126"/>
      <c r="BUM39" s="126"/>
      <c r="BUN39" s="128"/>
      <c r="BUO39" s="130"/>
      <c r="BUP39" s="132"/>
      <c r="BUQ39" s="133" t="s">
        <v>48</v>
      </c>
      <c r="BUR39" s="134"/>
      <c r="BUS39" s="135"/>
      <c r="BUT39" s="126"/>
      <c r="BUU39" s="126"/>
      <c r="BUV39" s="128"/>
      <c r="BUW39" s="130"/>
      <c r="BUX39" s="132"/>
      <c r="BUY39" s="133" t="s">
        <v>48</v>
      </c>
      <c r="BUZ39" s="134"/>
      <c r="BVA39" s="135"/>
      <c r="BVB39" s="126"/>
      <c r="BVC39" s="126"/>
      <c r="BVD39" s="128"/>
      <c r="BVE39" s="130"/>
      <c r="BVF39" s="132"/>
      <c r="BVG39" s="133" t="s">
        <v>48</v>
      </c>
      <c r="BVH39" s="134"/>
      <c r="BVI39" s="135"/>
      <c r="BVJ39" s="126"/>
      <c r="BVK39" s="126"/>
      <c r="BVL39" s="128"/>
      <c r="BVM39" s="130"/>
      <c r="BVN39" s="132"/>
      <c r="BVO39" s="133" t="s">
        <v>48</v>
      </c>
      <c r="BVP39" s="134"/>
      <c r="BVQ39" s="135"/>
      <c r="BVR39" s="126"/>
      <c r="BVS39" s="126"/>
      <c r="BVT39" s="128"/>
      <c r="BVU39" s="130"/>
      <c r="BVV39" s="132"/>
      <c r="BVW39" s="133" t="s">
        <v>48</v>
      </c>
      <c r="BVX39" s="134"/>
      <c r="BVY39" s="135"/>
      <c r="BVZ39" s="126"/>
      <c r="BWA39" s="126"/>
      <c r="BWB39" s="128"/>
      <c r="BWC39" s="130"/>
      <c r="BWD39" s="132"/>
      <c r="BWE39" s="133" t="s">
        <v>48</v>
      </c>
      <c r="BWF39" s="134"/>
      <c r="BWG39" s="135"/>
      <c r="BWH39" s="126"/>
      <c r="BWI39" s="126"/>
      <c r="BWJ39" s="128"/>
      <c r="BWK39" s="130"/>
      <c r="BWL39" s="132"/>
      <c r="BWM39" s="133" t="s">
        <v>48</v>
      </c>
      <c r="BWN39" s="134"/>
      <c r="BWO39" s="135"/>
      <c r="BWP39" s="126"/>
      <c r="BWQ39" s="126"/>
      <c r="BWR39" s="128"/>
      <c r="BWS39" s="130"/>
      <c r="BWT39" s="132"/>
      <c r="BWU39" s="133" t="s">
        <v>48</v>
      </c>
      <c r="BWV39" s="134"/>
      <c r="BWW39" s="135"/>
      <c r="BWX39" s="126"/>
      <c r="BWY39" s="126"/>
      <c r="BWZ39" s="128"/>
      <c r="BXA39" s="130"/>
      <c r="BXB39" s="132"/>
      <c r="BXC39" s="133" t="s">
        <v>48</v>
      </c>
      <c r="BXD39" s="134"/>
      <c r="BXE39" s="135"/>
      <c r="BXF39" s="126"/>
      <c r="BXG39" s="126"/>
      <c r="BXH39" s="128"/>
      <c r="BXI39" s="130"/>
      <c r="BXJ39" s="132"/>
      <c r="BXK39" s="133" t="s">
        <v>48</v>
      </c>
      <c r="BXL39" s="134"/>
      <c r="BXM39" s="135"/>
      <c r="BXN39" s="126"/>
      <c r="BXO39" s="126"/>
      <c r="BXP39" s="128"/>
      <c r="BXQ39" s="130"/>
      <c r="BXR39" s="132"/>
      <c r="BXS39" s="133" t="s">
        <v>48</v>
      </c>
      <c r="BXT39" s="134"/>
      <c r="BXU39" s="135"/>
      <c r="BXV39" s="126"/>
      <c r="BXW39" s="126"/>
      <c r="BXX39" s="128"/>
      <c r="BXY39" s="130"/>
      <c r="BXZ39" s="132"/>
      <c r="BYA39" s="133" t="s">
        <v>48</v>
      </c>
      <c r="BYB39" s="134"/>
      <c r="BYC39" s="135"/>
      <c r="BYD39" s="126"/>
      <c r="BYE39" s="126"/>
      <c r="BYF39" s="128"/>
      <c r="BYG39" s="130"/>
      <c r="BYH39" s="132"/>
      <c r="BYI39" s="133" t="s">
        <v>48</v>
      </c>
      <c r="BYJ39" s="134"/>
      <c r="BYK39" s="135"/>
      <c r="BYL39" s="126"/>
      <c r="BYM39" s="126"/>
      <c r="BYN39" s="128"/>
      <c r="BYO39" s="130"/>
      <c r="BYP39" s="132"/>
      <c r="BYQ39" s="133" t="s">
        <v>48</v>
      </c>
      <c r="BYR39" s="134"/>
      <c r="BYS39" s="135"/>
      <c r="BYT39" s="126"/>
      <c r="BYU39" s="126"/>
      <c r="BYV39" s="128"/>
      <c r="BYW39" s="130"/>
      <c r="BYX39" s="132"/>
      <c r="BYY39" s="133" t="s">
        <v>48</v>
      </c>
      <c r="BYZ39" s="134"/>
      <c r="BZA39" s="135"/>
      <c r="BZB39" s="126"/>
      <c r="BZC39" s="126"/>
      <c r="BZD39" s="128"/>
      <c r="BZE39" s="130"/>
      <c r="BZF39" s="132"/>
      <c r="BZG39" s="133" t="s">
        <v>48</v>
      </c>
      <c r="BZH39" s="134"/>
      <c r="BZI39" s="135"/>
      <c r="BZJ39" s="126"/>
      <c r="BZK39" s="126"/>
      <c r="BZL39" s="128"/>
      <c r="BZM39" s="130"/>
      <c r="BZN39" s="132"/>
      <c r="BZO39" s="133" t="s">
        <v>48</v>
      </c>
      <c r="BZP39" s="134"/>
      <c r="BZQ39" s="135"/>
      <c r="BZR39" s="126"/>
      <c r="BZS39" s="126"/>
      <c r="BZT39" s="128"/>
      <c r="BZU39" s="130"/>
      <c r="BZV39" s="132"/>
      <c r="BZW39" s="133" t="s">
        <v>48</v>
      </c>
      <c r="BZX39" s="134"/>
      <c r="BZY39" s="135"/>
      <c r="BZZ39" s="126"/>
      <c r="CAA39" s="126"/>
      <c r="CAB39" s="128"/>
      <c r="CAC39" s="130"/>
      <c r="CAD39" s="132"/>
      <c r="CAE39" s="133" t="s">
        <v>48</v>
      </c>
      <c r="CAF39" s="134"/>
      <c r="CAG39" s="135"/>
      <c r="CAH39" s="126"/>
      <c r="CAI39" s="126"/>
      <c r="CAJ39" s="128"/>
      <c r="CAK39" s="130"/>
      <c r="CAL39" s="132"/>
      <c r="CAM39" s="133" t="s">
        <v>48</v>
      </c>
      <c r="CAN39" s="134"/>
      <c r="CAO39" s="135"/>
      <c r="CAP39" s="126"/>
      <c r="CAQ39" s="126"/>
      <c r="CAR39" s="128"/>
      <c r="CAS39" s="130"/>
      <c r="CAT39" s="132"/>
      <c r="CAU39" s="133" t="s">
        <v>48</v>
      </c>
      <c r="CAV39" s="134"/>
      <c r="CAW39" s="135"/>
      <c r="CAX39" s="126"/>
      <c r="CAY39" s="126"/>
      <c r="CAZ39" s="128"/>
      <c r="CBA39" s="130"/>
      <c r="CBB39" s="132"/>
      <c r="CBC39" s="133" t="s">
        <v>48</v>
      </c>
      <c r="CBD39" s="134"/>
      <c r="CBE39" s="135"/>
      <c r="CBF39" s="126"/>
      <c r="CBG39" s="126"/>
      <c r="CBH39" s="128"/>
      <c r="CBI39" s="130"/>
      <c r="CBJ39" s="132"/>
      <c r="CBK39" s="133" t="s">
        <v>48</v>
      </c>
      <c r="CBL39" s="134"/>
      <c r="CBM39" s="135"/>
      <c r="CBN39" s="126"/>
      <c r="CBO39" s="126"/>
      <c r="CBP39" s="128"/>
      <c r="CBQ39" s="130"/>
      <c r="CBR39" s="132"/>
      <c r="CBS39" s="133" t="s">
        <v>48</v>
      </c>
      <c r="CBT39" s="134"/>
      <c r="CBU39" s="135"/>
      <c r="CBV39" s="126"/>
      <c r="CBW39" s="126"/>
      <c r="CBX39" s="128"/>
      <c r="CBY39" s="130"/>
      <c r="CBZ39" s="132"/>
      <c r="CCA39" s="133" t="s">
        <v>48</v>
      </c>
      <c r="CCB39" s="134"/>
      <c r="CCC39" s="135"/>
      <c r="CCD39" s="126"/>
      <c r="CCE39" s="126"/>
      <c r="CCF39" s="128"/>
      <c r="CCG39" s="130"/>
      <c r="CCH39" s="132"/>
      <c r="CCI39" s="133" t="s">
        <v>48</v>
      </c>
      <c r="CCJ39" s="134"/>
      <c r="CCK39" s="135"/>
      <c r="CCL39" s="126"/>
      <c r="CCM39" s="126"/>
      <c r="CCN39" s="128"/>
      <c r="CCO39" s="130"/>
      <c r="CCP39" s="132"/>
      <c r="CCQ39" s="133" t="s">
        <v>48</v>
      </c>
      <c r="CCR39" s="134"/>
      <c r="CCS39" s="135"/>
      <c r="CCT39" s="126"/>
      <c r="CCU39" s="126"/>
      <c r="CCV39" s="128"/>
      <c r="CCW39" s="130"/>
      <c r="CCX39" s="132"/>
      <c r="CCY39" s="133" t="s">
        <v>48</v>
      </c>
      <c r="CCZ39" s="134"/>
      <c r="CDA39" s="135"/>
      <c r="CDB39" s="126"/>
      <c r="CDC39" s="126"/>
      <c r="CDD39" s="128"/>
      <c r="CDE39" s="130"/>
      <c r="CDF39" s="132"/>
      <c r="CDG39" s="133" t="s">
        <v>48</v>
      </c>
      <c r="CDH39" s="134"/>
      <c r="CDI39" s="135"/>
      <c r="CDJ39" s="126"/>
      <c r="CDK39" s="126"/>
      <c r="CDL39" s="128"/>
      <c r="CDM39" s="130"/>
      <c r="CDN39" s="132"/>
      <c r="CDO39" s="133" t="s">
        <v>48</v>
      </c>
      <c r="CDP39" s="134"/>
      <c r="CDQ39" s="135"/>
      <c r="CDR39" s="126"/>
      <c r="CDS39" s="126"/>
      <c r="CDT39" s="128"/>
      <c r="CDU39" s="130"/>
      <c r="CDV39" s="132"/>
      <c r="CDW39" s="133" t="s">
        <v>48</v>
      </c>
      <c r="CDX39" s="134"/>
      <c r="CDY39" s="135"/>
      <c r="CDZ39" s="126"/>
      <c r="CEA39" s="126"/>
      <c r="CEB39" s="128"/>
      <c r="CEC39" s="130"/>
      <c r="CED39" s="132"/>
      <c r="CEE39" s="133" t="s">
        <v>48</v>
      </c>
      <c r="CEF39" s="134"/>
      <c r="CEG39" s="135"/>
      <c r="CEH39" s="126"/>
      <c r="CEI39" s="126"/>
      <c r="CEJ39" s="128"/>
      <c r="CEK39" s="130"/>
      <c r="CEL39" s="132"/>
      <c r="CEM39" s="133" t="s">
        <v>48</v>
      </c>
      <c r="CEN39" s="134"/>
      <c r="CEO39" s="135"/>
      <c r="CEP39" s="126"/>
      <c r="CEQ39" s="126"/>
      <c r="CER39" s="128"/>
      <c r="CES39" s="130"/>
      <c r="CET39" s="132"/>
      <c r="CEU39" s="133" t="s">
        <v>48</v>
      </c>
      <c r="CEV39" s="134"/>
      <c r="CEW39" s="135"/>
      <c r="CEX39" s="126"/>
      <c r="CEY39" s="126"/>
      <c r="CEZ39" s="128"/>
      <c r="CFA39" s="130"/>
      <c r="CFB39" s="132"/>
      <c r="CFC39" s="133" t="s">
        <v>48</v>
      </c>
      <c r="CFD39" s="134"/>
      <c r="CFE39" s="135"/>
      <c r="CFF39" s="126"/>
      <c r="CFG39" s="126"/>
      <c r="CFH39" s="128"/>
      <c r="CFI39" s="130"/>
      <c r="CFJ39" s="132"/>
      <c r="CFK39" s="133" t="s">
        <v>48</v>
      </c>
      <c r="CFL39" s="134"/>
      <c r="CFM39" s="135"/>
      <c r="CFN39" s="126"/>
      <c r="CFO39" s="126"/>
      <c r="CFP39" s="128"/>
      <c r="CFQ39" s="130"/>
      <c r="CFR39" s="132"/>
      <c r="CFS39" s="133" t="s">
        <v>48</v>
      </c>
      <c r="CFT39" s="134"/>
      <c r="CFU39" s="135"/>
      <c r="CFV39" s="126"/>
      <c r="CFW39" s="126"/>
      <c r="CFX39" s="128"/>
      <c r="CFY39" s="130"/>
      <c r="CFZ39" s="132"/>
      <c r="CGA39" s="133" t="s">
        <v>48</v>
      </c>
      <c r="CGB39" s="134"/>
      <c r="CGC39" s="135"/>
      <c r="CGD39" s="126"/>
      <c r="CGE39" s="126"/>
      <c r="CGF39" s="128"/>
      <c r="CGG39" s="130"/>
      <c r="CGH39" s="132"/>
      <c r="CGI39" s="133" t="s">
        <v>48</v>
      </c>
      <c r="CGJ39" s="134"/>
      <c r="CGK39" s="135"/>
      <c r="CGL39" s="126"/>
      <c r="CGM39" s="126"/>
      <c r="CGN39" s="128"/>
      <c r="CGO39" s="130"/>
      <c r="CGP39" s="132"/>
      <c r="CGQ39" s="133" t="s">
        <v>48</v>
      </c>
      <c r="CGR39" s="134"/>
      <c r="CGS39" s="135"/>
      <c r="CGT39" s="126"/>
      <c r="CGU39" s="126"/>
      <c r="CGV39" s="128"/>
      <c r="CGW39" s="130"/>
      <c r="CGX39" s="132"/>
      <c r="CGY39" s="133" t="s">
        <v>48</v>
      </c>
      <c r="CGZ39" s="134"/>
      <c r="CHA39" s="135"/>
      <c r="CHB39" s="126"/>
      <c r="CHC39" s="126"/>
      <c r="CHD39" s="128"/>
      <c r="CHE39" s="130"/>
      <c r="CHF39" s="132"/>
      <c r="CHG39" s="133" t="s">
        <v>48</v>
      </c>
      <c r="CHH39" s="134"/>
      <c r="CHI39" s="135"/>
      <c r="CHJ39" s="126"/>
      <c r="CHK39" s="126"/>
      <c r="CHL39" s="128"/>
      <c r="CHM39" s="130"/>
      <c r="CHN39" s="132"/>
      <c r="CHO39" s="133" t="s">
        <v>48</v>
      </c>
      <c r="CHP39" s="134"/>
      <c r="CHQ39" s="135"/>
      <c r="CHR39" s="126"/>
      <c r="CHS39" s="126"/>
      <c r="CHT39" s="128"/>
      <c r="CHU39" s="130"/>
      <c r="CHV39" s="132"/>
      <c r="CHW39" s="133" t="s">
        <v>48</v>
      </c>
      <c r="CHX39" s="134"/>
      <c r="CHY39" s="135"/>
      <c r="CHZ39" s="126"/>
      <c r="CIA39" s="126"/>
      <c r="CIB39" s="128"/>
      <c r="CIC39" s="130"/>
      <c r="CID39" s="132"/>
      <c r="CIE39" s="133" t="s">
        <v>48</v>
      </c>
      <c r="CIF39" s="134"/>
      <c r="CIG39" s="135"/>
      <c r="CIH39" s="126"/>
      <c r="CII39" s="126"/>
      <c r="CIJ39" s="128"/>
      <c r="CIK39" s="130"/>
      <c r="CIL39" s="132"/>
      <c r="CIM39" s="133" t="s">
        <v>48</v>
      </c>
      <c r="CIN39" s="134"/>
      <c r="CIO39" s="135"/>
      <c r="CIP39" s="126"/>
      <c r="CIQ39" s="126"/>
      <c r="CIR39" s="128"/>
      <c r="CIS39" s="130"/>
      <c r="CIT39" s="132"/>
      <c r="CIU39" s="133" t="s">
        <v>48</v>
      </c>
      <c r="CIV39" s="134"/>
      <c r="CIW39" s="135"/>
      <c r="CIX39" s="126"/>
      <c r="CIY39" s="126"/>
      <c r="CIZ39" s="128"/>
      <c r="CJA39" s="130"/>
      <c r="CJB39" s="132"/>
      <c r="CJC39" s="133" t="s">
        <v>48</v>
      </c>
      <c r="CJD39" s="134"/>
      <c r="CJE39" s="135"/>
      <c r="CJF39" s="126"/>
      <c r="CJG39" s="126"/>
      <c r="CJH39" s="128"/>
      <c r="CJI39" s="130"/>
      <c r="CJJ39" s="132"/>
      <c r="CJK39" s="133" t="s">
        <v>48</v>
      </c>
      <c r="CJL39" s="134"/>
      <c r="CJM39" s="135"/>
      <c r="CJN39" s="126"/>
      <c r="CJO39" s="126"/>
      <c r="CJP39" s="128"/>
      <c r="CJQ39" s="130"/>
      <c r="CJR39" s="132"/>
      <c r="CJS39" s="133" t="s">
        <v>48</v>
      </c>
      <c r="CJT39" s="134"/>
      <c r="CJU39" s="135"/>
      <c r="CJV39" s="126"/>
      <c r="CJW39" s="126"/>
      <c r="CJX39" s="128"/>
      <c r="CJY39" s="130"/>
      <c r="CJZ39" s="132"/>
      <c r="CKA39" s="133" t="s">
        <v>48</v>
      </c>
      <c r="CKB39" s="134"/>
      <c r="CKC39" s="135"/>
      <c r="CKD39" s="126"/>
      <c r="CKE39" s="126"/>
      <c r="CKF39" s="128"/>
      <c r="CKG39" s="130"/>
      <c r="CKH39" s="132"/>
      <c r="CKI39" s="133" t="s">
        <v>48</v>
      </c>
      <c r="CKJ39" s="134"/>
      <c r="CKK39" s="135"/>
      <c r="CKL39" s="126"/>
      <c r="CKM39" s="126"/>
      <c r="CKN39" s="128"/>
      <c r="CKO39" s="130"/>
      <c r="CKP39" s="132"/>
      <c r="CKQ39" s="133" t="s">
        <v>48</v>
      </c>
      <c r="CKR39" s="134"/>
      <c r="CKS39" s="135"/>
      <c r="CKT39" s="126"/>
      <c r="CKU39" s="126"/>
      <c r="CKV39" s="128"/>
      <c r="CKW39" s="130"/>
      <c r="CKX39" s="132"/>
      <c r="CKY39" s="133" t="s">
        <v>48</v>
      </c>
      <c r="CKZ39" s="134"/>
      <c r="CLA39" s="135"/>
      <c r="CLB39" s="126"/>
      <c r="CLC39" s="126"/>
      <c r="CLD39" s="128"/>
      <c r="CLE39" s="130"/>
      <c r="CLF39" s="132"/>
      <c r="CLG39" s="133" t="s">
        <v>48</v>
      </c>
      <c r="CLH39" s="134"/>
      <c r="CLI39" s="135"/>
      <c r="CLJ39" s="126"/>
      <c r="CLK39" s="126"/>
      <c r="CLL39" s="128"/>
      <c r="CLM39" s="130"/>
      <c r="CLN39" s="132"/>
      <c r="CLO39" s="133" t="s">
        <v>48</v>
      </c>
      <c r="CLP39" s="134"/>
      <c r="CLQ39" s="135"/>
      <c r="CLR39" s="126"/>
      <c r="CLS39" s="126"/>
      <c r="CLT39" s="128"/>
      <c r="CLU39" s="130"/>
      <c r="CLV39" s="132"/>
      <c r="CLW39" s="133" t="s">
        <v>48</v>
      </c>
      <c r="CLX39" s="134"/>
      <c r="CLY39" s="135"/>
      <c r="CLZ39" s="126"/>
      <c r="CMA39" s="126"/>
      <c r="CMB39" s="128"/>
      <c r="CMC39" s="130"/>
      <c r="CMD39" s="132"/>
      <c r="CME39" s="133" t="s">
        <v>48</v>
      </c>
      <c r="CMF39" s="134"/>
      <c r="CMG39" s="135"/>
      <c r="CMH39" s="126"/>
      <c r="CMI39" s="126"/>
      <c r="CMJ39" s="128"/>
      <c r="CMK39" s="130"/>
      <c r="CML39" s="132"/>
      <c r="CMM39" s="133" t="s">
        <v>48</v>
      </c>
      <c r="CMN39" s="134"/>
      <c r="CMO39" s="135"/>
      <c r="CMP39" s="126"/>
      <c r="CMQ39" s="126"/>
      <c r="CMR39" s="128"/>
      <c r="CMS39" s="130"/>
      <c r="CMT39" s="132"/>
      <c r="CMU39" s="133" t="s">
        <v>48</v>
      </c>
      <c r="CMV39" s="134"/>
      <c r="CMW39" s="135"/>
      <c r="CMX39" s="126"/>
      <c r="CMY39" s="126"/>
      <c r="CMZ39" s="128"/>
      <c r="CNA39" s="130"/>
      <c r="CNB39" s="132"/>
      <c r="CNC39" s="133" t="s">
        <v>48</v>
      </c>
      <c r="CND39" s="134"/>
      <c r="CNE39" s="135"/>
      <c r="CNF39" s="126"/>
      <c r="CNG39" s="126"/>
      <c r="CNH39" s="128"/>
      <c r="CNI39" s="130"/>
      <c r="CNJ39" s="132"/>
      <c r="CNK39" s="133" t="s">
        <v>48</v>
      </c>
      <c r="CNL39" s="134"/>
      <c r="CNM39" s="135"/>
      <c r="CNN39" s="126"/>
      <c r="CNO39" s="126"/>
      <c r="CNP39" s="128"/>
      <c r="CNQ39" s="130"/>
      <c r="CNR39" s="132"/>
      <c r="CNS39" s="133" t="s">
        <v>48</v>
      </c>
      <c r="CNT39" s="134"/>
      <c r="CNU39" s="135"/>
      <c r="CNV39" s="126"/>
      <c r="CNW39" s="126"/>
      <c r="CNX39" s="128"/>
      <c r="CNY39" s="130"/>
      <c r="CNZ39" s="132"/>
      <c r="COA39" s="133" t="s">
        <v>48</v>
      </c>
      <c r="COB39" s="134"/>
      <c r="COC39" s="135"/>
      <c r="COD39" s="126"/>
      <c r="COE39" s="126"/>
      <c r="COF39" s="128"/>
      <c r="COG39" s="130"/>
      <c r="COH39" s="132"/>
      <c r="COI39" s="133" t="s">
        <v>48</v>
      </c>
      <c r="COJ39" s="134"/>
      <c r="COK39" s="135"/>
      <c r="COL39" s="126"/>
      <c r="COM39" s="126"/>
      <c r="CON39" s="128"/>
      <c r="COO39" s="130"/>
      <c r="COP39" s="132"/>
      <c r="COQ39" s="133" t="s">
        <v>48</v>
      </c>
      <c r="COR39" s="134"/>
      <c r="COS39" s="135"/>
      <c r="COT39" s="126"/>
      <c r="COU39" s="126"/>
      <c r="COV39" s="128"/>
      <c r="COW39" s="130"/>
      <c r="COX39" s="132"/>
      <c r="COY39" s="133" t="s">
        <v>48</v>
      </c>
      <c r="COZ39" s="134"/>
      <c r="CPA39" s="135"/>
      <c r="CPB39" s="126"/>
      <c r="CPC39" s="126"/>
      <c r="CPD39" s="128"/>
      <c r="CPE39" s="130"/>
      <c r="CPF39" s="132"/>
      <c r="CPG39" s="133" t="s">
        <v>48</v>
      </c>
      <c r="CPH39" s="134"/>
      <c r="CPI39" s="135"/>
      <c r="CPJ39" s="126"/>
      <c r="CPK39" s="126"/>
      <c r="CPL39" s="128"/>
      <c r="CPM39" s="130"/>
      <c r="CPN39" s="132"/>
      <c r="CPO39" s="133" t="s">
        <v>48</v>
      </c>
      <c r="CPP39" s="134"/>
      <c r="CPQ39" s="135"/>
      <c r="CPR39" s="126"/>
      <c r="CPS39" s="126"/>
      <c r="CPT39" s="128"/>
      <c r="CPU39" s="130"/>
      <c r="CPV39" s="132"/>
      <c r="CPW39" s="133" t="s">
        <v>48</v>
      </c>
      <c r="CPX39" s="134"/>
      <c r="CPY39" s="135"/>
      <c r="CPZ39" s="126"/>
      <c r="CQA39" s="126"/>
      <c r="CQB39" s="128"/>
      <c r="CQC39" s="130"/>
      <c r="CQD39" s="132"/>
      <c r="CQE39" s="133" t="s">
        <v>48</v>
      </c>
      <c r="CQF39" s="134"/>
      <c r="CQG39" s="135"/>
      <c r="CQH39" s="126"/>
      <c r="CQI39" s="126"/>
      <c r="CQJ39" s="128"/>
      <c r="CQK39" s="130"/>
      <c r="CQL39" s="132"/>
      <c r="CQM39" s="133" t="s">
        <v>48</v>
      </c>
      <c r="CQN39" s="134"/>
      <c r="CQO39" s="135"/>
      <c r="CQP39" s="126"/>
      <c r="CQQ39" s="126"/>
      <c r="CQR39" s="128"/>
      <c r="CQS39" s="130"/>
      <c r="CQT39" s="132"/>
      <c r="CQU39" s="133" t="s">
        <v>48</v>
      </c>
      <c r="CQV39" s="134"/>
      <c r="CQW39" s="135"/>
      <c r="CQX39" s="126"/>
      <c r="CQY39" s="126"/>
      <c r="CQZ39" s="128"/>
      <c r="CRA39" s="130"/>
      <c r="CRB39" s="132"/>
      <c r="CRC39" s="133" t="s">
        <v>48</v>
      </c>
      <c r="CRD39" s="134"/>
      <c r="CRE39" s="135"/>
      <c r="CRF39" s="126"/>
      <c r="CRG39" s="126"/>
      <c r="CRH39" s="128"/>
      <c r="CRI39" s="130"/>
      <c r="CRJ39" s="132"/>
      <c r="CRK39" s="133" t="s">
        <v>48</v>
      </c>
      <c r="CRL39" s="134"/>
      <c r="CRM39" s="135"/>
      <c r="CRN39" s="126"/>
      <c r="CRO39" s="126"/>
      <c r="CRP39" s="128"/>
      <c r="CRQ39" s="130"/>
      <c r="CRR39" s="132"/>
      <c r="CRS39" s="133" t="s">
        <v>48</v>
      </c>
      <c r="CRT39" s="134"/>
      <c r="CRU39" s="135"/>
      <c r="CRV39" s="126"/>
      <c r="CRW39" s="126"/>
      <c r="CRX39" s="128"/>
      <c r="CRY39" s="130"/>
      <c r="CRZ39" s="132"/>
      <c r="CSA39" s="133" t="s">
        <v>48</v>
      </c>
      <c r="CSB39" s="134"/>
      <c r="CSC39" s="135"/>
      <c r="CSD39" s="126"/>
      <c r="CSE39" s="126"/>
      <c r="CSF39" s="128"/>
      <c r="CSG39" s="130"/>
      <c r="CSH39" s="132"/>
      <c r="CSI39" s="133" t="s">
        <v>48</v>
      </c>
      <c r="CSJ39" s="134"/>
      <c r="CSK39" s="135"/>
      <c r="CSL39" s="126"/>
      <c r="CSM39" s="126"/>
      <c r="CSN39" s="128"/>
      <c r="CSO39" s="130"/>
      <c r="CSP39" s="132"/>
      <c r="CSQ39" s="133" t="s">
        <v>48</v>
      </c>
      <c r="CSR39" s="134"/>
      <c r="CSS39" s="135"/>
      <c r="CST39" s="126"/>
      <c r="CSU39" s="126"/>
      <c r="CSV39" s="128"/>
      <c r="CSW39" s="130"/>
      <c r="CSX39" s="132"/>
      <c r="CSY39" s="133" t="s">
        <v>48</v>
      </c>
      <c r="CSZ39" s="134"/>
      <c r="CTA39" s="135"/>
      <c r="CTB39" s="126"/>
      <c r="CTC39" s="126"/>
      <c r="CTD39" s="128"/>
      <c r="CTE39" s="130"/>
      <c r="CTF39" s="132"/>
      <c r="CTG39" s="133" t="s">
        <v>48</v>
      </c>
      <c r="CTH39" s="134"/>
      <c r="CTI39" s="135"/>
      <c r="CTJ39" s="126"/>
      <c r="CTK39" s="126"/>
      <c r="CTL39" s="128"/>
      <c r="CTM39" s="130"/>
      <c r="CTN39" s="132"/>
      <c r="CTO39" s="133" t="s">
        <v>48</v>
      </c>
      <c r="CTP39" s="134"/>
      <c r="CTQ39" s="135"/>
      <c r="CTR39" s="126"/>
      <c r="CTS39" s="126"/>
      <c r="CTT39" s="128"/>
      <c r="CTU39" s="130"/>
      <c r="CTV39" s="132"/>
      <c r="CTW39" s="133" t="s">
        <v>48</v>
      </c>
      <c r="CTX39" s="134"/>
      <c r="CTY39" s="135"/>
      <c r="CTZ39" s="126"/>
      <c r="CUA39" s="126"/>
      <c r="CUB39" s="128"/>
      <c r="CUC39" s="130"/>
      <c r="CUD39" s="132"/>
      <c r="CUE39" s="133" t="s">
        <v>48</v>
      </c>
      <c r="CUF39" s="134"/>
      <c r="CUG39" s="135"/>
      <c r="CUH39" s="126"/>
      <c r="CUI39" s="126"/>
      <c r="CUJ39" s="128"/>
      <c r="CUK39" s="130"/>
      <c r="CUL39" s="132"/>
      <c r="CUM39" s="133" t="s">
        <v>48</v>
      </c>
      <c r="CUN39" s="134"/>
      <c r="CUO39" s="135"/>
      <c r="CUP39" s="126"/>
      <c r="CUQ39" s="126"/>
      <c r="CUR39" s="128"/>
      <c r="CUS39" s="130"/>
      <c r="CUT39" s="132"/>
      <c r="CUU39" s="133" t="s">
        <v>48</v>
      </c>
      <c r="CUV39" s="134"/>
      <c r="CUW39" s="135"/>
      <c r="CUX39" s="126"/>
      <c r="CUY39" s="126"/>
      <c r="CUZ39" s="128"/>
      <c r="CVA39" s="130"/>
      <c r="CVB39" s="132"/>
      <c r="CVC39" s="133" t="s">
        <v>48</v>
      </c>
      <c r="CVD39" s="134"/>
      <c r="CVE39" s="135"/>
      <c r="CVF39" s="126"/>
      <c r="CVG39" s="126"/>
      <c r="CVH39" s="128"/>
      <c r="CVI39" s="130"/>
      <c r="CVJ39" s="132"/>
      <c r="CVK39" s="133" t="s">
        <v>48</v>
      </c>
      <c r="CVL39" s="134"/>
      <c r="CVM39" s="135"/>
      <c r="CVN39" s="126"/>
      <c r="CVO39" s="126"/>
      <c r="CVP39" s="128"/>
      <c r="CVQ39" s="130"/>
      <c r="CVR39" s="132"/>
      <c r="CVS39" s="133" t="s">
        <v>48</v>
      </c>
      <c r="CVT39" s="134"/>
      <c r="CVU39" s="135"/>
      <c r="CVV39" s="126"/>
      <c r="CVW39" s="126"/>
      <c r="CVX39" s="128"/>
      <c r="CVY39" s="130"/>
      <c r="CVZ39" s="132"/>
      <c r="CWA39" s="133" t="s">
        <v>48</v>
      </c>
      <c r="CWB39" s="134"/>
      <c r="CWC39" s="135"/>
      <c r="CWD39" s="126"/>
      <c r="CWE39" s="126"/>
      <c r="CWF39" s="128"/>
      <c r="CWG39" s="130"/>
      <c r="CWH39" s="132"/>
      <c r="CWI39" s="133" t="s">
        <v>48</v>
      </c>
      <c r="CWJ39" s="134"/>
      <c r="CWK39" s="135"/>
      <c r="CWL39" s="126"/>
      <c r="CWM39" s="126"/>
      <c r="CWN39" s="128"/>
      <c r="CWO39" s="130"/>
      <c r="CWP39" s="132"/>
      <c r="CWQ39" s="133" t="s">
        <v>48</v>
      </c>
      <c r="CWR39" s="134"/>
      <c r="CWS39" s="135"/>
      <c r="CWT39" s="126"/>
      <c r="CWU39" s="126"/>
      <c r="CWV39" s="128"/>
      <c r="CWW39" s="130"/>
      <c r="CWX39" s="132"/>
      <c r="CWY39" s="133" t="s">
        <v>48</v>
      </c>
      <c r="CWZ39" s="134"/>
      <c r="CXA39" s="135"/>
      <c r="CXB39" s="126"/>
      <c r="CXC39" s="126"/>
      <c r="CXD39" s="128"/>
      <c r="CXE39" s="130"/>
      <c r="CXF39" s="132"/>
      <c r="CXG39" s="133" t="s">
        <v>48</v>
      </c>
      <c r="CXH39" s="134"/>
      <c r="CXI39" s="135"/>
      <c r="CXJ39" s="126"/>
      <c r="CXK39" s="126"/>
      <c r="CXL39" s="128"/>
      <c r="CXM39" s="130"/>
      <c r="CXN39" s="132"/>
      <c r="CXO39" s="133" t="s">
        <v>48</v>
      </c>
      <c r="CXP39" s="134"/>
      <c r="CXQ39" s="135"/>
      <c r="CXR39" s="126"/>
      <c r="CXS39" s="126"/>
      <c r="CXT39" s="128"/>
      <c r="CXU39" s="130"/>
      <c r="CXV39" s="132"/>
      <c r="CXW39" s="133" t="s">
        <v>48</v>
      </c>
      <c r="CXX39" s="134"/>
      <c r="CXY39" s="135"/>
      <c r="CXZ39" s="126"/>
      <c r="CYA39" s="126"/>
      <c r="CYB39" s="128"/>
      <c r="CYC39" s="130"/>
      <c r="CYD39" s="132"/>
      <c r="CYE39" s="133" t="s">
        <v>48</v>
      </c>
      <c r="CYF39" s="134"/>
      <c r="CYG39" s="135"/>
      <c r="CYH39" s="126"/>
      <c r="CYI39" s="126"/>
      <c r="CYJ39" s="128"/>
      <c r="CYK39" s="130"/>
      <c r="CYL39" s="132"/>
      <c r="CYM39" s="133" t="s">
        <v>48</v>
      </c>
      <c r="CYN39" s="134"/>
      <c r="CYO39" s="135"/>
      <c r="CYP39" s="126"/>
      <c r="CYQ39" s="126"/>
      <c r="CYR39" s="128"/>
      <c r="CYS39" s="130"/>
      <c r="CYT39" s="132"/>
      <c r="CYU39" s="133" t="s">
        <v>48</v>
      </c>
      <c r="CYV39" s="134"/>
      <c r="CYW39" s="135"/>
      <c r="CYX39" s="126"/>
      <c r="CYY39" s="126"/>
      <c r="CYZ39" s="128"/>
      <c r="CZA39" s="130"/>
      <c r="CZB39" s="132"/>
      <c r="CZC39" s="133" t="s">
        <v>48</v>
      </c>
      <c r="CZD39" s="134"/>
      <c r="CZE39" s="135"/>
      <c r="CZF39" s="126"/>
      <c r="CZG39" s="126"/>
      <c r="CZH39" s="128"/>
      <c r="CZI39" s="130"/>
      <c r="CZJ39" s="132"/>
      <c r="CZK39" s="133" t="s">
        <v>48</v>
      </c>
      <c r="CZL39" s="134"/>
      <c r="CZM39" s="135"/>
      <c r="CZN39" s="126"/>
      <c r="CZO39" s="126"/>
      <c r="CZP39" s="128"/>
      <c r="CZQ39" s="130"/>
      <c r="CZR39" s="132"/>
      <c r="CZS39" s="133" t="s">
        <v>48</v>
      </c>
      <c r="CZT39" s="134"/>
      <c r="CZU39" s="135"/>
      <c r="CZV39" s="126"/>
      <c r="CZW39" s="126"/>
      <c r="CZX39" s="128"/>
      <c r="CZY39" s="130"/>
      <c r="CZZ39" s="132"/>
      <c r="DAA39" s="133" t="s">
        <v>48</v>
      </c>
      <c r="DAB39" s="134"/>
      <c r="DAC39" s="135"/>
      <c r="DAD39" s="126"/>
      <c r="DAE39" s="126"/>
      <c r="DAF39" s="128"/>
      <c r="DAG39" s="130"/>
      <c r="DAH39" s="132"/>
      <c r="DAI39" s="133" t="s">
        <v>48</v>
      </c>
      <c r="DAJ39" s="134"/>
      <c r="DAK39" s="135"/>
      <c r="DAL39" s="126"/>
      <c r="DAM39" s="126"/>
      <c r="DAN39" s="128"/>
      <c r="DAO39" s="130"/>
      <c r="DAP39" s="132"/>
      <c r="DAQ39" s="133" t="s">
        <v>48</v>
      </c>
      <c r="DAR39" s="134"/>
      <c r="DAS39" s="135"/>
      <c r="DAT39" s="126"/>
      <c r="DAU39" s="126"/>
      <c r="DAV39" s="128"/>
      <c r="DAW39" s="130"/>
      <c r="DAX39" s="132"/>
      <c r="DAY39" s="133" t="s">
        <v>48</v>
      </c>
      <c r="DAZ39" s="134"/>
      <c r="DBA39" s="135"/>
      <c r="DBB39" s="126"/>
      <c r="DBC39" s="126"/>
      <c r="DBD39" s="128"/>
      <c r="DBE39" s="130"/>
      <c r="DBF39" s="132"/>
      <c r="DBG39" s="133" t="s">
        <v>48</v>
      </c>
      <c r="DBH39" s="134"/>
      <c r="DBI39" s="135"/>
      <c r="DBJ39" s="126"/>
      <c r="DBK39" s="126"/>
      <c r="DBL39" s="128"/>
      <c r="DBM39" s="130"/>
      <c r="DBN39" s="132"/>
      <c r="DBO39" s="133" t="s">
        <v>48</v>
      </c>
      <c r="DBP39" s="134"/>
      <c r="DBQ39" s="135"/>
      <c r="DBR39" s="126"/>
      <c r="DBS39" s="126"/>
      <c r="DBT39" s="128"/>
      <c r="DBU39" s="130"/>
      <c r="DBV39" s="132"/>
      <c r="DBW39" s="133" t="s">
        <v>48</v>
      </c>
      <c r="DBX39" s="134"/>
      <c r="DBY39" s="135"/>
      <c r="DBZ39" s="126"/>
      <c r="DCA39" s="126"/>
      <c r="DCB39" s="128"/>
      <c r="DCC39" s="130"/>
      <c r="DCD39" s="132"/>
      <c r="DCE39" s="133" t="s">
        <v>48</v>
      </c>
      <c r="DCF39" s="134"/>
      <c r="DCG39" s="135"/>
      <c r="DCH39" s="126"/>
      <c r="DCI39" s="126"/>
      <c r="DCJ39" s="128"/>
      <c r="DCK39" s="130"/>
      <c r="DCL39" s="132"/>
      <c r="DCM39" s="133" t="s">
        <v>48</v>
      </c>
      <c r="DCN39" s="134"/>
      <c r="DCO39" s="135"/>
      <c r="DCP39" s="126"/>
      <c r="DCQ39" s="126"/>
      <c r="DCR39" s="128"/>
      <c r="DCS39" s="130"/>
      <c r="DCT39" s="132"/>
      <c r="DCU39" s="133" t="s">
        <v>48</v>
      </c>
      <c r="DCV39" s="134"/>
      <c r="DCW39" s="135"/>
      <c r="DCX39" s="126"/>
      <c r="DCY39" s="126"/>
      <c r="DCZ39" s="128"/>
      <c r="DDA39" s="130"/>
      <c r="DDB39" s="132"/>
      <c r="DDC39" s="133" t="s">
        <v>48</v>
      </c>
      <c r="DDD39" s="134"/>
      <c r="DDE39" s="135"/>
      <c r="DDF39" s="126"/>
      <c r="DDG39" s="126"/>
      <c r="DDH39" s="128"/>
      <c r="DDI39" s="130"/>
      <c r="DDJ39" s="132"/>
      <c r="DDK39" s="133" t="s">
        <v>48</v>
      </c>
      <c r="DDL39" s="134"/>
      <c r="DDM39" s="135"/>
      <c r="DDN39" s="126"/>
      <c r="DDO39" s="126"/>
      <c r="DDP39" s="128"/>
      <c r="DDQ39" s="130"/>
      <c r="DDR39" s="132"/>
      <c r="DDS39" s="133" t="s">
        <v>48</v>
      </c>
      <c r="DDT39" s="134"/>
      <c r="DDU39" s="135"/>
      <c r="DDV39" s="126"/>
      <c r="DDW39" s="126"/>
      <c r="DDX39" s="128"/>
      <c r="DDY39" s="130"/>
      <c r="DDZ39" s="132"/>
      <c r="DEA39" s="133" t="s">
        <v>48</v>
      </c>
      <c r="DEB39" s="134"/>
      <c r="DEC39" s="135"/>
      <c r="DED39" s="126"/>
      <c r="DEE39" s="126"/>
      <c r="DEF39" s="128"/>
      <c r="DEG39" s="130"/>
      <c r="DEH39" s="132"/>
      <c r="DEI39" s="133" t="s">
        <v>48</v>
      </c>
      <c r="DEJ39" s="134"/>
      <c r="DEK39" s="135"/>
      <c r="DEL39" s="126"/>
      <c r="DEM39" s="126"/>
      <c r="DEN39" s="128"/>
      <c r="DEO39" s="130"/>
      <c r="DEP39" s="132"/>
      <c r="DEQ39" s="133" t="s">
        <v>48</v>
      </c>
      <c r="DER39" s="134"/>
      <c r="DES39" s="135"/>
      <c r="DET39" s="126"/>
      <c r="DEU39" s="126"/>
      <c r="DEV39" s="128"/>
      <c r="DEW39" s="130"/>
      <c r="DEX39" s="132"/>
      <c r="DEY39" s="133" t="s">
        <v>48</v>
      </c>
      <c r="DEZ39" s="134"/>
      <c r="DFA39" s="135"/>
      <c r="DFB39" s="126"/>
      <c r="DFC39" s="126"/>
      <c r="DFD39" s="128"/>
      <c r="DFE39" s="130"/>
      <c r="DFF39" s="132"/>
      <c r="DFG39" s="133" t="s">
        <v>48</v>
      </c>
      <c r="DFH39" s="134"/>
      <c r="DFI39" s="135"/>
      <c r="DFJ39" s="126"/>
      <c r="DFK39" s="126"/>
      <c r="DFL39" s="128"/>
      <c r="DFM39" s="130"/>
      <c r="DFN39" s="132"/>
      <c r="DFO39" s="133" t="s">
        <v>48</v>
      </c>
      <c r="DFP39" s="134"/>
      <c r="DFQ39" s="135"/>
      <c r="DFR39" s="126"/>
      <c r="DFS39" s="126"/>
      <c r="DFT39" s="128"/>
      <c r="DFU39" s="130"/>
      <c r="DFV39" s="132"/>
      <c r="DFW39" s="133" t="s">
        <v>48</v>
      </c>
      <c r="DFX39" s="134"/>
      <c r="DFY39" s="135"/>
      <c r="DFZ39" s="126"/>
      <c r="DGA39" s="126"/>
      <c r="DGB39" s="128"/>
      <c r="DGC39" s="130"/>
      <c r="DGD39" s="132"/>
      <c r="DGE39" s="133" t="s">
        <v>48</v>
      </c>
      <c r="DGF39" s="134"/>
      <c r="DGG39" s="135"/>
      <c r="DGH39" s="126"/>
      <c r="DGI39" s="126"/>
      <c r="DGJ39" s="128"/>
      <c r="DGK39" s="130"/>
      <c r="DGL39" s="132"/>
      <c r="DGM39" s="133" t="s">
        <v>48</v>
      </c>
      <c r="DGN39" s="134"/>
      <c r="DGO39" s="135"/>
      <c r="DGP39" s="126"/>
      <c r="DGQ39" s="126"/>
      <c r="DGR39" s="128"/>
      <c r="DGS39" s="130"/>
      <c r="DGT39" s="132"/>
      <c r="DGU39" s="133" t="s">
        <v>48</v>
      </c>
      <c r="DGV39" s="134"/>
      <c r="DGW39" s="135"/>
      <c r="DGX39" s="126"/>
      <c r="DGY39" s="126"/>
      <c r="DGZ39" s="128"/>
      <c r="DHA39" s="130"/>
      <c r="DHB39" s="132"/>
      <c r="DHC39" s="133" t="s">
        <v>48</v>
      </c>
      <c r="DHD39" s="134"/>
      <c r="DHE39" s="135"/>
      <c r="DHF39" s="126"/>
      <c r="DHG39" s="126"/>
      <c r="DHH39" s="128"/>
      <c r="DHI39" s="130"/>
      <c r="DHJ39" s="132"/>
      <c r="DHK39" s="133" t="s">
        <v>48</v>
      </c>
      <c r="DHL39" s="134"/>
      <c r="DHM39" s="135"/>
      <c r="DHN39" s="126"/>
      <c r="DHO39" s="126"/>
      <c r="DHP39" s="128"/>
      <c r="DHQ39" s="130"/>
      <c r="DHR39" s="132"/>
      <c r="DHS39" s="133" t="s">
        <v>48</v>
      </c>
      <c r="DHT39" s="134"/>
      <c r="DHU39" s="135"/>
      <c r="DHV39" s="126"/>
      <c r="DHW39" s="126"/>
      <c r="DHX39" s="128"/>
      <c r="DHY39" s="130"/>
      <c r="DHZ39" s="132"/>
      <c r="DIA39" s="133" t="s">
        <v>48</v>
      </c>
      <c r="DIB39" s="134"/>
      <c r="DIC39" s="135"/>
      <c r="DID39" s="126"/>
      <c r="DIE39" s="126"/>
      <c r="DIF39" s="128"/>
      <c r="DIG39" s="130"/>
      <c r="DIH39" s="132"/>
      <c r="DII39" s="133" t="s">
        <v>48</v>
      </c>
      <c r="DIJ39" s="134"/>
      <c r="DIK39" s="135"/>
      <c r="DIL39" s="126"/>
      <c r="DIM39" s="126"/>
      <c r="DIN39" s="128"/>
      <c r="DIO39" s="130"/>
      <c r="DIP39" s="132"/>
      <c r="DIQ39" s="133" t="s">
        <v>48</v>
      </c>
      <c r="DIR39" s="134"/>
      <c r="DIS39" s="135"/>
      <c r="DIT39" s="126"/>
      <c r="DIU39" s="126"/>
      <c r="DIV39" s="128"/>
      <c r="DIW39" s="130"/>
      <c r="DIX39" s="132"/>
      <c r="DIY39" s="133" t="s">
        <v>48</v>
      </c>
      <c r="DIZ39" s="134"/>
      <c r="DJA39" s="135"/>
      <c r="DJB39" s="126"/>
      <c r="DJC39" s="126"/>
      <c r="DJD39" s="128"/>
      <c r="DJE39" s="130"/>
      <c r="DJF39" s="132"/>
      <c r="DJG39" s="133" t="s">
        <v>48</v>
      </c>
      <c r="DJH39" s="134"/>
      <c r="DJI39" s="135"/>
      <c r="DJJ39" s="126"/>
      <c r="DJK39" s="126"/>
      <c r="DJL39" s="128"/>
      <c r="DJM39" s="130"/>
      <c r="DJN39" s="132"/>
      <c r="DJO39" s="133" t="s">
        <v>48</v>
      </c>
      <c r="DJP39" s="134"/>
      <c r="DJQ39" s="135"/>
      <c r="DJR39" s="126"/>
      <c r="DJS39" s="126"/>
      <c r="DJT39" s="128"/>
      <c r="DJU39" s="130"/>
      <c r="DJV39" s="132"/>
      <c r="DJW39" s="133" t="s">
        <v>48</v>
      </c>
      <c r="DJX39" s="134"/>
      <c r="DJY39" s="135"/>
      <c r="DJZ39" s="126"/>
      <c r="DKA39" s="126"/>
      <c r="DKB39" s="128"/>
      <c r="DKC39" s="130"/>
      <c r="DKD39" s="132"/>
      <c r="DKE39" s="133" t="s">
        <v>48</v>
      </c>
      <c r="DKF39" s="134"/>
      <c r="DKG39" s="135"/>
      <c r="DKH39" s="126"/>
      <c r="DKI39" s="126"/>
      <c r="DKJ39" s="128"/>
      <c r="DKK39" s="130"/>
      <c r="DKL39" s="132"/>
      <c r="DKM39" s="133" t="s">
        <v>48</v>
      </c>
      <c r="DKN39" s="134"/>
      <c r="DKO39" s="135"/>
      <c r="DKP39" s="126"/>
      <c r="DKQ39" s="126"/>
      <c r="DKR39" s="128"/>
      <c r="DKS39" s="130"/>
      <c r="DKT39" s="132"/>
      <c r="DKU39" s="133" t="s">
        <v>48</v>
      </c>
      <c r="DKV39" s="134"/>
      <c r="DKW39" s="135"/>
      <c r="DKX39" s="126"/>
      <c r="DKY39" s="126"/>
      <c r="DKZ39" s="128"/>
      <c r="DLA39" s="130"/>
      <c r="DLB39" s="132"/>
      <c r="DLC39" s="133" t="s">
        <v>48</v>
      </c>
      <c r="DLD39" s="134"/>
      <c r="DLE39" s="135"/>
      <c r="DLF39" s="126"/>
      <c r="DLG39" s="126"/>
      <c r="DLH39" s="128"/>
      <c r="DLI39" s="130"/>
      <c r="DLJ39" s="132"/>
      <c r="DLK39" s="133" t="s">
        <v>48</v>
      </c>
      <c r="DLL39" s="134"/>
      <c r="DLM39" s="135"/>
      <c r="DLN39" s="126"/>
      <c r="DLO39" s="126"/>
      <c r="DLP39" s="128"/>
      <c r="DLQ39" s="130"/>
      <c r="DLR39" s="132"/>
      <c r="DLS39" s="133" t="s">
        <v>48</v>
      </c>
      <c r="DLT39" s="134"/>
      <c r="DLU39" s="135"/>
      <c r="DLV39" s="126"/>
      <c r="DLW39" s="126"/>
      <c r="DLX39" s="128"/>
      <c r="DLY39" s="130"/>
      <c r="DLZ39" s="132"/>
      <c r="DMA39" s="133" t="s">
        <v>48</v>
      </c>
      <c r="DMB39" s="134"/>
      <c r="DMC39" s="135"/>
      <c r="DMD39" s="126"/>
      <c r="DME39" s="126"/>
      <c r="DMF39" s="128"/>
      <c r="DMG39" s="130"/>
      <c r="DMH39" s="132"/>
      <c r="DMI39" s="133" t="s">
        <v>48</v>
      </c>
      <c r="DMJ39" s="134"/>
      <c r="DMK39" s="135"/>
      <c r="DML39" s="126"/>
      <c r="DMM39" s="126"/>
      <c r="DMN39" s="128"/>
      <c r="DMO39" s="130"/>
      <c r="DMP39" s="132"/>
      <c r="DMQ39" s="133" t="s">
        <v>48</v>
      </c>
      <c r="DMR39" s="134"/>
      <c r="DMS39" s="135"/>
      <c r="DMT39" s="126"/>
      <c r="DMU39" s="126"/>
      <c r="DMV39" s="128"/>
      <c r="DMW39" s="130"/>
      <c r="DMX39" s="132"/>
      <c r="DMY39" s="133" t="s">
        <v>48</v>
      </c>
      <c r="DMZ39" s="134"/>
      <c r="DNA39" s="135"/>
      <c r="DNB39" s="126"/>
      <c r="DNC39" s="126"/>
      <c r="DND39" s="128"/>
      <c r="DNE39" s="130"/>
      <c r="DNF39" s="132"/>
      <c r="DNG39" s="133" t="s">
        <v>48</v>
      </c>
      <c r="DNH39" s="134"/>
      <c r="DNI39" s="135"/>
      <c r="DNJ39" s="126"/>
      <c r="DNK39" s="126"/>
      <c r="DNL39" s="128"/>
      <c r="DNM39" s="130"/>
      <c r="DNN39" s="132"/>
      <c r="DNO39" s="133" t="s">
        <v>48</v>
      </c>
      <c r="DNP39" s="134"/>
      <c r="DNQ39" s="135"/>
      <c r="DNR39" s="126"/>
      <c r="DNS39" s="126"/>
      <c r="DNT39" s="128"/>
      <c r="DNU39" s="130"/>
      <c r="DNV39" s="132"/>
      <c r="DNW39" s="133" t="s">
        <v>48</v>
      </c>
      <c r="DNX39" s="134"/>
      <c r="DNY39" s="135"/>
      <c r="DNZ39" s="126"/>
      <c r="DOA39" s="126"/>
      <c r="DOB39" s="128"/>
      <c r="DOC39" s="130"/>
      <c r="DOD39" s="132"/>
      <c r="DOE39" s="133" t="s">
        <v>48</v>
      </c>
      <c r="DOF39" s="134"/>
      <c r="DOG39" s="135"/>
      <c r="DOH39" s="126"/>
      <c r="DOI39" s="126"/>
      <c r="DOJ39" s="128"/>
      <c r="DOK39" s="130"/>
      <c r="DOL39" s="132"/>
      <c r="DOM39" s="133" t="s">
        <v>48</v>
      </c>
      <c r="DON39" s="134"/>
      <c r="DOO39" s="135"/>
      <c r="DOP39" s="126"/>
      <c r="DOQ39" s="126"/>
      <c r="DOR39" s="128"/>
      <c r="DOS39" s="130"/>
      <c r="DOT39" s="132"/>
      <c r="DOU39" s="133" t="s">
        <v>48</v>
      </c>
      <c r="DOV39" s="134"/>
      <c r="DOW39" s="135"/>
      <c r="DOX39" s="126"/>
      <c r="DOY39" s="126"/>
      <c r="DOZ39" s="128"/>
      <c r="DPA39" s="130"/>
      <c r="DPB39" s="132"/>
      <c r="DPC39" s="133" t="s">
        <v>48</v>
      </c>
      <c r="DPD39" s="134"/>
      <c r="DPE39" s="135"/>
      <c r="DPF39" s="126"/>
      <c r="DPG39" s="126"/>
      <c r="DPH39" s="128"/>
      <c r="DPI39" s="130"/>
      <c r="DPJ39" s="132"/>
      <c r="DPK39" s="133" t="s">
        <v>48</v>
      </c>
      <c r="DPL39" s="134"/>
      <c r="DPM39" s="135"/>
      <c r="DPN39" s="126"/>
      <c r="DPO39" s="126"/>
      <c r="DPP39" s="128"/>
      <c r="DPQ39" s="130"/>
      <c r="DPR39" s="132"/>
      <c r="DPS39" s="133" t="s">
        <v>48</v>
      </c>
      <c r="DPT39" s="134"/>
      <c r="DPU39" s="135"/>
      <c r="DPV39" s="126"/>
      <c r="DPW39" s="126"/>
      <c r="DPX39" s="128"/>
      <c r="DPY39" s="130"/>
      <c r="DPZ39" s="132"/>
      <c r="DQA39" s="133" t="s">
        <v>48</v>
      </c>
      <c r="DQB39" s="134"/>
      <c r="DQC39" s="135"/>
      <c r="DQD39" s="126"/>
      <c r="DQE39" s="126"/>
      <c r="DQF39" s="128"/>
      <c r="DQG39" s="130"/>
      <c r="DQH39" s="132"/>
      <c r="DQI39" s="133" t="s">
        <v>48</v>
      </c>
      <c r="DQJ39" s="134"/>
      <c r="DQK39" s="135"/>
      <c r="DQL39" s="126"/>
      <c r="DQM39" s="126"/>
      <c r="DQN39" s="128"/>
      <c r="DQO39" s="130"/>
      <c r="DQP39" s="132"/>
      <c r="DQQ39" s="133" t="s">
        <v>48</v>
      </c>
      <c r="DQR39" s="134"/>
      <c r="DQS39" s="135"/>
      <c r="DQT39" s="126"/>
      <c r="DQU39" s="126"/>
      <c r="DQV39" s="128"/>
      <c r="DQW39" s="130"/>
      <c r="DQX39" s="132"/>
      <c r="DQY39" s="133" t="s">
        <v>48</v>
      </c>
      <c r="DQZ39" s="134"/>
      <c r="DRA39" s="135"/>
      <c r="DRB39" s="126"/>
      <c r="DRC39" s="126"/>
      <c r="DRD39" s="128"/>
      <c r="DRE39" s="130"/>
      <c r="DRF39" s="132"/>
      <c r="DRG39" s="133" t="s">
        <v>48</v>
      </c>
      <c r="DRH39" s="134"/>
      <c r="DRI39" s="135"/>
      <c r="DRJ39" s="126"/>
      <c r="DRK39" s="126"/>
      <c r="DRL39" s="128"/>
      <c r="DRM39" s="130"/>
      <c r="DRN39" s="132"/>
      <c r="DRO39" s="133" t="s">
        <v>48</v>
      </c>
      <c r="DRP39" s="134"/>
      <c r="DRQ39" s="135"/>
      <c r="DRR39" s="126"/>
      <c r="DRS39" s="126"/>
      <c r="DRT39" s="128"/>
      <c r="DRU39" s="130"/>
      <c r="DRV39" s="132"/>
      <c r="DRW39" s="133" t="s">
        <v>48</v>
      </c>
      <c r="DRX39" s="134"/>
      <c r="DRY39" s="135"/>
      <c r="DRZ39" s="126"/>
      <c r="DSA39" s="126"/>
      <c r="DSB39" s="128"/>
      <c r="DSC39" s="130"/>
      <c r="DSD39" s="132"/>
      <c r="DSE39" s="133" t="s">
        <v>48</v>
      </c>
      <c r="DSF39" s="134"/>
      <c r="DSG39" s="135"/>
      <c r="DSH39" s="126"/>
      <c r="DSI39" s="126"/>
      <c r="DSJ39" s="128"/>
      <c r="DSK39" s="130"/>
      <c r="DSL39" s="132"/>
      <c r="DSM39" s="133" t="s">
        <v>48</v>
      </c>
      <c r="DSN39" s="134"/>
      <c r="DSO39" s="135"/>
      <c r="DSP39" s="126"/>
      <c r="DSQ39" s="126"/>
      <c r="DSR39" s="128"/>
      <c r="DSS39" s="130"/>
      <c r="DST39" s="132"/>
      <c r="DSU39" s="133" t="s">
        <v>48</v>
      </c>
      <c r="DSV39" s="134"/>
      <c r="DSW39" s="135"/>
      <c r="DSX39" s="126"/>
      <c r="DSY39" s="126"/>
      <c r="DSZ39" s="128"/>
      <c r="DTA39" s="130"/>
      <c r="DTB39" s="132"/>
      <c r="DTC39" s="133" t="s">
        <v>48</v>
      </c>
      <c r="DTD39" s="134"/>
      <c r="DTE39" s="135"/>
      <c r="DTF39" s="126"/>
      <c r="DTG39" s="126"/>
      <c r="DTH39" s="128"/>
      <c r="DTI39" s="130"/>
      <c r="DTJ39" s="132"/>
      <c r="DTK39" s="133" t="s">
        <v>48</v>
      </c>
      <c r="DTL39" s="134"/>
      <c r="DTM39" s="135"/>
      <c r="DTN39" s="126"/>
      <c r="DTO39" s="126"/>
      <c r="DTP39" s="128"/>
      <c r="DTQ39" s="130"/>
      <c r="DTR39" s="132"/>
      <c r="DTS39" s="133" t="s">
        <v>48</v>
      </c>
      <c r="DTT39" s="134"/>
      <c r="DTU39" s="135"/>
      <c r="DTV39" s="126"/>
      <c r="DTW39" s="126"/>
      <c r="DTX39" s="128"/>
      <c r="DTY39" s="130"/>
      <c r="DTZ39" s="132"/>
      <c r="DUA39" s="133" t="s">
        <v>48</v>
      </c>
      <c r="DUB39" s="134"/>
      <c r="DUC39" s="135"/>
      <c r="DUD39" s="126"/>
      <c r="DUE39" s="126"/>
      <c r="DUF39" s="128"/>
      <c r="DUG39" s="130"/>
      <c r="DUH39" s="132"/>
      <c r="DUI39" s="133" t="s">
        <v>48</v>
      </c>
      <c r="DUJ39" s="134"/>
      <c r="DUK39" s="135"/>
      <c r="DUL39" s="126"/>
      <c r="DUM39" s="126"/>
      <c r="DUN39" s="128"/>
      <c r="DUO39" s="130"/>
      <c r="DUP39" s="132"/>
      <c r="DUQ39" s="133" t="s">
        <v>48</v>
      </c>
      <c r="DUR39" s="134"/>
      <c r="DUS39" s="135"/>
      <c r="DUT39" s="126"/>
      <c r="DUU39" s="126"/>
      <c r="DUV39" s="128"/>
      <c r="DUW39" s="130"/>
      <c r="DUX39" s="132"/>
      <c r="DUY39" s="133" t="s">
        <v>48</v>
      </c>
      <c r="DUZ39" s="134"/>
      <c r="DVA39" s="135"/>
      <c r="DVB39" s="126"/>
      <c r="DVC39" s="126"/>
      <c r="DVD39" s="128"/>
      <c r="DVE39" s="130"/>
      <c r="DVF39" s="132"/>
      <c r="DVG39" s="133" t="s">
        <v>48</v>
      </c>
      <c r="DVH39" s="134"/>
      <c r="DVI39" s="135"/>
      <c r="DVJ39" s="126"/>
      <c r="DVK39" s="126"/>
      <c r="DVL39" s="128"/>
      <c r="DVM39" s="130"/>
      <c r="DVN39" s="132"/>
      <c r="DVO39" s="133" t="s">
        <v>48</v>
      </c>
      <c r="DVP39" s="134"/>
      <c r="DVQ39" s="135"/>
      <c r="DVR39" s="126"/>
      <c r="DVS39" s="126"/>
      <c r="DVT39" s="128"/>
      <c r="DVU39" s="130"/>
      <c r="DVV39" s="132"/>
      <c r="DVW39" s="133" t="s">
        <v>48</v>
      </c>
      <c r="DVX39" s="134"/>
      <c r="DVY39" s="135"/>
      <c r="DVZ39" s="126"/>
      <c r="DWA39" s="126"/>
      <c r="DWB39" s="128"/>
      <c r="DWC39" s="130"/>
      <c r="DWD39" s="132"/>
      <c r="DWE39" s="133" t="s">
        <v>48</v>
      </c>
      <c r="DWF39" s="134"/>
      <c r="DWG39" s="135"/>
      <c r="DWH39" s="126"/>
      <c r="DWI39" s="126"/>
      <c r="DWJ39" s="128"/>
      <c r="DWK39" s="130"/>
      <c r="DWL39" s="132"/>
      <c r="DWM39" s="133" t="s">
        <v>48</v>
      </c>
      <c r="DWN39" s="134"/>
      <c r="DWO39" s="135"/>
      <c r="DWP39" s="126"/>
      <c r="DWQ39" s="126"/>
      <c r="DWR39" s="128"/>
      <c r="DWS39" s="130"/>
      <c r="DWT39" s="132"/>
      <c r="DWU39" s="133" t="s">
        <v>48</v>
      </c>
      <c r="DWV39" s="134"/>
      <c r="DWW39" s="135"/>
      <c r="DWX39" s="126"/>
      <c r="DWY39" s="126"/>
      <c r="DWZ39" s="128"/>
      <c r="DXA39" s="130"/>
      <c r="DXB39" s="132"/>
      <c r="DXC39" s="133" t="s">
        <v>48</v>
      </c>
      <c r="DXD39" s="134"/>
      <c r="DXE39" s="135"/>
      <c r="DXF39" s="126"/>
      <c r="DXG39" s="126"/>
      <c r="DXH39" s="128"/>
      <c r="DXI39" s="130"/>
      <c r="DXJ39" s="132"/>
      <c r="DXK39" s="133" t="s">
        <v>48</v>
      </c>
      <c r="DXL39" s="134"/>
      <c r="DXM39" s="135"/>
      <c r="DXN39" s="126"/>
      <c r="DXO39" s="126"/>
      <c r="DXP39" s="128"/>
      <c r="DXQ39" s="130"/>
      <c r="DXR39" s="132"/>
      <c r="DXS39" s="133" t="s">
        <v>48</v>
      </c>
      <c r="DXT39" s="134"/>
      <c r="DXU39" s="135"/>
      <c r="DXV39" s="126"/>
      <c r="DXW39" s="126"/>
      <c r="DXX39" s="128"/>
      <c r="DXY39" s="130"/>
      <c r="DXZ39" s="132"/>
      <c r="DYA39" s="133" t="s">
        <v>48</v>
      </c>
      <c r="DYB39" s="134"/>
      <c r="DYC39" s="135"/>
      <c r="DYD39" s="126"/>
      <c r="DYE39" s="126"/>
      <c r="DYF39" s="128"/>
      <c r="DYG39" s="130"/>
      <c r="DYH39" s="132"/>
      <c r="DYI39" s="133" t="s">
        <v>48</v>
      </c>
      <c r="DYJ39" s="134"/>
      <c r="DYK39" s="135"/>
      <c r="DYL39" s="126"/>
      <c r="DYM39" s="126"/>
      <c r="DYN39" s="128"/>
      <c r="DYO39" s="130"/>
      <c r="DYP39" s="132"/>
      <c r="DYQ39" s="133" t="s">
        <v>48</v>
      </c>
      <c r="DYR39" s="134"/>
      <c r="DYS39" s="135"/>
      <c r="DYT39" s="126"/>
      <c r="DYU39" s="126"/>
      <c r="DYV39" s="128"/>
      <c r="DYW39" s="130"/>
      <c r="DYX39" s="132"/>
      <c r="DYY39" s="133" t="s">
        <v>48</v>
      </c>
      <c r="DYZ39" s="134"/>
      <c r="DZA39" s="135"/>
      <c r="DZB39" s="126"/>
      <c r="DZC39" s="126"/>
      <c r="DZD39" s="128"/>
      <c r="DZE39" s="130"/>
      <c r="DZF39" s="132"/>
      <c r="DZG39" s="133" t="s">
        <v>48</v>
      </c>
      <c r="DZH39" s="134"/>
      <c r="DZI39" s="135"/>
      <c r="DZJ39" s="126"/>
      <c r="DZK39" s="126"/>
      <c r="DZL39" s="128"/>
      <c r="DZM39" s="130"/>
      <c r="DZN39" s="132"/>
      <c r="DZO39" s="133" t="s">
        <v>48</v>
      </c>
      <c r="DZP39" s="134"/>
      <c r="DZQ39" s="135"/>
      <c r="DZR39" s="126"/>
      <c r="DZS39" s="126"/>
      <c r="DZT39" s="128"/>
      <c r="DZU39" s="130"/>
      <c r="DZV39" s="132"/>
      <c r="DZW39" s="133" t="s">
        <v>48</v>
      </c>
      <c r="DZX39" s="134"/>
      <c r="DZY39" s="135"/>
      <c r="DZZ39" s="126"/>
      <c r="EAA39" s="126"/>
      <c r="EAB39" s="128"/>
      <c r="EAC39" s="130"/>
      <c r="EAD39" s="132"/>
      <c r="EAE39" s="133" t="s">
        <v>48</v>
      </c>
      <c r="EAF39" s="134"/>
      <c r="EAG39" s="135"/>
      <c r="EAH39" s="126"/>
      <c r="EAI39" s="126"/>
      <c r="EAJ39" s="128"/>
      <c r="EAK39" s="130"/>
      <c r="EAL39" s="132"/>
      <c r="EAM39" s="133" t="s">
        <v>48</v>
      </c>
      <c r="EAN39" s="134"/>
      <c r="EAO39" s="135"/>
      <c r="EAP39" s="126"/>
      <c r="EAQ39" s="126"/>
      <c r="EAR39" s="128"/>
      <c r="EAS39" s="130"/>
      <c r="EAT39" s="132"/>
      <c r="EAU39" s="133" t="s">
        <v>48</v>
      </c>
      <c r="EAV39" s="134"/>
      <c r="EAW39" s="135"/>
      <c r="EAX39" s="126"/>
      <c r="EAY39" s="126"/>
      <c r="EAZ39" s="128"/>
      <c r="EBA39" s="130"/>
      <c r="EBB39" s="132"/>
      <c r="EBC39" s="133" t="s">
        <v>48</v>
      </c>
      <c r="EBD39" s="134"/>
      <c r="EBE39" s="135"/>
      <c r="EBF39" s="126"/>
      <c r="EBG39" s="126"/>
      <c r="EBH39" s="128"/>
      <c r="EBI39" s="130"/>
      <c r="EBJ39" s="132"/>
      <c r="EBK39" s="133" t="s">
        <v>48</v>
      </c>
      <c r="EBL39" s="134"/>
      <c r="EBM39" s="135"/>
      <c r="EBN39" s="126"/>
      <c r="EBO39" s="126"/>
      <c r="EBP39" s="128"/>
      <c r="EBQ39" s="130"/>
      <c r="EBR39" s="132"/>
      <c r="EBS39" s="133" t="s">
        <v>48</v>
      </c>
      <c r="EBT39" s="134"/>
      <c r="EBU39" s="135"/>
      <c r="EBV39" s="126"/>
      <c r="EBW39" s="126"/>
      <c r="EBX39" s="128"/>
      <c r="EBY39" s="130"/>
      <c r="EBZ39" s="132"/>
      <c r="ECA39" s="133" t="s">
        <v>48</v>
      </c>
      <c r="ECB39" s="134"/>
      <c r="ECC39" s="135"/>
      <c r="ECD39" s="126"/>
      <c r="ECE39" s="126"/>
      <c r="ECF39" s="128"/>
      <c r="ECG39" s="130"/>
      <c r="ECH39" s="132"/>
      <c r="ECI39" s="133" t="s">
        <v>48</v>
      </c>
      <c r="ECJ39" s="134"/>
      <c r="ECK39" s="135"/>
      <c r="ECL39" s="126"/>
      <c r="ECM39" s="126"/>
      <c r="ECN39" s="128"/>
      <c r="ECO39" s="130"/>
      <c r="ECP39" s="132"/>
      <c r="ECQ39" s="133" t="s">
        <v>48</v>
      </c>
      <c r="ECR39" s="134"/>
      <c r="ECS39" s="135"/>
      <c r="ECT39" s="126"/>
      <c r="ECU39" s="126"/>
      <c r="ECV39" s="128"/>
      <c r="ECW39" s="130"/>
      <c r="ECX39" s="132"/>
      <c r="ECY39" s="133" t="s">
        <v>48</v>
      </c>
      <c r="ECZ39" s="134"/>
      <c r="EDA39" s="135"/>
      <c r="EDB39" s="126"/>
      <c r="EDC39" s="126"/>
      <c r="EDD39" s="128"/>
      <c r="EDE39" s="130"/>
      <c r="EDF39" s="132"/>
      <c r="EDG39" s="133" t="s">
        <v>48</v>
      </c>
      <c r="EDH39" s="134"/>
      <c r="EDI39" s="135"/>
      <c r="EDJ39" s="126"/>
      <c r="EDK39" s="126"/>
      <c r="EDL39" s="128"/>
      <c r="EDM39" s="130"/>
      <c r="EDN39" s="132"/>
      <c r="EDO39" s="133" t="s">
        <v>48</v>
      </c>
      <c r="EDP39" s="134"/>
      <c r="EDQ39" s="135"/>
      <c r="EDR39" s="126"/>
      <c r="EDS39" s="126"/>
      <c r="EDT39" s="128"/>
      <c r="EDU39" s="130"/>
      <c r="EDV39" s="132"/>
      <c r="EDW39" s="133" t="s">
        <v>48</v>
      </c>
      <c r="EDX39" s="134"/>
      <c r="EDY39" s="135"/>
      <c r="EDZ39" s="126"/>
      <c r="EEA39" s="126"/>
      <c r="EEB39" s="128"/>
      <c r="EEC39" s="130"/>
      <c r="EED39" s="132"/>
      <c r="EEE39" s="133" t="s">
        <v>48</v>
      </c>
      <c r="EEF39" s="134"/>
      <c r="EEG39" s="135"/>
      <c r="EEH39" s="126"/>
      <c r="EEI39" s="126"/>
      <c r="EEJ39" s="128"/>
      <c r="EEK39" s="130"/>
      <c r="EEL39" s="132"/>
      <c r="EEM39" s="133" t="s">
        <v>48</v>
      </c>
      <c r="EEN39" s="134"/>
      <c r="EEO39" s="135"/>
      <c r="EEP39" s="126"/>
      <c r="EEQ39" s="126"/>
      <c r="EER39" s="128"/>
      <c r="EES39" s="130"/>
      <c r="EET39" s="132"/>
      <c r="EEU39" s="133" t="s">
        <v>48</v>
      </c>
      <c r="EEV39" s="134"/>
      <c r="EEW39" s="135"/>
      <c r="EEX39" s="126"/>
      <c r="EEY39" s="126"/>
      <c r="EEZ39" s="128"/>
      <c r="EFA39" s="130"/>
      <c r="EFB39" s="132"/>
      <c r="EFC39" s="133" t="s">
        <v>48</v>
      </c>
      <c r="EFD39" s="134"/>
      <c r="EFE39" s="135"/>
      <c r="EFF39" s="126"/>
      <c r="EFG39" s="126"/>
      <c r="EFH39" s="128"/>
      <c r="EFI39" s="130"/>
      <c r="EFJ39" s="132"/>
      <c r="EFK39" s="133" t="s">
        <v>48</v>
      </c>
      <c r="EFL39" s="134"/>
      <c r="EFM39" s="135"/>
      <c r="EFN39" s="126"/>
      <c r="EFO39" s="126"/>
      <c r="EFP39" s="128"/>
      <c r="EFQ39" s="130"/>
      <c r="EFR39" s="132"/>
      <c r="EFS39" s="133" t="s">
        <v>48</v>
      </c>
      <c r="EFT39" s="134"/>
      <c r="EFU39" s="135"/>
      <c r="EFV39" s="126"/>
      <c r="EFW39" s="126"/>
      <c r="EFX39" s="128"/>
      <c r="EFY39" s="130"/>
      <c r="EFZ39" s="132"/>
      <c r="EGA39" s="133" t="s">
        <v>48</v>
      </c>
      <c r="EGB39" s="134"/>
      <c r="EGC39" s="135"/>
      <c r="EGD39" s="126"/>
      <c r="EGE39" s="126"/>
      <c r="EGF39" s="128"/>
      <c r="EGG39" s="130"/>
      <c r="EGH39" s="132"/>
      <c r="EGI39" s="133" t="s">
        <v>48</v>
      </c>
      <c r="EGJ39" s="134"/>
      <c r="EGK39" s="135"/>
      <c r="EGL39" s="126"/>
      <c r="EGM39" s="126"/>
      <c r="EGN39" s="128"/>
      <c r="EGO39" s="130"/>
      <c r="EGP39" s="132"/>
      <c r="EGQ39" s="133" t="s">
        <v>48</v>
      </c>
      <c r="EGR39" s="134"/>
      <c r="EGS39" s="135"/>
      <c r="EGT39" s="126"/>
      <c r="EGU39" s="126"/>
      <c r="EGV39" s="128"/>
      <c r="EGW39" s="130"/>
      <c r="EGX39" s="132"/>
      <c r="EGY39" s="133" t="s">
        <v>48</v>
      </c>
      <c r="EGZ39" s="134"/>
      <c r="EHA39" s="135"/>
      <c r="EHB39" s="126"/>
      <c r="EHC39" s="126"/>
      <c r="EHD39" s="128"/>
      <c r="EHE39" s="130"/>
      <c r="EHF39" s="132"/>
      <c r="EHG39" s="133" t="s">
        <v>48</v>
      </c>
      <c r="EHH39" s="134"/>
      <c r="EHI39" s="135"/>
      <c r="EHJ39" s="126"/>
      <c r="EHK39" s="126"/>
      <c r="EHL39" s="128"/>
      <c r="EHM39" s="130"/>
      <c r="EHN39" s="132"/>
      <c r="EHO39" s="133" t="s">
        <v>48</v>
      </c>
      <c r="EHP39" s="134"/>
      <c r="EHQ39" s="135"/>
      <c r="EHR39" s="126"/>
      <c r="EHS39" s="126"/>
      <c r="EHT39" s="128"/>
      <c r="EHU39" s="130"/>
      <c r="EHV39" s="132"/>
      <c r="EHW39" s="133" t="s">
        <v>48</v>
      </c>
      <c r="EHX39" s="134"/>
      <c r="EHY39" s="135"/>
      <c r="EHZ39" s="126"/>
      <c r="EIA39" s="126"/>
      <c r="EIB39" s="128"/>
      <c r="EIC39" s="130"/>
      <c r="EID39" s="132"/>
      <c r="EIE39" s="133" t="s">
        <v>48</v>
      </c>
      <c r="EIF39" s="134"/>
      <c r="EIG39" s="135"/>
      <c r="EIH39" s="126"/>
      <c r="EII39" s="126"/>
      <c r="EIJ39" s="128"/>
      <c r="EIK39" s="130"/>
      <c r="EIL39" s="132"/>
      <c r="EIM39" s="133" t="s">
        <v>48</v>
      </c>
      <c r="EIN39" s="134"/>
      <c r="EIO39" s="135"/>
      <c r="EIP39" s="126"/>
      <c r="EIQ39" s="126"/>
      <c r="EIR39" s="128"/>
      <c r="EIS39" s="130"/>
      <c r="EIT39" s="132"/>
      <c r="EIU39" s="133" t="s">
        <v>48</v>
      </c>
      <c r="EIV39" s="134"/>
      <c r="EIW39" s="135"/>
      <c r="EIX39" s="126"/>
      <c r="EIY39" s="126"/>
      <c r="EIZ39" s="128"/>
      <c r="EJA39" s="130"/>
      <c r="EJB39" s="132"/>
      <c r="EJC39" s="133" t="s">
        <v>48</v>
      </c>
      <c r="EJD39" s="134"/>
      <c r="EJE39" s="135"/>
      <c r="EJF39" s="126"/>
      <c r="EJG39" s="126"/>
      <c r="EJH39" s="128"/>
      <c r="EJI39" s="130"/>
      <c r="EJJ39" s="132"/>
      <c r="EJK39" s="133" t="s">
        <v>48</v>
      </c>
      <c r="EJL39" s="134"/>
      <c r="EJM39" s="135"/>
      <c r="EJN39" s="126"/>
      <c r="EJO39" s="126"/>
      <c r="EJP39" s="128"/>
      <c r="EJQ39" s="130"/>
      <c r="EJR39" s="132"/>
      <c r="EJS39" s="133" t="s">
        <v>48</v>
      </c>
      <c r="EJT39" s="134"/>
      <c r="EJU39" s="135"/>
      <c r="EJV39" s="126"/>
      <c r="EJW39" s="126"/>
      <c r="EJX39" s="128"/>
      <c r="EJY39" s="130"/>
      <c r="EJZ39" s="132"/>
      <c r="EKA39" s="133" t="s">
        <v>48</v>
      </c>
      <c r="EKB39" s="134"/>
      <c r="EKC39" s="135"/>
      <c r="EKD39" s="126"/>
      <c r="EKE39" s="126"/>
      <c r="EKF39" s="128"/>
      <c r="EKG39" s="130"/>
      <c r="EKH39" s="132"/>
      <c r="EKI39" s="133" t="s">
        <v>48</v>
      </c>
      <c r="EKJ39" s="134"/>
      <c r="EKK39" s="135"/>
      <c r="EKL39" s="126"/>
      <c r="EKM39" s="126"/>
      <c r="EKN39" s="128"/>
      <c r="EKO39" s="130"/>
      <c r="EKP39" s="132"/>
      <c r="EKQ39" s="133" t="s">
        <v>48</v>
      </c>
      <c r="EKR39" s="134"/>
      <c r="EKS39" s="135"/>
      <c r="EKT39" s="126"/>
      <c r="EKU39" s="126"/>
      <c r="EKV39" s="128"/>
      <c r="EKW39" s="130"/>
      <c r="EKX39" s="132"/>
      <c r="EKY39" s="133" t="s">
        <v>48</v>
      </c>
      <c r="EKZ39" s="134"/>
      <c r="ELA39" s="135"/>
      <c r="ELB39" s="126"/>
      <c r="ELC39" s="126"/>
      <c r="ELD39" s="128"/>
      <c r="ELE39" s="130"/>
      <c r="ELF39" s="132"/>
      <c r="ELG39" s="133" t="s">
        <v>48</v>
      </c>
      <c r="ELH39" s="134"/>
      <c r="ELI39" s="135"/>
      <c r="ELJ39" s="126"/>
      <c r="ELK39" s="126"/>
      <c r="ELL39" s="128"/>
      <c r="ELM39" s="130"/>
      <c r="ELN39" s="132"/>
      <c r="ELO39" s="133" t="s">
        <v>48</v>
      </c>
      <c r="ELP39" s="134"/>
      <c r="ELQ39" s="135"/>
      <c r="ELR39" s="126"/>
      <c r="ELS39" s="126"/>
      <c r="ELT39" s="128"/>
      <c r="ELU39" s="130"/>
      <c r="ELV39" s="132"/>
      <c r="ELW39" s="133" t="s">
        <v>48</v>
      </c>
      <c r="ELX39" s="134"/>
      <c r="ELY39" s="135"/>
      <c r="ELZ39" s="126"/>
      <c r="EMA39" s="126"/>
      <c r="EMB39" s="128"/>
      <c r="EMC39" s="130"/>
      <c r="EMD39" s="132"/>
      <c r="EME39" s="133" t="s">
        <v>48</v>
      </c>
      <c r="EMF39" s="134"/>
      <c r="EMG39" s="135"/>
      <c r="EMH39" s="126"/>
      <c r="EMI39" s="126"/>
      <c r="EMJ39" s="128"/>
      <c r="EMK39" s="130"/>
      <c r="EML39" s="132"/>
      <c r="EMM39" s="133" t="s">
        <v>48</v>
      </c>
      <c r="EMN39" s="134"/>
      <c r="EMO39" s="135"/>
      <c r="EMP39" s="126"/>
      <c r="EMQ39" s="126"/>
      <c r="EMR39" s="128"/>
      <c r="EMS39" s="130"/>
      <c r="EMT39" s="132"/>
      <c r="EMU39" s="133" t="s">
        <v>48</v>
      </c>
      <c r="EMV39" s="134"/>
      <c r="EMW39" s="135"/>
      <c r="EMX39" s="126"/>
      <c r="EMY39" s="126"/>
      <c r="EMZ39" s="128"/>
      <c r="ENA39" s="130"/>
      <c r="ENB39" s="132"/>
      <c r="ENC39" s="133" t="s">
        <v>48</v>
      </c>
      <c r="END39" s="134"/>
      <c r="ENE39" s="135"/>
      <c r="ENF39" s="126"/>
      <c r="ENG39" s="126"/>
      <c r="ENH39" s="128"/>
      <c r="ENI39" s="130"/>
      <c r="ENJ39" s="132"/>
      <c r="ENK39" s="133" t="s">
        <v>48</v>
      </c>
      <c r="ENL39" s="134"/>
      <c r="ENM39" s="135"/>
      <c r="ENN39" s="126"/>
      <c r="ENO39" s="126"/>
      <c r="ENP39" s="128"/>
      <c r="ENQ39" s="130"/>
      <c r="ENR39" s="132"/>
      <c r="ENS39" s="133" t="s">
        <v>48</v>
      </c>
      <c r="ENT39" s="134"/>
      <c r="ENU39" s="135"/>
      <c r="ENV39" s="126"/>
      <c r="ENW39" s="126"/>
      <c r="ENX39" s="128"/>
      <c r="ENY39" s="130"/>
      <c r="ENZ39" s="132"/>
      <c r="EOA39" s="133" t="s">
        <v>48</v>
      </c>
      <c r="EOB39" s="134"/>
      <c r="EOC39" s="135"/>
      <c r="EOD39" s="126"/>
      <c r="EOE39" s="126"/>
      <c r="EOF39" s="128"/>
      <c r="EOG39" s="130"/>
      <c r="EOH39" s="132"/>
      <c r="EOI39" s="133" t="s">
        <v>48</v>
      </c>
      <c r="EOJ39" s="134"/>
      <c r="EOK39" s="135"/>
      <c r="EOL39" s="126"/>
      <c r="EOM39" s="126"/>
      <c r="EON39" s="128"/>
      <c r="EOO39" s="130"/>
      <c r="EOP39" s="132"/>
      <c r="EOQ39" s="133" t="s">
        <v>48</v>
      </c>
      <c r="EOR39" s="134"/>
      <c r="EOS39" s="135"/>
      <c r="EOT39" s="126"/>
      <c r="EOU39" s="126"/>
      <c r="EOV39" s="128"/>
      <c r="EOW39" s="130"/>
      <c r="EOX39" s="132"/>
      <c r="EOY39" s="133" t="s">
        <v>48</v>
      </c>
      <c r="EOZ39" s="134"/>
      <c r="EPA39" s="135"/>
      <c r="EPB39" s="126"/>
      <c r="EPC39" s="126"/>
      <c r="EPD39" s="128"/>
      <c r="EPE39" s="130"/>
      <c r="EPF39" s="132"/>
      <c r="EPG39" s="133" t="s">
        <v>48</v>
      </c>
      <c r="EPH39" s="134"/>
      <c r="EPI39" s="135"/>
      <c r="EPJ39" s="126"/>
      <c r="EPK39" s="126"/>
      <c r="EPL39" s="128"/>
      <c r="EPM39" s="130"/>
      <c r="EPN39" s="132"/>
      <c r="EPO39" s="133" t="s">
        <v>48</v>
      </c>
      <c r="EPP39" s="134"/>
      <c r="EPQ39" s="135"/>
      <c r="EPR39" s="126"/>
      <c r="EPS39" s="126"/>
      <c r="EPT39" s="128"/>
      <c r="EPU39" s="130"/>
      <c r="EPV39" s="132"/>
      <c r="EPW39" s="133" t="s">
        <v>48</v>
      </c>
      <c r="EPX39" s="134"/>
      <c r="EPY39" s="135"/>
      <c r="EPZ39" s="126"/>
      <c r="EQA39" s="126"/>
      <c r="EQB39" s="128"/>
      <c r="EQC39" s="130"/>
      <c r="EQD39" s="132"/>
      <c r="EQE39" s="133" t="s">
        <v>48</v>
      </c>
      <c r="EQF39" s="134"/>
      <c r="EQG39" s="135"/>
      <c r="EQH39" s="126"/>
      <c r="EQI39" s="126"/>
      <c r="EQJ39" s="128"/>
      <c r="EQK39" s="130"/>
      <c r="EQL39" s="132"/>
      <c r="EQM39" s="133" t="s">
        <v>48</v>
      </c>
      <c r="EQN39" s="134"/>
      <c r="EQO39" s="135"/>
      <c r="EQP39" s="126"/>
      <c r="EQQ39" s="126"/>
      <c r="EQR39" s="128"/>
      <c r="EQS39" s="130"/>
      <c r="EQT39" s="132"/>
      <c r="EQU39" s="133" t="s">
        <v>48</v>
      </c>
      <c r="EQV39" s="134"/>
      <c r="EQW39" s="135"/>
      <c r="EQX39" s="126"/>
      <c r="EQY39" s="126"/>
      <c r="EQZ39" s="128"/>
      <c r="ERA39" s="130"/>
      <c r="ERB39" s="132"/>
      <c r="ERC39" s="133" t="s">
        <v>48</v>
      </c>
      <c r="ERD39" s="134"/>
      <c r="ERE39" s="135"/>
      <c r="ERF39" s="126"/>
      <c r="ERG39" s="126"/>
      <c r="ERH39" s="128"/>
      <c r="ERI39" s="130"/>
      <c r="ERJ39" s="132"/>
      <c r="ERK39" s="133" t="s">
        <v>48</v>
      </c>
      <c r="ERL39" s="134"/>
      <c r="ERM39" s="135"/>
      <c r="ERN39" s="126"/>
      <c r="ERO39" s="126"/>
      <c r="ERP39" s="128"/>
      <c r="ERQ39" s="130"/>
      <c r="ERR39" s="132"/>
      <c r="ERS39" s="133" t="s">
        <v>48</v>
      </c>
      <c r="ERT39" s="134"/>
      <c r="ERU39" s="135"/>
      <c r="ERV39" s="126"/>
      <c r="ERW39" s="126"/>
      <c r="ERX39" s="128"/>
      <c r="ERY39" s="130"/>
      <c r="ERZ39" s="132"/>
      <c r="ESA39" s="133" t="s">
        <v>48</v>
      </c>
      <c r="ESB39" s="134"/>
      <c r="ESC39" s="135"/>
      <c r="ESD39" s="126"/>
      <c r="ESE39" s="126"/>
      <c r="ESF39" s="128"/>
      <c r="ESG39" s="130"/>
      <c r="ESH39" s="132"/>
      <c r="ESI39" s="133" t="s">
        <v>48</v>
      </c>
      <c r="ESJ39" s="134"/>
      <c r="ESK39" s="135"/>
      <c r="ESL39" s="126"/>
      <c r="ESM39" s="126"/>
      <c r="ESN39" s="128"/>
      <c r="ESO39" s="130"/>
      <c r="ESP39" s="132"/>
      <c r="ESQ39" s="133" t="s">
        <v>48</v>
      </c>
      <c r="ESR39" s="134"/>
      <c r="ESS39" s="135"/>
      <c r="EST39" s="126"/>
      <c r="ESU39" s="126"/>
      <c r="ESV39" s="128"/>
      <c r="ESW39" s="130"/>
      <c r="ESX39" s="132"/>
      <c r="ESY39" s="133" t="s">
        <v>48</v>
      </c>
      <c r="ESZ39" s="134"/>
      <c r="ETA39" s="135"/>
      <c r="ETB39" s="126"/>
      <c r="ETC39" s="126"/>
      <c r="ETD39" s="128"/>
      <c r="ETE39" s="130"/>
      <c r="ETF39" s="132"/>
      <c r="ETG39" s="133" t="s">
        <v>48</v>
      </c>
      <c r="ETH39" s="134"/>
      <c r="ETI39" s="135"/>
      <c r="ETJ39" s="126"/>
      <c r="ETK39" s="126"/>
      <c r="ETL39" s="128"/>
      <c r="ETM39" s="130"/>
      <c r="ETN39" s="132"/>
      <c r="ETO39" s="133" t="s">
        <v>48</v>
      </c>
      <c r="ETP39" s="134"/>
      <c r="ETQ39" s="135"/>
      <c r="ETR39" s="126"/>
      <c r="ETS39" s="126"/>
      <c r="ETT39" s="128"/>
      <c r="ETU39" s="130"/>
      <c r="ETV39" s="132"/>
      <c r="ETW39" s="133" t="s">
        <v>48</v>
      </c>
      <c r="ETX39" s="134"/>
      <c r="ETY39" s="135"/>
      <c r="ETZ39" s="126"/>
      <c r="EUA39" s="126"/>
      <c r="EUB39" s="128"/>
      <c r="EUC39" s="130"/>
      <c r="EUD39" s="132"/>
      <c r="EUE39" s="133" t="s">
        <v>48</v>
      </c>
      <c r="EUF39" s="134"/>
      <c r="EUG39" s="135"/>
      <c r="EUH39" s="126"/>
      <c r="EUI39" s="126"/>
      <c r="EUJ39" s="128"/>
      <c r="EUK39" s="130"/>
      <c r="EUL39" s="132"/>
      <c r="EUM39" s="133" t="s">
        <v>48</v>
      </c>
      <c r="EUN39" s="134"/>
      <c r="EUO39" s="135"/>
      <c r="EUP39" s="126"/>
      <c r="EUQ39" s="126"/>
      <c r="EUR39" s="128"/>
      <c r="EUS39" s="130"/>
      <c r="EUT39" s="132"/>
      <c r="EUU39" s="133" t="s">
        <v>48</v>
      </c>
      <c r="EUV39" s="134"/>
      <c r="EUW39" s="135"/>
      <c r="EUX39" s="126"/>
      <c r="EUY39" s="126"/>
      <c r="EUZ39" s="128"/>
      <c r="EVA39" s="130"/>
      <c r="EVB39" s="132"/>
      <c r="EVC39" s="133" t="s">
        <v>48</v>
      </c>
      <c r="EVD39" s="134"/>
      <c r="EVE39" s="135"/>
      <c r="EVF39" s="126"/>
      <c r="EVG39" s="126"/>
      <c r="EVH39" s="128"/>
      <c r="EVI39" s="130"/>
      <c r="EVJ39" s="132"/>
      <c r="EVK39" s="133" t="s">
        <v>48</v>
      </c>
      <c r="EVL39" s="134"/>
      <c r="EVM39" s="135"/>
      <c r="EVN39" s="126"/>
      <c r="EVO39" s="126"/>
      <c r="EVP39" s="128"/>
      <c r="EVQ39" s="130"/>
      <c r="EVR39" s="132"/>
      <c r="EVS39" s="133" t="s">
        <v>48</v>
      </c>
      <c r="EVT39" s="134"/>
      <c r="EVU39" s="135"/>
      <c r="EVV39" s="126"/>
      <c r="EVW39" s="126"/>
      <c r="EVX39" s="128"/>
      <c r="EVY39" s="130"/>
      <c r="EVZ39" s="132"/>
      <c r="EWA39" s="133" t="s">
        <v>48</v>
      </c>
      <c r="EWB39" s="134"/>
      <c r="EWC39" s="135"/>
      <c r="EWD39" s="126"/>
      <c r="EWE39" s="126"/>
      <c r="EWF39" s="128"/>
      <c r="EWG39" s="130"/>
      <c r="EWH39" s="132"/>
      <c r="EWI39" s="133" t="s">
        <v>48</v>
      </c>
      <c r="EWJ39" s="134"/>
      <c r="EWK39" s="135"/>
      <c r="EWL39" s="126"/>
      <c r="EWM39" s="126"/>
      <c r="EWN39" s="128"/>
      <c r="EWO39" s="130"/>
      <c r="EWP39" s="132"/>
      <c r="EWQ39" s="133" t="s">
        <v>48</v>
      </c>
      <c r="EWR39" s="134"/>
      <c r="EWS39" s="135"/>
      <c r="EWT39" s="126"/>
      <c r="EWU39" s="126"/>
      <c r="EWV39" s="128"/>
      <c r="EWW39" s="130"/>
      <c r="EWX39" s="132"/>
      <c r="EWY39" s="133" t="s">
        <v>48</v>
      </c>
      <c r="EWZ39" s="134"/>
      <c r="EXA39" s="135"/>
      <c r="EXB39" s="126"/>
      <c r="EXC39" s="126"/>
      <c r="EXD39" s="128"/>
      <c r="EXE39" s="130"/>
      <c r="EXF39" s="132"/>
      <c r="EXG39" s="133" t="s">
        <v>48</v>
      </c>
      <c r="EXH39" s="134"/>
      <c r="EXI39" s="135"/>
      <c r="EXJ39" s="126"/>
      <c r="EXK39" s="126"/>
      <c r="EXL39" s="128"/>
      <c r="EXM39" s="130"/>
      <c r="EXN39" s="132"/>
      <c r="EXO39" s="133" t="s">
        <v>48</v>
      </c>
      <c r="EXP39" s="134"/>
      <c r="EXQ39" s="135"/>
      <c r="EXR39" s="126"/>
      <c r="EXS39" s="126"/>
      <c r="EXT39" s="128"/>
      <c r="EXU39" s="130"/>
      <c r="EXV39" s="132"/>
      <c r="EXW39" s="133" t="s">
        <v>48</v>
      </c>
      <c r="EXX39" s="134"/>
      <c r="EXY39" s="135"/>
      <c r="EXZ39" s="126"/>
      <c r="EYA39" s="126"/>
      <c r="EYB39" s="128"/>
      <c r="EYC39" s="130"/>
      <c r="EYD39" s="132"/>
      <c r="EYE39" s="133" t="s">
        <v>48</v>
      </c>
      <c r="EYF39" s="134"/>
      <c r="EYG39" s="135"/>
      <c r="EYH39" s="126"/>
      <c r="EYI39" s="126"/>
      <c r="EYJ39" s="128"/>
      <c r="EYK39" s="130"/>
      <c r="EYL39" s="132"/>
      <c r="EYM39" s="133" t="s">
        <v>48</v>
      </c>
      <c r="EYN39" s="134"/>
      <c r="EYO39" s="135"/>
      <c r="EYP39" s="126"/>
      <c r="EYQ39" s="126"/>
      <c r="EYR39" s="128"/>
      <c r="EYS39" s="130"/>
      <c r="EYT39" s="132"/>
      <c r="EYU39" s="133" t="s">
        <v>48</v>
      </c>
      <c r="EYV39" s="134"/>
      <c r="EYW39" s="135"/>
      <c r="EYX39" s="126"/>
      <c r="EYY39" s="126"/>
      <c r="EYZ39" s="128"/>
      <c r="EZA39" s="130"/>
      <c r="EZB39" s="132"/>
      <c r="EZC39" s="133" t="s">
        <v>48</v>
      </c>
      <c r="EZD39" s="134"/>
      <c r="EZE39" s="135"/>
      <c r="EZF39" s="126"/>
      <c r="EZG39" s="126"/>
      <c r="EZH39" s="128"/>
      <c r="EZI39" s="130"/>
      <c r="EZJ39" s="132"/>
      <c r="EZK39" s="133" t="s">
        <v>48</v>
      </c>
      <c r="EZL39" s="134"/>
      <c r="EZM39" s="135"/>
      <c r="EZN39" s="126"/>
      <c r="EZO39" s="126"/>
      <c r="EZP39" s="128"/>
      <c r="EZQ39" s="130"/>
      <c r="EZR39" s="132"/>
      <c r="EZS39" s="133" t="s">
        <v>48</v>
      </c>
      <c r="EZT39" s="134"/>
      <c r="EZU39" s="135"/>
      <c r="EZV39" s="126"/>
      <c r="EZW39" s="126"/>
      <c r="EZX39" s="128"/>
      <c r="EZY39" s="130"/>
      <c r="EZZ39" s="132"/>
      <c r="FAA39" s="133" t="s">
        <v>48</v>
      </c>
      <c r="FAB39" s="134"/>
      <c r="FAC39" s="135"/>
      <c r="FAD39" s="126"/>
      <c r="FAE39" s="126"/>
      <c r="FAF39" s="128"/>
      <c r="FAG39" s="130"/>
      <c r="FAH39" s="132"/>
      <c r="FAI39" s="133" t="s">
        <v>48</v>
      </c>
      <c r="FAJ39" s="134"/>
      <c r="FAK39" s="135"/>
      <c r="FAL39" s="126"/>
      <c r="FAM39" s="126"/>
      <c r="FAN39" s="128"/>
      <c r="FAO39" s="130"/>
      <c r="FAP39" s="132"/>
      <c r="FAQ39" s="133" t="s">
        <v>48</v>
      </c>
      <c r="FAR39" s="134"/>
      <c r="FAS39" s="135"/>
      <c r="FAT39" s="126"/>
      <c r="FAU39" s="126"/>
      <c r="FAV39" s="128"/>
      <c r="FAW39" s="130"/>
      <c r="FAX39" s="132"/>
      <c r="FAY39" s="133" t="s">
        <v>48</v>
      </c>
      <c r="FAZ39" s="134"/>
      <c r="FBA39" s="135"/>
      <c r="FBB39" s="126"/>
      <c r="FBC39" s="126"/>
      <c r="FBD39" s="128"/>
      <c r="FBE39" s="130"/>
      <c r="FBF39" s="132"/>
      <c r="FBG39" s="133" t="s">
        <v>48</v>
      </c>
      <c r="FBH39" s="134"/>
      <c r="FBI39" s="135"/>
      <c r="FBJ39" s="126"/>
      <c r="FBK39" s="126"/>
      <c r="FBL39" s="128"/>
      <c r="FBM39" s="130"/>
      <c r="FBN39" s="132"/>
      <c r="FBO39" s="133" t="s">
        <v>48</v>
      </c>
      <c r="FBP39" s="134"/>
      <c r="FBQ39" s="135"/>
      <c r="FBR39" s="126"/>
      <c r="FBS39" s="126"/>
      <c r="FBT39" s="128"/>
      <c r="FBU39" s="130"/>
      <c r="FBV39" s="132"/>
      <c r="FBW39" s="133" t="s">
        <v>48</v>
      </c>
      <c r="FBX39" s="134"/>
      <c r="FBY39" s="135"/>
      <c r="FBZ39" s="126"/>
      <c r="FCA39" s="126"/>
      <c r="FCB39" s="128"/>
      <c r="FCC39" s="130"/>
      <c r="FCD39" s="132"/>
      <c r="FCE39" s="133" t="s">
        <v>48</v>
      </c>
      <c r="FCF39" s="134"/>
      <c r="FCG39" s="135"/>
      <c r="FCH39" s="126"/>
      <c r="FCI39" s="126"/>
      <c r="FCJ39" s="128"/>
      <c r="FCK39" s="130"/>
      <c r="FCL39" s="132"/>
      <c r="FCM39" s="133" t="s">
        <v>48</v>
      </c>
      <c r="FCN39" s="134"/>
      <c r="FCO39" s="135"/>
      <c r="FCP39" s="126"/>
      <c r="FCQ39" s="126"/>
      <c r="FCR39" s="128"/>
      <c r="FCS39" s="130"/>
      <c r="FCT39" s="132"/>
      <c r="FCU39" s="133" t="s">
        <v>48</v>
      </c>
      <c r="FCV39" s="134"/>
      <c r="FCW39" s="135"/>
      <c r="FCX39" s="126"/>
      <c r="FCY39" s="126"/>
      <c r="FCZ39" s="128"/>
      <c r="FDA39" s="130"/>
      <c r="FDB39" s="132"/>
      <c r="FDC39" s="133" t="s">
        <v>48</v>
      </c>
      <c r="FDD39" s="134"/>
      <c r="FDE39" s="135"/>
      <c r="FDF39" s="126"/>
      <c r="FDG39" s="126"/>
      <c r="FDH39" s="128"/>
      <c r="FDI39" s="130"/>
      <c r="FDJ39" s="132"/>
      <c r="FDK39" s="133" t="s">
        <v>48</v>
      </c>
      <c r="FDL39" s="134"/>
      <c r="FDM39" s="135"/>
      <c r="FDN39" s="126"/>
      <c r="FDO39" s="126"/>
      <c r="FDP39" s="128"/>
      <c r="FDQ39" s="130"/>
      <c r="FDR39" s="132"/>
      <c r="FDS39" s="133" t="s">
        <v>48</v>
      </c>
      <c r="FDT39" s="134"/>
      <c r="FDU39" s="135"/>
      <c r="FDV39" s="126"/>
      <c r="FDW39" s="126"/>
      <c r="FDX39" s="128"/>
      <c r="FDY39" s="130"/>
      <c r="FDZ39" s="132"/>
      <c r="FEA39" s="133" t="s">
        <v>48</v>
      </c>
      <c r="FEB39" s="134"/>
      <c r="FEC39" s="135"/>
      <c r="FED39" s="126"/>
      <c r="FEE39" s="126"/>
      <c r="FEF39" s="128"/>
      <c r="FEG39" s="130"/>
      <c r="FEH39" s="132"/>
      <c r="FEI39" s="133" t="s">
        <v>48</v>
      </c>
      <c r="FEJ39" s="134"/>
      <c r="FEK39" s="135"/>
      <c r="FEL39" s="126"/>
      <c r="FEM39" s="126"/>
      <c r="FEN39" s="128"/>
      <c r="FEO39" s="130"/>
      <c r="FEP39" s="132"/>
      <c r="FEQ39" s="133" t="s">
        <v>48</v>
      </c>
      <c r="FER39" s="134"/>
      <c r="FES39" s="135"/>
      <c r="FET39" s="126"/>
      <c r="FEU39" s="126"/>
      <c r="FEV39" s="128"/>
      <c r="FEW39" s="130"/>
      <c r="FEX39" s="132"/>
      <c r="FEY39" s="133" t="s">
        <v>48</v>
      </c>
      <c r="FEZ39" s="134"/>
      <c r="FFA39" s="135"/>
      <c r="FFB39" s="126"/>
      <c r="FFC39" s="126"/>
      <c r="FFD39" s="128"/>
      <c r="FFE39" s="130"/>
      <c r="FFF39" s="132"/>
      <c r="FFG39" s="133" t="s">
        <v>48</v>
      </c>
      <c r="FFH39" s="134"/>
      <c r="FFI39" s="135"/>
      <c r="FFJ39" s="126"/>
      <c r="FFK39" s="126"/>
      <c r="FFL39" s="128"/>
      <c r="FFM39" s="130"/>
      <c r="FFN39" s="132"/>
      <c r="FFO39" s="133" t="s">
        <v>48</v>
      </c>
      <c r="FFP39" s="134"/>
      <c r="FFQ39" s="135"/>
      <c r="FFR39" s="126"/>
      <c r="FFS39" s="126"/>
      <c r="FFT39" s="128"/>
      <c r="FFU39" s="130"/>
      <c r="FFV39" s="132"/>
      <c r="FFW39" s="133" t="s">
        <v>48</v>
      </c>
      <c r="FFX39" s="134"/>
      <c r="FFY39" s="135"/>
      <c r="FFZ39" s="126"/>
      <c r="FGA39" s="126"/>
      <c r="FGB39" s="128"/>
      <c r="FGC39" s="130"/>
      <c r="FGD39" s="132"/>
      <c r="FGE39" s="133" t="s">
        <v>48</v>
      </c>
      <c r="FGF39" s="134"/>
      <c r="FGG39" s="135"/>
      <c r="FGH39" s="126"/>
      <c r="FGI39" s="126"/>
      <c r="FGJ39" s="128"/>
      <c r="FGK39" s="130"/>
      <c r="FGL39" s="132"/>
      <c r="FGM39" s="133" t="s">
        <v>48</v>
      </c>
      <c r="FGN39" s="134"/>
      <c r="FGO39" s="135"/>
      <c r="FGP39" s="126"/>
      <c r="FGQ39" s="126"/>
      <c r="FGR39" s="128"/>
      <c r="FGS39" s="130"/>
      <c r="FGT39" s="132"/>
      <c r="FGU39" s="133" t="s">
        <v>48</v>
      </c>
      <c r="FGV39" s="134"/>
      <c r="FGW39" s="135"/>
      <c r="FGX39" s="126"/>
      <c r="FGY39" s="126"/>
      <c r="FGZ39" s="128"/>
      <c r="FHA39" s="130"/>
      <c r="FHB39" s="132"/>
      <c r="FHC39" s="133" t="s">
        <v>48</v>
      </c>
      <c r="FHD39" s="134"/>
      <c r="FHE39" s="135"/>
      <c r="FHF39" s="126"/>
      <c r="FHG39" s="126"/>
      <c r="FHH39" s="128"/>
      <c r="FHI39" s="130"/>
      <c r="FHJ39" s="132"/>
      <c r="FHK39" s="133" t="s">
        <v>48</v>
      </c>
      <c r="FHL39" s="134"/>
      <c r="FHM39" s="135"/>
      <c r="FHN39" s="126"/>
      <c r="FHO39" s="126"/>
      <c r="FHP39" s="128"/>
      <c r="FHQ39" s="130"/>
      <c r="FHR39" s="132"/>
      <c r="FHS39" s="133" t="s">
        <v>48</v>
      </c>
      <c r="FHT39" s="134"/>
      <c r="FHU39" s="135"/>
      <c r="FHV39" s="126"/>
      <c r="FHW39" s="126"/>
      <c r="FHX39" s="128"/>
      <c r="FHY39" s="130"/>
      <c r="FHZ39" s="132"/>
      <c r="FIA39" s="133" t="s">
        <v>48</v>
      </c>
      <c r="FIB39" s="134"/>
      <c r="FIC39" s="135"/>
      <c r="FID39" s="126"/>
      <c r="FIE39" s="126"/>
      <c r="FIF39" s="128"/>
      <c r="FIG39" s="130"/>
      <c r="FIH39" s="132"/>
      <c r="FII39" s="133" t="s">
        <v>48</v>
      </c>
      <c r="FIJ39" s="134"/>
      <c r="FIK39" s="135"/>
      <c r="FIL39" s="126"/>
      <c r="FIM39" s="126"/>
      <c r="FIN39" s="128"/>
      <c r="FIO39" s="130"/>
      <c r="FIP39" s="132"/>
      <c r="FIQ39" s="133" t="s">
        <v>48</v>
      </c>
      <c r="FIR39" s="134"/>
      <c r="FIS39" s="135"/>
      <c r="FIT39" s="126"/>
      <c r="FIU39" s="126"/>
      <c r="FIV39" s="128"/>
      <c r="FIW39" s="130"/>
      <c r="FIX39" s="132"/>
      <c r="FIY39" s="133" t="s">
        <v>48</v>
      </c>
      <c r="FIZ39" s="134"/>
      <c r="FJA39" s="135"/>
      <c r="FJB39" s="126"/>
      <c r="FJC39" s="126"/>
      <c r="FJD39" s="128"/>
      <c r="FJE39" s="130"/>
      <c r="FJF39" s="132"/>
      <c r="FJG39" s="133" t="s">
        <v>48</v>
      </c>
      <c r="FJH39" s="134"/>
      <c r="FJI39" s="135"/>
      <c r="FJJ39" s="126"/>
      <c r="FJK39" s="126"/>
      <c r="FJL39" s="128"/>
      <c r="FJM39" s="130"/>
      <c r="FJN39" s="132"/>
      <c r="FJO39" s="133" t="s">
        <v>48</v>
      </c>
      <c r="FJP39" s="134"/>
      <c r="FJQ39" s="135"/>
      <c r="FJR39" s="126"/>
      <c r="FJS39" s="126"/>
      <c r="FJT39" s="128"/>
      <c r="FJU39" s="130"/>
      <c r="FJV39" s="132"/>
      <c r="FJW39" s="133" t="s">
        <v>48</v>
      </c>
      <c r="FJX39" s="134"/>
      <c r="FJY39" s="135"/>
      <c r="FJZ39" s="126"/>
      <c r="FKA39" s="126"/>
      <c r="FKB39" s="128"/>
      <c r="FKC39" s="130"/>
      <c r="FKD39" s="132"/>
      <c r="FKE39" s="133" t="s">
        <v>48</v>
      </c>
      <c r="FKF39" s="134"/>
      <c r="FKG39" s="135"/>
      <c r="FKH39" s="126"/>
      <c r="FKI39" s="126"/>
      <c r="FKJ39" s="128"/>
      <c r="FKK39" s="130"/>
      <c r="FKL39" s="132"/>
      <c r="FKM39" s="133" t="s">
        <v>48</v>
      </c>
      <c r="FKN39" s="134"/>
      <c r="FKO39" s="135"/>
      <c r="FKP39" s="126"/>
      <c r="FKQ39" s="126"/>
      <c r="FKR39" s="128"/>
      <c r="FKS39" s="130"/>
      <c r="FKT39" s="132"/>
      <c r="FKU39" s="133" t="s">
        <v>48</v>
      </c>
      <c r="FKV39" s="134"/>
      <c r="FKW39" s="135"/>
      <c r="FKX39" s="126"/>
      <c r="FKY39" s="126"/>
      <c r="FKZ39" s="128"/>
      <c r="FLA39" s="130"/>
      <c r="FLB39" s="132"/>
      <c r="FLC39" s="133" t="s">
        <v>48</v>
      </c>
      <c r="FLD39" s="134"/>
      <c r="FLE39" s="135"/>
      <c r="FLF39" s="126"/>
      <c r="FLG39" s="126"/>
      <c r="FLH39" s="128"/>
      <c r="FLI39" s="130"/>
      <c r="FLJ39" s="132"/>
      <c r="FLK39" s="133" t="s">
        <v>48</v>
      </c>
      <c r="FLL39" s="134"/>
      <c r="FLM39" s="135"/>
      <c r="FLN39" s="126"/>
      <c r="FLO39" s="126"/>
      <c r="FLP39" s="128"/>
      <c r="FLQ39" s="130"/>
      <c r="FLR39" s="132"/>
      <c r="FLS39" s="133" t="s">
        <v>48</v>
      </c>
      <c r="FLT39" s="134"/>
      <c r="FLU39" s="135"/>
      <c r="FLV39" s="126"/>
      <c r="FLW39" s="126"/>
      <c r="FLX39" s="128"/>
      <c r="FLY39" s="130"/>
      <c r="FLZ39" s="132"/>
      <c r="FMA39" s="133" t="s">
        <v>48</v>
      </c>
      <c r="FMB39" s="134"/>
      <c r="FMC39" s="135"/>
      <c r="FMD39" s="126"/>
      <c r="FME39" s="126"/>
      <c r="FMF39" s="128"/>
      <c r="FMG39" s="130"/>
      <c r="FMH39" s="132"/>
      <c r="FMI39" s="133" t="s">
        <v>48</v>
      </c>
      <c r="FMJ39" s="134"/>
      <c r="FMK39" s="135"/>
      <c r="FML39" s="126"/>
      <c r="FMM39" s="126"/>
      <c r="FMN39" s="128"/>
      <c r="FMO39" s="130"/>
      <c r="FMP39" s="132"/>
      <c r="FMQ39" s="133" t="s">
        <v>48</v>
      </c>
      <c r="FMR39" s="134"/>
      <c r="FMS39" s="135"/>
      <c r="FMT39" s="126"/>
      <c r="FMU39" s="126"/>
      <c r="FMV39" s="128"/>
      <c r="FMW39" s="130"/>
      <c r="FMX39" s="132"/>
      <c r="FMY39" s="133" t="s">
        <v>48</v>
      </c>
      <c r="FMZ39" s="134"/>
      <c r="FNA39" s="135"/>
      <c r="FNB39" s="126"/>
      <c r="FNC39" s="126"/>
      <c r="FND39" s="128"/>
      <c r="FNE39" s="130"/>
      <c r="FNF39" s="132"/>
      <c r="FNG39" s="133" t="s">
        <v>48</v>
      </c>
      <c r="FNH39" s="134"/>
      <c r="FNI39" s="135"/>
      <c r="FNJ39" s="126"/>
      <c r="FNK39" s="126"/>
      <c r="FNL39" s="128"/>
      <c r="FNM39" s="130"/>
      <c r="FNN39" s="132"/>
      <c r="FNO39" s="133" t="s">
        <v>48</v>
      </c>
      <c r="FNP39" s="134"/>
      <c r="FNQ39" s="135"/>
      <c r="FNR39" s="126"/>
      <c r="FNS39" s="126"/>
      <c r="FNT39" s="128"/>
      <c r="FNU39" s="130"/>
      <c r="FNV39" s="132"/>
      <c r="FNW39" s="133" t="s">
        <v>48</v>
      </c>
      <c r="FNX39" s="134"/>
      <c r="FNY39" s="135"/>
      <c r="FNZ39" s="126"/>
      <c r="FOA39" s="126"/>
      <c r="FOB39" s="128"/>
      <c r="FOC39" s="130"/>
      <c r="FOD39" s="132"/>
      <c r="FOE39" s="133" t="s">
        <v>48</v>
      </c>
      <c r="FOF39" s="134"/>
      <c r="FOG39" s="135"/>
      <c r="FOH39" s="126"/>
      <c r="FOI39" s="126"/>
      <c r="FOJ39" s="128"/>
      <c r="FOK39" s="130"/>
      <c r="FOL39" s="132"/>
      <c r="FOM39" s="133" t="s">
        <v>48</v>
      </c>
      <c r="FON39" s="134"/>
      <c r="FOO39" s="135"/>
      <c r="FOP39" s="126"/>
      <c r="FOQ39" s="126"/>
      <c r="FOR39" s="128"/>
      <c r="FOS39" s="130"/>
      <c r="FOT39" s="132"/>
      <c r="FOU39" s="133" t="s">
        <v>48</v>
      </c>
      <c r="FOV39" s="134"/>
      <c r="FOW39" s="135"/>
      <c r="FOX39" s="126"/>
      <c r="FOY39" s="126"/>
      <c r="FOZ39" s="128"/>
      <c r="FPA39" s="130"/>
      <c r="FPB39" s="132"/>
      <c r="FPC39" s="133" t="s">
        <v>48</v>
      </c>
      <c r="FPD39" s="134"/>
      <c r="FPE39" s="135"/>
      <c r="FPF39" s="126"/>
      <c r="FPG39" s="126"/>
      <c r="FPH39" s="128"/>
      <c r="FPI39" s="130"/>
      <c r="FPJ39" s="132"/>
      <c r="FPK39" s="133" t="s">
        <v>48</v>
      </c>
      <c r="FPL39" s="134"/>
      <c r="FPM39" s="135"/>
      <c r="FPN39" s="126"/>
      <c r="FPO39" s="126"/>
      <c r="FPP39" s="128"/>
      <c r="FPQ39" s="130"/>
      <c r="FPR39" s="132"/>
      <c r="FPS39" s="133" t="s">
        <v>48</v>
      </c>
      <c r="FPT39" s="134"/>
      <c r="FPU39" s="135"/>
      <c r="FPV39" s="126"/>
      <c r="FPW39" s="126"/>
      <c r="FPX39" s="128"/>
      <c r="FPY39" s="130"/>
      <c r="FPZ39" s="132"/>
      <c r="FQA39" s="133" t="s">
        <v>48</v>
      </c>
      <c r="FQB39" s="134"/>
      <c r="FQC39" s="135"/>
      <c r="FQD39" s="126"/>
      <c r="FQE39" s="126"/>
      <c r="FQF39" s="128"/>
      <c r="FQG39" s="130"/>
      <c r="FQH39" s="132"/>
      <c r="FQI39" s="133" t="s">
        <v>48</v>
      </c>
      <c r="FQJ39" s="134"/>
      <c r="FQK39" s="135"/>
      <c r="FQL39" s="126"/>
      <c r="FQM39" s="126"/>
      <c r="FQN39" s="128"/>
      <c r="FQO39" s="130"/>
      <c r="FQP39" s="132"/>
      <c r="FQQ39" s="133" t="s">
        <v>48</v>
      </c>
      <c r="FQR39" s="134"/>
      <c r="FQS39" s="135"/>
      <c r="FQT39" s="126"/>
      <c r="FQU39" s="126"/>
      <c r="FQV39" s="128"/>
      <c r="FQW39" s="130"/>
      <c r="FQX39" s="132"/>
      <c r="FQY39" s="133" t="s">
        <v>48</v>
      </c>
      <c r="FQZ39" s="134"/>
      <c r="FRA39" s="135"/>
      <c r="FRB39" s="126"/>
      <c r="FRC39" s="126"/>
      <c r="FRD39" s="128"/>
      <c r="FRE39" s="130"/>
      <c r="FRF39" s="132"/>
      <c r="FRG39" s="133" t="s">
        <v>48</v>
      </c>
      <c r="FRH39" s="134"/>
      <c r="FRI39" s="135"/>
      <c r="FRJ39" s="126"/>
      <c r="FRK39" s="126"/>
      <c r="FRL39" s="128"/>
      <c r="FRM39" s="130"/>
      <c r="FRN39" s="132"/>
      <c r="FRO39" s="133" t="s">
        <v>48</v>
      </c>
      <c r="FRP39" s="134"/>
      <c r="FRQ39" s="135"/>
      <c r="FRR39" s="126"/>
      <c r="FRS39" s="126"/>
      <c r="FRT39" s="128"/>
      <c r="FRU39" s="130"/>
      <c r="FRV39" s="132"/>
      <c r="FRW39" s="133" t="s">
        <v>48</v>
      </c>
      <c r="FRX39" s="134"/>
      <c r="FRY39" s="135"/>
      <c r="FRZ39" s="126"/>
      <c r="FSA39" s="126"/>
      <c r="FSB39" s="128"/>
      <c r="FSC39" s="130"/>
      <c r="FSD39" s="132"/>
      <c r="FSE39" s="133" t="s">
        <v>48</v>
      </c>
      <c r="FSF39" s="134"/>
      <c r="FSG39" s="135"/>
      <c r="FSH39" s="126"/>
      <c r="FSI39" s="126"/>
      <c r="FSJ39" s="128"/>
      <c r="FSK39" s="130"/>
      <c r="FSL39" s="132"/>
      <c r="FSM39" s="133" t="s">
        <v>48</v>
      </c>
      <c r="FSN39" s="134"/>
      <c r="FSO39" s="135"/>
      <c r="FSP39" s="126"/>
      <c r="FSQ39" s="126"/>
      <c r="FSR39" s="128"/>
      <c r="FSS39" s="130"/>
      <c r="FST39" s="132"/>
      <c r="FSU39" s="133" t="s">
        <v>48</v>
      </c>
      <c r="FSV39" s="134"/>
      <c r="FSW39" s="135"/>
      <c r="FSX39" s="126"/>
      <c r="FSY39" s="126"/>
      <c r="FSZ39" s="128"/>
      <c r="FTA39" s="130"/>
      <c r="FTB39" s="132"/>
      <c r="FTC39" s="133" t="s">
        <v>48</v>
      </c>
      <c r="FTD39" s="134"/>
      <c r="FTE39" s="135"/>
      <c r="FTF39" s="126"/>
      <c r="FTG39" s="126"/>
      <c r="FTH39" s="128"/>
      <c r="FTI39" s="130"/>
      <c r="FTJ39" s="132"/>
      <c r="FTK39" s="133" t="s">
        <v>48</v>
      </c>
      <c r="FTL39" s="134"/>
      <c r="FTM39" s="135"/>
      <c r="FTN39" s="126"/>
      <c r="FTO39" s="126"/>
      <c r="FTP39" s="128"/>
      <c r="FTQ39" s="130"/>
      <c r="FTR39" s="132"/>
      <c r="FTS39" s="133" t="s">
        <v>48</v>
      </c>
      <c r="FTT39" s="134"/>
      <c r="FTU39" s="135"/>
      <c r="FTV39" s="126"/>
      <c r="FTW39" s="126"/>
      <c r="FTX39" s="128"/>
      <c r="FTY39" s="130"/>
      <c r="FTZ39" s="132"/>
      <c r="FUA39" s="133" t="s">
        <v>48</v>
      </c>
      <c r="FUB39" s="134"/>
      <c r="FUC39" s="135"/>
      <c r="FUD39" s="126"/>
      <c r="FUE39" s="126"/>
      <c r="FUF39" s="128"/>
      <c r="FUG39" s="130"/>
      <c r="FUH39" s="132"/>
      <c r="FUI39" s="133" t="s">
        <v>48</v>
      </c>
      <c r="FUJ39" s="134"/>
      <c r="FUK39" s="135"/>
      <c r="FUL39" s="126"/>
      <c r="FUM39" s="126"/>
      <c r="FUN39" s="128"/>
      <c r="FUO39" s="130"/>
      <c r="FUP39" s="132"/>
      <c r="FUQ39" s="133" t="s">
        <v>48</v>
      </c>
      <c r="FUR39" s="134"/>
      <c r="FUS39" s="135"/>
      <c r="FUT39" s="126"/>
      <c r="FUU39" s="126"/>
      <c r="FUV39" s="128"/>
      <c r="FUW39" s="130"/>
      <c r="FUX39" s="132"/>
      <c r="FUY39" s="133" t="s">
        <v>48</v>
      </c>
      <c r="FUZ39" s="134"/>
      <c r="FVA39" s="135"/>
      <c r="FVB39" s="126"/>
      <c r="FVC39" s="126"/>
      <c r="FVD39" s="128"/>
      <c r="FVE39" s="130"/>
      <c r="FVF39" s="132"/>
      <c r="FVG39" s="133" t="s">
        <v>48</v>
      </c>
      <c r="FVH39" s="134"/>
      <c r="FVI39" s="135"/>
      <c r="FVJ39" s="126"/>
      <c r="FVK39" s="126"/>
      <c r="FVL39" s="128"/>
      <c r="FVM39" s="130"/>
      <c r="FVN39" s="132"/>
      <c r="FVO39" s="133" t="s">
        <v>48</v>
      </c>
      <c r="FVP39" s="134"/>
      <c r="FVQ39" s="135"/>
      <c r="FVR39" s="126"/>
      <c r="FVS39" s="126"/>
      <c r="FVT39" s="128"/>
      <c r="FVU39" s="130"/>
      <c r="FVV39" s="132"/>
      <c r="FVW39" s="133" t="s">
        <v>48</v>
      </c>
      <c r="FVX39" s="134"/>
      <c r="FVY39" s="135"/>
      <c r="FVZ39" s="126"/>
      <c r="FWA39" s="126"/>
      <c r="FWB39" s="128"/>
      <c r="FWC39" s="130"/>
      <c r="FWD39" s="132"/>
      <c r="FWE39" s="133" t="s">
        <v>48</v>
      </c>
      <c r="FWF39" s="134"/>
      <c r="FWG39" s="135"/>
      <c r="FWH39" s="126"/>
      <c r="FWI39" s="126"/>
      <c r="FWJ39" s="128"/>
      <c r="FWK39" s="130"/>
      <c r="FWL39" s="132"/>
      <c r="FWM39" s="133" t="s">
        <v>48</v>
      </c>
      <c r="FWN39" s="134"/>
      <c r="FWO39" s="135"/>
      <c r="FWP39" s="126"/>
      <c r="FWQ39" s="126"/>
      <c r="FWR39" s="128"/>
      <c r="FWS39" s="130"/>
      <c r="FWT39" s="132"/>
      <c r="FWU39" s="133" t="s">
        <v>48</v>
      </c>
      <c r="FWV39" s="134"/>
      <c r="FWW39" s="135"/>
      <c r="FWX39" s="126"/>
      <c r="FWY39" s="126"/>
      <c r="FWZ39" s="128"/>
      <c r="FXA39" s="130"/>
      <c r="FXB39" s="132"/>
      <c r="FXC39" s="133" t="s">
        <v>48</v>
      </c>
      <c r="FXD39" s="134"/>
      <c r="FXE39" s="135"/>
      <c r="FXF39" s="126"/>
      <c r="FXG39" s="126"/>
      <c r="FXH39" s="128"/>
      <c r="FXI39" s="130"/>
      <c r="FXJ39" s="132"/>
      <c r="FXK39" s="133" t="s">
        <v>48</v>
      </c>
      <c r="FXL39" s="134"/>
      <c r="FXM39" s="135"/>
      <c r="FXN39" s="126"/>
      <c r="FXO39" s="126"/>
      <c r="FXP39" s="128"/>
      <c r="FXQ39" s="130"/>
      <c r="FXR39" s="132"/>
      <c r="FXS39" s="133" t="s">
        <v>48</v>
      </c>
      <c r="FXT39" s="134"/>
      <c r="FXU39" s="135"/>
      <c r="FXV39" s="126"/>
      <c r="FXW39" s="126"/>
      <c r="FXX39" s="128"/>
      <c r="FXY39" s="130"/>
      <c r="FXZ39" s="132"/>
      <c r="FYA39" s="133" t="s">
        <v>48</v>
      </c>
      <c r="FYB39" s="134"/>
      <c r="FYC39" s="135"/>
      <c r="FYD39" s="126"/>
      <c r="FYE39" s="126"/>
      <c r="FYF39" s="128"/>
      <c r="FYG39" s="130"/>
      <c r="FYH39" s="132"/>
      <c r="FYI39" s="133" t="s">
        <v>48</v>
      </c>
      <c r="FYJ39" s="134"/>
      <c r="FYK39" s="135"/>
      <c r="FYL39" s="126"/>
      <c r="FYM39" s="126"/>
      <c r="FYN39" s="128"/>
      <c r="FYO39" s="130"/>
      <c r="FYP39" s="132"/>
      <c r="FYQ39" s="133" t="s">
        <v>48</v>
      </c>
      <c r="FYR39" s="134"/>
      <c r="FYS39" s="135"/>
      <c r="FYT39" s="126"/>
      <c r="FYU39" s="126"/>
      <c r="FYV39" s="128"/>
      <c r="FYW39" s="130"/>
      <c r="FYX39" s="132"/>
      <c r="FYY39" s="133" t="s">
        <v>48</v>
      </c>
      <c r="FYZ39" s="134"/>
      <c r="FZA39" s="135"/>
      <c r="FZB39" s="126"/>
      <c r="FZC39" s="126"/>
      <c r="FZD39" s="128"/>
      <c r="FZE39" s="130"/>
      <c r="FZF39" s="132"/>
      <c r="FZG39" s="133" t="s">
        <v>48</v>
      </c>
      <c r="FZH39" s="134"/>
      <c r="FZI39" s="135"/>
      <c r="FZJ39" s="126"/>
      <c r="FZK39" s="126"/>
      <c r="FZL39" s="128"/>
      <c r="FZM39" s="130"/>
      <c r="FZN39" s="132"/>
      <c r="FZO39" s="133" t="s">
        <v>48</v>
      </c>
      <c r="FZP39" s="134"/>
      <c r="FZQ39" s="135"/>
      <c r="FZR39" s="126"/>
      <c r="FZS39" s="126"/>
      <c r="FZT39" s="128"/>
      <c r="FZU39" s="130"/>
      <c r="FZV39" s="132"/>
      <c r="FZW39" s="133" t="s">
        <v>48</v>
      </c>
      <c r="FZX39" s="134"/>
      <c r="FZY39" s="135"/>
      <c r="FZZ39" s="126"/>
      <c r="GAA39" s="126"/>
      <c r="GAB39" s="128"/>
      <c r="GAC39" s="130"/>
      <c r="GAD39" s="132"/>
      <c r="GAE39" s="133" t="s">
        <v>48</v>
      </c>
      <c r="GAF39" s="134"/>
      <c r="GAG39" s="135"/>
      <c r="GAH39" s="126"/>
      <c r="GAI39" s="126"/>
      <c r="GAJ39" s="128"/>
      <c r="GAK39" s="130"/>
      <c r="GAL39" s="132"/>
      <c r="GAM39" s="133" t="s">
        <v>48</v>
      </c>
      <c r="GAN39" s="134"/>
      <c r="GAO39" s="135"/>
      <c r="GAP39" s="126"/>
      <c r="GAQ39" s="126"/>
      <c r="GAR39" s="128"/>
      <c r="GAS39" s="130"/>
      <c r="GAT39" s="132"/>
      <c r="GAU39" s="133" t="s">
        <v>48</v>
      </c>
      <c r="GAV39" s="134"/>
      <c r="GAW39" s="135"/>
      <c r="GAX39" s="126"/>
      <c r="GAY39" s="126"/>
      <c r="GAZ39" s="128"/>
      <c r="GBA39" s="130"/>
      <c r="GBB39" s="132"/>
      <c r="GBC39" s="133" t="s">
        <v>48</v>
      </c>
      <c r="GBD39" s="134"/>
      <c r="GBE39" s="135"/>
      <c r="GBF39" s="126"/>
      <c r="GBG39" s="126"/>
      <c r="GBH39" s="128"/>
      <c r="GBI39" s="130"/>
      <c r="GBJ39" s="132"/>
      <c r="GBK39" s="133" t="s">
        <v>48</v>
      </c>
      <c r="GBL39" s="134"/>
      <c r="GBM39" s="135"/>
      <c r="GBN39" s="126"/>
      <c r="GBO39" s="126"/>
      <c r="GBP39" s="128"/>
      <c r="GBQ39" s="130"/>
      <c r="GBR39" s="132"/>
      <c r="GBS39" s="133" t="s">
        <v>48</v>
      </c>
      <c r="GBT39" s="134"/>
      <c r="GBU39" s="135"/>
      <c r="GBV39" s="126"/>
      <c r="GBW39" s="126"/>
      <c r="GBX39" s="128"/>
      <c r="GBY39" s="130"/>
      <c r="GBZ39" s="132"/>
      <c r="GCA39" s="133" t="s">
        <v>48</v>
      </c>
      <c r="GCB39" s="134"/>
      <c r="GCC39" s="135"/>
      <c r="GCD39" s="126"/>
      <c r="GCE39" s="126"/>
      <c r="GCF39" s="128"/>
      <c r="GCG39" s="130"/>
      <c r="GCH39" s="132"/>
      <c r="GCI39" s="133" t="s">
        <v>48</v>
      </c>
      <c r="GCJ39" s="134"/>
      <c r="GCK39" s="135"/>
      <c r="GCL39" s="126"/>
      <c r="GCM39" s="126"/>
      <c r="GCN39" s="128"/>
      <c r="GCO39" s="130"/>
      <c r="GCP39" s="132"/>
      <c r="GCQ39" s="133" t="s">
        <v>48</v>
      </c>
      <c r="GCR39" s="134"/>
      <c r="GCS39" s="135"/>
      <c r="GCT39" s="126"/>
      <c r="GCU39" s="126"/>
      <c r="GCV39" s="128"/>
      <c r="GCW39" s="130"/>
      <c r="GCX39" s="132"/>
      <c r="GCY39" s="133" t="s">
        <v>48</v>
      </c>
      <c r="GCZ39" s="134"/>
      <c r="GDA39" s="135"/>
      <c r="GDB39" s="126"/>
      <c r="GDC39" s="126"/>
      <c r="GDD39" s="128"/>
      <c r="GDE39" s="130"/>
      <c r="GDF39" s="132"/>
      <c r="GDG39" s="133" t="s">
        <v>48</v>
      </c>
      <c r="GDH39" s="134"/>
      <c r="GDI39" s="135"/>
      <c r="GDJ39" s="126"/>
      <c r="GDK39" s="126"/>
      <c r="GDL39" s="128"/>
      <c r="GDM39" s="130"/>
      <c r="GDN39" s="132"/>
      <c r="GDO39" s="133" t="s">
        <v>48</v>
      </c>
      <c r="GDP39" s="134"/>
      <c r="GDQ39" s="135"/>
      <c r="GDR39" s="126"/>
      <c r="GDS39" s="126"/>
      <c r="GDT39" s="128"/>
      <c r="GDU39" s="130"/>
      <c r="GDV39" s="132"/>
      <c r="GDW39" s="133" t="s">
        <v>48</v>
      </c>
      <c r="GDX39" s="134"/>
      <c r="GDY39" s="135"/>
      <c r="GDZ39" s="126"/>
      <c r="GEA39" s="126"/>
      <c r="GEB39" s="128"/>
      <c r="GEC39" s="130"/>
      <c r="GED39" s="132"/>
      <c r="GEE39" s="133" t="s">
        <v>48</v>
      </c>
      <c r="GEF39" s="134"/>
      <c r="GEG39" s="135"/>
      <c r="GEH39" s="126"/>
      <c r="GEI39" s="126"/>
      <c r="GEJ39" s="128"/>
      <c r="GEK39" s="130"/>
      <c r="GEL39" s="132"/>
      <c r="GEM39" s="133" t="s">
        <v>48</v>
      </c>
      <c r="GEN39" s="134"/>
      <c r="GEO39" s="135"/>
      <c r="GEP39" s="126"/>
      <c r="GEQ39" s="126"/>
      <c r="GER39" s="128"/>
      <c r="GES39" s="130"/>
      <c r="GET39" s="132"/>
      <c r="GEU39" s="133" t="s">
        <v>48</v>
      </c>
      <c r="GEV39" s="134"/>
      <c r="GEW39" s="135"/>
      <c r="GEX39" s="126"/>
      <c r="GEY39" s="126"/>
      <c r="GEZ39" s="128"/>
      <c r="GFA39" s="130"/>
      <c r="GFB39" s="132"/>
      <c r="GFC39" s="133" t="s">
        <v>48</v>
      </c>
      <c r="GFD39" s="134"/>
      <c r="GFE39" s="135"/>
      <c r="GFF39" s="126"/>
      <c r="GFG39" s="126"/>
      <c r="GFH39" s="128"/>
      <c r="GFI39" s="130"/>
      <c r="GFJ39" s="132"/>
      <c r="GFK39" s="133" t="s">
        <v>48</v>
      </c>
      <c r="GFL39" s="134"/>
      <c r="GFM39" s="135"/>
      <c r="GFN39" s="126"/>
      <c r="GFO39" s="126"/>
      <c r="GFP39" s="128"/>
      <c r="GFQ39" s="130"/>
      <c r="GFR39" s="132"/>
      <c r="GFS39" s="133" t="s">
        <v>48</v>
      </c>
      <c r="GFT39" s="134"/>
      <c r="GFU39" s="135"/>
      <c r="GFV39" s="126"/>
      <c r="GFW39" s="126"/>
      <c r="GFX39" s="128"/>
      <c r="GFY39" s="130"/>
      <c r="GFZ39" s="132"/>
      <c r="GGA39" s="133" t="s">
        <v>48</v>
      </c>
      <c r="GGB39" s="134"/>
      <c r="GGC39" s="135"/>
      <c r="GGD39" s="126"/>
      <c r="GGE39" s="126"/>
      <c r="GGF39" s="128"/>
      <c r="GGG39" s="130"/>
      <c r="GGH39" s="132"/>
      <c r="GGI39" s="133" t="s">
        <v>48</v>
      </c>
      <c r="GGJ39" s="134"/>
      <c r="GGK39" s="135"/>
      <c r="GGL39" s="126"/>
      <c r="GGM39" s="126"/>
      <c r="GGN39" s="128"/>
      <c r="GGO39" s="130"/>
      <c r="GGP39" s="132"/>
      <c r="GGQ39" s="133" t="s">
        <v>48</v>
      </c>
      <c r="GGR39" s="134"/>
      <c r="GGS39" s="135"/>
      <c r="GGT39" s="126"/>
      <c r="GGU39" s="126"/>
      <c r="GGV39" s="128"/>
      <c r="GGW39" s="130"/>
      <c r="GGX39" s="132"/>
      <c r="GGY39" s="133" t="s">
        <v>48</v>
      </c>
      <c r="GGZ39" s="134"/>
      <c r="GHA39" s="135"/>
      <c r="GHB39" s="126"/>
      <c r="GHC39" s="126"/>
      <c r="GHD39" s="128"/>
      <c r="GHE39" s="130"/>
      <c r="GHF39" s="132"/>
      <c r="GHG39" s="133" t="s">
        <v>48</v>
      </c>
      <c r="GHH39" s="134"/>
      <c r="GHI39" s="135"/>
      <c r="GHJ39" s="126"/>
      <c r="GHK39" s="126"/>
      <c r="GHL39" s="128"/>
      <c r="GHM39" s="130"/>
      <c r="GHN39" s="132"/>
      <c r="GHO39" s="133" t="s">
        <v>48</v>
      </c>
      <c r="GHP39" s="134"/>
      <c r="GHQ39" s="135"/>
      <c r="GHR39" s="126"/>
      <c r="GHS39" s="126"/>
      <c r="GHT39" s="128"/>
      <c r="GHU39" s="130"/>
      <c r="GHV39" s="132"/>
      <c r="GHW39" s="133" t="s">
        <v>48</v>
      </c>
      <c r="GHX39" s="134"/>
      <c r="GHY39" s="135"/>
      <c r="GHZ39" s="126"/>
      <c r="GIA39" s="126"/>
      <c r="GIB39" s="128"/>
      <c r="GIC39" s="130"/>
      <c r="GID39" s="132"/>
      <c r="GIE39" s="133" t="s">
        <v>48</v>
      </c>
      <c r="GIF39" s="134"/>
      <c r="GIG39" s="135"/>
      <c r="GIH39" s="126"/>
      <c r="GII39" s="126"/>
      <c r="GIJ39" s="128"/>
      <c r="GIK39" s="130"/>
      <c r="GIL39" s="132"/>
      <c r="GIM39" s="133" t="s">
        <v>48</v>
      </c>
      <c r="GIN39" s="134"/>
      <c r="GIO39" s="135"/>
      <c r="GIP39" s="126"/>
      <c r="GIQ39" s="126"/>
      <c r="GIR39" s="128"/>
      <c r="GIS39" s="130"/>
      <c r="GIT39" s="132"/>
      <c r="GIU39" s="133" t="s">
        <v>48</v>
      </c>
      <c r="GIV39" s="134"/>
      <c r="GIW39" s="135"/>
      <c r="GIX39" s="126"/>
      <c r="GIY39" s="126"/>
      <c r="GIZ39" s="128"/>
      <c r="GJA39" s="130"/>
      <c r="GJB39" s="132"/>
      <c r="GJC39" s="133" t="s">
        <v>48</v>
      </c>
      <c r="GJD39" s="134"/>
      <c r="GJE39" s="135"/>
      <c r="GJF39" s="126"/>
      <c r="GJG39" s="126"/>
      <c r="GJH39" s="128"/>
      <c r="GJI39" s="130"/>
      <c r="GJJ39" s="132"/>
      <c r="GJK39" s="133" t="s">
        <v>48</v>
      </c>
      <c r="GJL39" s="134"/>
      <c r="GJM39" s="135"/>
      <c r="GJN39" s="126"/>
      <c r="GJO39" s="126"/>
      <c r="GJP39" s="128"/>
      <c r="GJQ39" s="130"/>
      <c r="GJR39" s="132"/>
      <c r="GJS39" s="133" t="s">
        <v>48</v>
      </c>
      <c r="GJT39" s="134"/>
      <c r="GJU39" s="135"/>
      <c r="GJV39" s="126"/>
      <c r="GJW39" s="126"/>
      <c r="GJX39" s="128"/>
      <c r="GJY39" s="130"/>
      <c r="GJZ39" s="132"/>
      <c r="GKA39" s="133" t="s">
        <v>48</v>
      </c>
      <c r="GKB39" s="134"/>
      <c r="GKC39" s="135"/>
      <c r="GKD39" s="126"/>
      <c r="GKE39" s="126"/>
      <c r="GKF39" s="128"/>
      <c r="GKG39" s="130"/>
      <c r="GKH39" s="132"/>
      <c r="GKI39" s="133" t="s">
        <v>48</v>
      </c>
      <c r="GKJ39" s="134"/>
      <c r="GKK39" s="135"/>
      <c r="GKL39" s="126"/>
      <c r="GKM39" s="126"/>
      <c r="GKN39" s="128"/>
      <c r="GKO39" s="130"/>
      <c r="GKP39" s="132"/>
      <c r="GKQ39" s="133" t="s">
        <v>48</v>
      </c>
      <c r="GKR39" s="134"/>
      <c r="GKS39" s="135"/>
      <c r="GKT39" s="126"/>
      <c r="GKU39" s="126"/>
      <c r="GKV39" s="128"/>
      <c r="GKW39" s="130"/>
      <c r="GKX39" s="132"/>
      <c r="GKY39" s="133" t="s">
        <v>48</v>
      </c>
      <c r="GKZ39" s="134"/>
      <c r="GLA39" s="135"/>
      <c r="GLB39" s="126"/>
      <c r="GLC39" s="126"/>
      <c r="GLD39" s="128"/>
      <c r="GLE39" s="130"/>
      <c r="GLF39" s="132"/>
      <c r="GLG39" s="133" t="s">
        <v>48</v>
      </c>
      <c r="GLH39" s="134"/>
      <c r="GLI39" s="135"/>
      <c r="GLJ39" s="126"/>
      <c r="GLK39" s="126"/>
      <c r="GLL39" s="128"/>
      <c r="GLM39" s="130"/>
      <c r="GLN39" s="132"/>
      <c r="GLO39" s="133" t="s">
        <v>48</v>
      </c>
      <c r="GLP39" s="134"/>
      <c r="GLQ39" s="135"/>
      <c r="GLR39" s="126"/>
      <c r="GLS39" s="126"/>
      <c r="GLT39" s="128"/>
      <c r="GLU39" s="130"/>
      <c r="GLV39" s="132"/>
      <c r="GLW39" s="133" t="s">
        <v>48</v>
      </c>
      <c r="GLX39" s="134"/>
      <c r="GLY39" s="135"/>
      <c r="GLZ39" s="126"/>
      <c r="GMA39" s="126"/>
      <c r="GMB39" s="128"/>
      <c r="GMC39" s="130"/>
      <c r="GMD39" s="132"/>
      <c r="GME39" s="133" t="s">
        <v>48</v>
      </c>
      <c r="GMF39" s="134"/>
      <c r="GMG39" s="135"/>
      <c r="GMH39" s="126"/>
      <c r="GMI39" s="126"/>
      <c r="GMJ39" s="128"/>
      <c r="GMK39" s="130"/>
      <c r="GML39" s="132"/>
      <c r="GMM39" s="133" t="s">
        <v>48</v>
      </c>
      <c r="GMN39" s="134"/>
      <c r="GMO39" s="135"/>
      <c r="GMP39" s="126"/>
      <c r="GMQ39" s="126"/>
      <c r="GMR39" s="128"/>
      <c r="GMS39" s="130"/>
      <c r="GMT39" s="132"/>
      <c r="GMU39" s="133" t="s">
        <v>48</v>
      </c>
      <c r="GMV39" s="134"/>
      <c r="GMW39" s="135"/>
      <c r="GMX39" s="126"/>
      <c r="GMY39" s="126"/>
      <c r="GMZ39" s="128"/>
      <c r="GNA39" s="130"/>
      <c r="GNB39" s="132"/>
      <c r="GNC39" s="133" t="s">
        <v>48</v>
      </c>
      <c r="GND39" s="134"/>
      <c r="GNE39" s="135"/>
      <c r="GNF39" s="126"/>
      <c r="GNG39" s="126"/>
      <c r="GNH39" s="128"/>
      <c r="GNI39" s="130"/>
      <c r="GNJ39" s="132"/>
      <c r="GNK39" s="133" t="s">
        <v>48</v>
      </c>
      <c r="GNL39" s="134"/>
      <c r="GNM39" s="135"/>
      <c r="GNN39" s="126"/>
      <c r="GNO39" s="126"/>
      <c r="GNP39" s="128"/>
      <c r="GNQ39" s="130"/>
      <c r="GNR39" s="132"/>
      <c r="GNS39" s="133" t="s">
        <v>48</v>
      </c>
      <c r="GNT39" s="134"/>
      <c r="GNU39" s="135"/>
      <c r="GNV39" s="126"/>
      <c r="GNW39" s="126"/>
      <c r="GNX39" s="128"/>
      <c r="GNY39" s="130"/>
      <c r="GNZ39" s="132"/>
      <c r="GOA39" s="133" t="s">
        <v>48</v>
      </c>
      <c r="GOB39" s="134"/>
      <c r="GOC39" s="135"/>
      <c r="GOD39" s="126"/>
      <c r="GOE39" s="126"/>
      <c r="GOF39" s="128"/>
      <c r="GOG39" s="130"/>
      <c r="GOH39" s="132"/>
      <c r="GOI39" s="133" t="s">
        <v>48</v>
      </c>
      <c r="GOJ39" s="134"/>
      <c r="GOK39" s="135"/>
      <c r="GOL39" s="126"/>
      <c r="GOM39" s="126"/>
      <c r="GON39" s="128"/>
      <c r="GOO39" s="130"/>
      <c r="GOP39" s="132"/>
      <c r="GOQ39" s="133" t="s">
        <v>48</v>
      </c>
      <c r="GOR39" s="134"/>
      <c r="GOS39" s="135"/>
      <c r="GOT39" s="126"/>
      <c r="GOU39" s="126"/>
      <c r="GOV39" s="128"/>
      <c r="GOW39" s="130"/>
      <c r="GOX39" s="132"/>
      <c r="GOY39" s="133" t="s">
        <v>48</v>
      </c>
      <c r="GOZ39" s="134"/>
      <c r="GPA39" s="135"/>
      <c r="GPB39" s="126"/>
      <c r="GPC39" s="126"/>
      <c r="GPD39" s="128"/>
      <c r="GPE39" s="130"/>
      <c r="GPF39" s="132"/>
      <c r="GPG39" s="133" t="s">
        <v>48</v>
      </c>
      <c r="GPH39" s="134"/>
      <c r="GPI39" s="135"/>
      <c r="GPJ39" s="126"/>
      <c r="GPK39" s="126"/>
      <c r="GPL39" s="128"/>
      <c r="GPM39" s="130"/>
      <c r="GPN39" s="132"/>
      <c r="GPO39" s="133" t="s">
        <v>48</v>
      </c>
      <c r="GPP39" s="134"/>
      <c r="GPQ39" s="135"/>
      <c r="GPR39" s="126"/>
      <c r="GPS39" s="126"/>
      <c r="GPT39" s="128"/>
      <c r="GPU39" s="130"/>
      <c r="GPV39" s="132"/>
      <c r="GPW39" s="133" t="s">
        <v>48</v>
      </c>
      <c r="GPX39" s="134"/>
      <c r="GPY39" s="135"/>
      <c r="GPZ39" s="126"/>
      <c r="GQA39" s="126"/>
      <c r="GQB39" s="128"/>
      <c r="GQC39" s="130"/>
      <c r="GQD39" s="132"/>
      <c r="GQE39" s="133" t="s">
        <v>48</v>
      </c>
      <c r="GQF39" s="134"/>
      <c r="GQG39" s="135"/>
      <c r="GQH39" s="126"/>
      <c r="GQI39" s="126"/>
      <c r="GQJ39" s="128"/>
      <c r="GQK39" s="130"/>
      <c r="GQL39" s="132"/>
      <c r="GQM39" s="133" t="s">
        <v>48</v>
      </c>
      <c r="GQN39" s="134"/>
      <c r="GQO39" s="135"/>
      <c r="GQP39" s="126"/>
      <c r="GQQ39" s="126"/>
      <c r="GQR39" s="128"/>
      <c r="GQS39" s="130"/>
      <c r="GQT39" s="132"/>
      <c r="GQU39" s="133" t="s">
        <v>48</v>
      </c>
      <c r="GQV39" s="134"/>
      <c r="GQW39" s="135"/>
      <c r="GQX39" s="126"/>
      <c r="GQY39" s="126"/>
      <c r="GQZ39" s="128"/>
      <c r="GRA39" s="130"/>
      <c r="GRB39" s="132"/>
      <c r="GRC39" s="133" t="s">
        <v>48</v>
      </c>
      <c r="GRD39" s="134"/>
      <c r="GRE39" s="135"/>
      <c r="GRF39" s="126"/>
      <c r="GRG39" s="126"/>
      <c r="GRH39" s="128"/>
      <c r="GRI39" s="130"/>
      <c r="GRJ39" s="132"/>
      <c r="GRK39" s="133" t="s">
        <v>48</v>
      </c>
      <c r="GRL39" s="134"/>
      <c r="GRM39" s="135"/>
      <c r="GRN39" s="126"/>
      <c r="GRO39" s="126"/>
      <c r="GRP39" s="128"/>
      <c r="GRQ39" s="130"/>
      <c r="GRR39" s="132"/>
      <c r="GRS39" s="133" t="s">
        <v>48</v>
      </c>
      <c r="GRT39" s="134"/>
      <c r="GRU39" s="135"/>
      <c r="GRV39" s="126"/>
      <c r="GRW39" s="126"/>
      <c r="GRX39" s="128"/>
      <c r="GRY39" s="130"/>
      <c r="GRZ39" s="132"/>
      <c r="GSA39" s="133" t="s">
        <v>48</v>
      </c>
      <c r="GSB39" s="134"/>
      <c r="GSC39" s="135"/>
      <c r="GSD39" s="126"/>
      <c r="GSE39" s="126"/>
      <c r="GSF39" s="128"/>
      <c r="GSG39" s="130"/>
      <c r="GSH39" s="132"/>
      <c r="GSI39" s="133" t="s">
        <v>48</v>
      </c>
      <c r="GSJ39" s="134"/>
      <c r="GSK39" s="135"/>
      <c r="GSL39" s="126"/>
      <c r="GSM39" s="126"/>
      <c r="GSN39" s="128"/>
      <c r="GSO39" s="130"/>
      <c r="GSP39" s="132"/>
      <c r="GSQ39" s="133" t="s">
        <v>48</v>
      </c>
      <c r="GSR39" s="134"/>
      <c r="GSS39" s="135"/>
      <c r="GST39" s="126"/>
      <c r="GSU39" s="126"/>
      <c r="GSV39" s="128"/>
      <c r="GSW39" s="130"/>
      <c r="GSX39" s="132"/>
      <c r="GSY39" s="133" t="s">
        <v>48</v>
      </c>
      <c r="GSZ39" s="134"/>
      <c r="GTA39" s="135"/>
      <c r="GTB39" s="126"/>
      <c r="GTC39" s="126"/>
      <c r="GTD39" s="128"/>
      <c r="GTE39" s="130"/>
      <c r="GTF39" s="132"/>
      <c r="GTG39" s="133" t="s">
        <v>48</v>
      </c>
      <c r="GTH39" s="134"/>
      <c r="GTI39" s="135"/>
      <c r="GTJ39" s="126"/>
      <c r="GTK39" s="126"/>
      <c r="GTL39" s="128"/>
      <c r="GTM39" s="130"/>
      <c r="GTN39" s="132"/>
      <c r="GTO39" s="133" t="s">
        <v>48</v>
      </c>
      <c r="GTP39" s="134"/>
      <c r="GTQ39" s="135"/>
      <c r="GTR39" s="126"/>
      <c r="GTS39" s="126"/>
      <c r="GTT39" s="128"/>
      <c r="GTU39" s="130"/>
      <c r="GTV39" s="132"/>
      <c r="GTW39" s="133" t="s">
        <v>48</v>
      </c>
      <c r="GTX39" s="134"/>
      <c r="GTY39" s="135"/>
      <c r="GTZ39" s="126"/>
      <c r="GUA39" s="126"/>
      <c r="GUB39" s="128"/>
      <c r="GUC39" s="130"/>
      <c r="GUD39" s="132"/>
      <c r="GUE39" s="133" t="s">
        <v>48</v>
      </c>
      <c r="GUF39" s="134"/>
      <c r="GUG39" s="135"/>
      <c r="GUH39" s="126"/>
      <c r="GUI39" s="126"/>
      <c r="GUJ39" s="128"/>
      <c r="GUK39" s="130"/>
      <c r="GUL39" s="132"/>
      <c r="GUM39" s="133" t="s">
        <v>48</v>
      </c>
      <c r="GUN39" s="134"/>
      <c r="GUO39" s="135"/>
      <c r="GUP39" s="126"/>
      <c r="GUQ39" s="126"/>
      <c r="GUR39" s="128"/>
      <c r="GUS39" s="130"/>
      <c r="GUT39" s="132"/>
      <c r="GUU39" s="133" t="s">
        <v>48</v>
      </c>
      <c r="GUV39" s="134"/>
      <c r="GUW39" s="135"/>
      <c r="GUX39" s="126"/>
      <c r="GUY39" s="126"/>
      <c r="GUZ39" s="128"/>
      <c r="GVA39" s="130"/>
      <c r="GVB39" s="132"/>
      <c r="GVC39" s="133" t="s">
        <v>48</v>
      </c>
      <c r="GVD39" s="134"/>
      <c r="GVE39" s="135"/>
      <c r="GVF39" s="126"/>
      <c r="GVG39" s="126"/>
      <c r="GVH39" s="128"/>
      <c r="GVI39" s="130"/>
      <c r="GVJ39" s="132"/>
      <c r="GVK39" s="133" t="s">
        <v>48</v>
      </c>
      <c r="GVL39" s="134"/>
      <c r="GVM39" s="135"/>
      <c r="GVN39" s="126"/>
      <c r="GVO39" s="126"/>
      <c r="GVP39" s="128"/>
      <c r="GVQ39" s="130"/>
      <c r="GVR39" s="132"/>
      <c r="GVS39" s="133" t="s">
        <v>48</v>
      </c>
      <c r="GVT39" s="134"/>
      <c r="GVU39" s="135"/>
      <c r="GVV39" s="126"/>
      <c r="GVW39" s="126"/>
      <c r="GVX39" s="128"/>
      <c r="GVY39" s="130"/>
      <c r="GVZ39" s="132"/>
      <c r="GWA39" s="133" t="s">
        <v>48</v>
      </c>
      <c r="GWB39" s="134"/>
      <c r="GWC39" s="135"/>
      <c r="GWD39" s="126"/>
      <c r="GWE39" s="126"/>
      <c r="GWF39" s="128"/>
      <c r="GWG39" s="130"/>
      <c r="GWH39" s="132"/>
      <c r="GWI39" s="133" t="s">
        <v>48</v>
      </c>
      <c r="GWJ39" s="134"/>
      <c r="GWK39" s="135"/>
      <c r="GWL39" s="126"/>
      <c r="GWM39" s="126"/>
      <c r="GWN39" s="128"/>
      <c r="GWO39" s="130"/>
      <c r="GWP39" s="132"/>
      <c r="GWQ39" s="133" t="s">
        <v>48</v>
      </c>
      <c r="GWR39" s="134"/>
      <c r="GWS39" s="135"/>
      <c r="GWT39" s="126"/>
      <c r="GWU39" s="126"/>
      <c r="GWV39" s="128"/>
      <c r="GWW39" s="130"/>
      <c r="GWX39" s="132"/>
      <c r="GWY39" s="133" t="s">
        <v>48</v>
      </c>
      <c r="GWZ39" s="134"/>
      <c r="GXA39" s="135"/>
      <c r="GXB39" s="126"/>
      <c r="GXC39" s="126"/>
      <c r="GXD39" s="128"/>
      <c r="GXE39" s="130"/>
      <c r="GXF39" s="132"/>
      <c r="GXG39" s="133" t="s">
        <v>48</v>
      </c>
      <c r="GXH39" s="134"/>
      <c r="GXI39" s="135"/>
      <c r="GXJ39" s="126"/>
      <c r="GXK39" s="126"/>
      <c r="GXL39" s="128"/>
      <c r="GXM39" s="130"/>
      <c r="GXN39" s="132"/>
      <c r="GXO39" s="133" t="s">
        <v>48</v>
      </c>
      <c r="GXP39" s="134"/>
      <c r="GXQ39" s="135"/>
      <c r="GXR39" s="126"/>
      <c r="GXS39" s="126"/>
      <c r="GXT39" s="128"/>
      <c r="GXU39" s="130"/>
      <c r="GXV39" s="132"/>
      <c r="GXW39" s="133" t="s">
        <v>48</v>
      </c>
      <c r="GXX39" s="134"/>
      <c r="GXY39" s="135"/>
      <c r="GXZ39" s="126"/>
      <c r="GYA39" s="126"/>
      <c r="GYB39" s="128"/>
      <c r="GYC39" s="130"/>
      <c r="GYD39" s="132"/>
      <c r="GYE39" s="133" t="s">
        <v>48</v>
      </c>
      <c r="GYF39" s="134"/>
      <c r="GYG39" s="135"/>
      <c r="GYH39" s="126"/>
      <c r="GYI39" s="126"/>
      <c r="GYJ39" s="128"/>
      <c r="GYK39" s="130"/>
      <c r="GYL39" s="132"/>
      <c r="GYM39" s="133" t="s">
        <v>48</v>
      </c>
      <c r="GYN39" s="134"/>
      <c r="GYO39" s="135"/>
      <c r="GYP39" s="126"/>
      <c r="GYQ39" s="126"/>
      <c r="GYR39" s="128"/>
      <c r="GYS39" s="130"/>
      <c r="GYT39" s="132"/>
      <c r="GYU39" s="133" t="s">
        <v>48</v>
      </c>
      <c r="GYV39" s="134"/>
      <c r="GYW39" s="135"/>
      <c r="GYX39" s="126"/>
      <c r="GYY39" s="126"/>
      <c r="GYZ39" s="128"/>
      <c r="GZA39" s="130"/>
      <c r="GZB39" s="132"/>
      <c r="GZC39" s="133" t="s">
        <v>48</v>
      </c>
      <c r="GZD39" s="134"/>
      <c r="GZE39" s="135"/>
      <c r="GZF39" s="126"/>
      <c r="GZG39" s="126"/>
      <c r="GZH39" s="128"/>
      <c r="GZI39" s="130"/>
      <c r="GZJ39" s="132"/>
      <c r="GZK39" s="133" t="s">
        <v>48</v>
      </c>
      <c r="GZL39" s="134"/>
      <c r="GZM39" s="135"/>
      <c r="GZN39" s="126"/>
      <c r="GZO39" s="126"/>
      <c r="GZP39" s="128"/>
      <c r="GZQ39" s="130"/>
      <c r="GZR39" s="132"/>
      <c r="GZS39" s="133" t="s">
        <v>48</v>
      </c>
      <c r="GZT39" s="134"/>
      <c r="GZU39" s="135"/>
      <c r="GZV39" s="126"/>
      <c r="GZW39" s="126"/>
      <c r="GZX39" s="128"/>
      <c r="GZY39" s="130"/>
      <c r="GZZ39" s="132"/>
      <c r="HAA39" s="133" t="s">
        <v>48</v>
      </c>
      <c r="HAB39" s="134"/>
      <c r="HAC39" s="135"/>
      <c r="HAD39" s="126"/>
      <c r="HAE39" s="126"/>
      <c r="HAF39" s="128"/>
      <c r="HAG39" s="130"/>
      <c r="HAH39" s="132"/>
      <c r="HAI39" s="133" t="s">
        <v>48</v>
      </c>
      <c r="HAJ39" s="134"/>
      <c r="HAK39" s="135"/>
      <c r="HAL39" s="126"/>
      <c r="HAM39" s="126"/>
      <c r="HAN39" s="128"/>
      <c r="HAO39" s="130"/>
      <c r="HAP39" s="132"/>
      <c r="HAQ39" s="133" t="s">
        <v>48</v>
      </c>
      <c r="HAR39" s="134"/>
      <c r="HAS39" s="135"/>
      <c r="HAT39" s="126"/>
      <c r="HAU39" s="126"/>
      <c r="HAV39" s="128"/>
      <c r="HAW39" s="130"/>
      <c r="HAX39" s="132"/>
      <c r="HAY39" s="133" t="s">
        <v>48</v>
      </c>
      <c r="HAZ39" s="134"/>
      <c r="HBA39" s="135"/>
      <c r="HBB39" s="126"/>
      <c r="HBC39" s="126"/>
      <c r="HBD39" s="128"/>
      <c r="HBE39" s="130"/>
      <c r="HBF39" s="132"/>
      <c r="HBG39" s="133" t="s">
        <v>48</v>
      </c>
      <c r="HBH39" s="134"/>
      <c r="HBI39" s="135"/>
      <c r="HBJ39" s="126"/>
      <c r="HBK39" s="126"/>
      <c r="HBL39" s="128"/>
      <c r="HBM39" s="130"/>
      <c r="HBN39" s="132"/>
      <c r="HBO39" s="133" t="s">
        <v>48</v>
      </c>
      <c r="HBP39" s="134"/>
      <c r="HBQ39" s="135"/>
      <c r="HBR39" s="126"/>
      <c r="HBS39" s="126"/>
      <c r="HBT39" s="128"/>
      <c r="HBU39" s="130"/>
      <c r="HBV39" s="132"/>
      <c r="HBW39" s="133" t="s">
        <v>48</v>
      </c>
      <c r="HBX39" s="134"/>
      <c r="HBY39" s="135"/>
      <c r="HBZ39" s="126"/>
      <c r="HCA39" s="126"/>
      <c r="HCB39" s="128"/>
      <c r="HCC39" s="130"/>
      <c r="HCD39" s="132"/>
      <c r="HCE39" s="133" t="s">
        <v>48</v>
      </c>
      <c r="HCF39" s="134"/>
      <c r="HCG39" s="135"/>
      <c r="HCH39" s="126"/>
      <c r="HCI39" s="126"/>
      <c r="HCJ39" s="128"/>
      <c r="HCK39" s="130"/>
      <c r="HCL39" s="132"/>
      <c r="HCM39" s="133" t="s">
        <v>48</v>
      </c>
      <c r="HCN39" s="134"/>
      <c r="HCO39" s="135"/>
      <c r="HCP39" s="126"/>
      <c r="HCQ39" s="126"/>
      <c r="HCR39" s="128"/>
      <c r="HCS39" s="130"/>
      <c r="HCT39" s="132"/>
      <c r="HCU39" s="133" t="s">
        <v>48</v>
      </c>
      <c r="HCV39" s="134"/>
      <c r="HCW39" s="135"/>
      <c r="HCX39" s="126"/>
      <c r="HCY39" s="126"/>
      <c r="HCZ39" s="128"/>
      <c r="HDA39" s="130"/>
      <c r="HDB39" s="132"/>
      <c r="HDC39" s="133" t="s">
        <v>48</v>
      </c>
      <c r="HDD39" s="134"/>
      <c r="HDE39" s="135"/>
      <c r="HDF39" s="126"/>
      <c r="HDG39" s="126"/>
      <c r="HDH39" s="128"/>
      <c r="HDI39" s="130"/>
      <c r="HDJ39" s="132"/>
      <c r="HDK39" s="133" t="s">
        <v>48</v>
      </c>
      <c r="HDL39" s="134"/>
      <c r="HDM39" s="135"/>
      <c r="HDN39" s="126"/>
      <c r="HDO39" s="126"/>
      <c r="HDP39" s="128"/>
      <c r="HDQ39" s="130"/>
      <c r="HDR39" s="132"/>
      <c r="HDS39" s="133" t="s">
        <v>48</v>
      </c>
      <c r="HDT39" s="134"/>
      <c r="HDU39" s="135"/>
      <c r="HDV39" s="126"/>
      <c r="HDW39" s="126"/>
      <c r="HDX39" s="128"/>
      <c r="HDY39" s="130"/>
      <c r="HDZ39" s="132"/>
      <c r="HEA39" s="133" t="s">
        <v>48</v>
      </c>
      <c r="HEB39" s="134"/>
      <c r="HEC39" s="135"/>
      <c r="HED39" s="126"/>
      <c r="HEE39" s="126"/>
      <c r="HEF39" s="128"/>
      <c r="HEG39" s="130"/>
      <c r="HEH39" s="132"/>
      <c r="HEI39" s="133" t="s">
        <v>48</v>
      </c>
      <c r="HEJ39" s="134"/>
      <c r="HEK39" s="135"/>
      <c r="HEL39" s="126"/>
      <c r="HEM39" s="126"/>
      <c r="HEN39" s="128"/>
      <c r="HEO39" s="130"/>
      <c r="HEP39" s="132"/>
      <c r="HEQ39" s="133" t="s">
        <v>48</v>
      </c>
      <c r="HER39" s="134"/>
      <c r="HES39" s="135"/>
      <c r="HET39" s="126"/>
      <c r="HEU39" s="126"/>
      <c r="HEV39" s="128"/>
      <c r="HEW39" s="130"/>
      <c r="HEX39" s="132"/>
      <c r="HEY39" s="133" t="s">
        <v>48</v>
      </c>
      <c r="HEZ39" s="134"/>
      <c r="HFA39" s="135"/>
      <c r="HFB39" s="126"/>
      <c r="HFC39" s="126"/>
      <c r="HFD39" s="128"/>
      <c r="HFE39" s="130"/>
      <c r="HFF39" s="132"/>
      <c r="HFG39" s="133" t="s">
        <v>48</v>
      </c>
      <c r="HFH39" s="134"/>
      <c r="HFI39" s="135"/>
      <c r="HFJ39" s="126"/>
      <c r="HFK39" s="126"/>
      <c r="HFL39" s="128"/>
      <c r="HFM39" s="130"/>
      <c r="HFN39" s="132"/>
      <c r="HFO39" s="133" t="s">
        <v>48</v>
      </c>
      <c r="HFP39" s="134"/>
      <c r="HFQ39" s="135"/>
      <c r="HFR39" s="126"/>
      <c r="HFS39" s="126"/>
      <c r="HFT39" s="128"/>
      <c r="HFU39" s="130"/>
      <c r="HFV39" s="132"/>
      <c r="HFW39" s="133" t="s">
        <v>48</v>
      </c>
      <c r="HFX39" s="134"/>
      <c r="HFY39" s="135"/>
      <c r="HFZ39" s="126"/>
      <c r="HGA39" s="126"/>
      <c r="HGB39" s="128"/>
      <c r="HGC39" s="130"/>
      <c r="HGD39" s="132"/>
      <c r="HGE39" s="133" t="s">
        <v>48</v>
      </c>
      <c r="HGF39" s="134"/>
      <c r="HGG39" s="135"/>
      <c r="HGH39" s="126"/>
      <c r="HGI39" s="126"/>
      <c r="HGJ39" s="128"/>
      <c r="HGK39" s="130"/>
      <c r="HGL39" s="132"/>
      <c r="HGM39" s="133" t="s">
        <v>48</v>
      </c>
      <c r="HGN39" s="134"/>
      <c r="HGO39" s="135"/>
      <c r="HGP39" s="126"/>
      <c r="HGQ39" s="126"/>
      <c r="HGR39" s="128"/>
      <c r="HGS39" s="130"/>
      <c r="HGT39" s="132"/>
      <c r="HGU39" s="133" t="s">
        <v>48</v>
      </c>
      <c r="HGV39" s="134"/>
      <c r="HGW39" s="135"/>
      <c r="HGX39" s="126"/>
      <c r="HGY39" s="126"/>
      <c r="HGZ39" s="128"/>
      <c r="HHA39" s="130"/>
      <c r="HHB39" s="132"/>
      <c r="HHC39" s="133" t="s">
        <v>48</v>
      </c>
      <c r="HHD39" s="134"/>
      <c r="HHE39" s="135"/>
      <c r="HHF39" s="126"/>
      <c r="HHG39" s="126"/>
      <c r="HHH39" s="128"/>
      <c r="HHI39" s="130"/>
      <c r="HHJ39" s="132"/>
      <c r="HHK39" s="133" t="s">
        <v>48</v>
      </c>
      <c r="HHL39" s="134"/>
      <c r="HHM39" s="135"/>
      <c r="HHN39" s="126"/>
      <c r="HHO39" s="126"/>
      <c r="HHP39" s="128"/>
      <c r="HHQ39" s="130"/>
      <c r="HHR39" s="132"/>
      <c r="HHS39" s="133" t="s">
        <v>48</v>
      </c>
      <c r="HHT39" s="134"/>
      <c r="HHU39" s="135"/>
      <c r="HHV39" s="126"/>
      <c r="HHW39" s="126"/>
      <c r="HHX39" s="128"/>
      <c r="HHY39" s="130"/>
      <c r="HHZ39" s="132"/>
      <c r="HIA39" s="133" t="s">
        <v>48</v>
      </c>
      <c r="HIB39" s="134"/>
      <c r="HIC39" s="135"/>
      <c r="HID39" s="126"/>
      <c r="HIE39" s="126"/>
      <c r="HIF39" s="128"/>
      <c r="HIG39" s="130"/>
      <c r="HIH39" s="132"/>
      <c r="HII39" s="133" t="s">
        <v>48</v>
      </c>
      <c r="HIJ39" s="134"/>
      <c r="HIK39" s="135"/>
      <c r="HIL39" s="126"/>
      <c r="HIM39" s="126"/>
      <c r="HIN39" s="128"/>
      <c r="HIO39" s="130"/>
      <c r="HIP39" s="132"/>
      <c r="HIQ39" s="133" t="s">
        <v>48</v>
      </c>
      <c r="HIR39" s="134"/>
      <c r="HIS39" s="135"/>
      <c r="HIT39" s="126"/>
      <c r="HIU39" s="126"/>
      <c r="HIV39" s="128"/>
      <c r="HIW39" s="130"/>
      <c r="HIX39" s="132"/>
      <c r="HIY39" s="133" t="s">
        <v>48</v>
      </c>
      <c r="HIZ39" s="134"/>
      <c r="HJA39" s="135"/>
      <c r="HJB39" s="126"/>
      <c r="HJC39" s="126"/>
      <c r="HJD39" s="128"/>
      <c r="HJE39" s="130"/>
      <c r="HJF39" s="132"/>
      <c r="HJG39" s="133" t="s">
        <v>48</v>
      </c>
      <c r="HJH39" s="134"/>
      <c r="HJI39" s="135"/>
      <c r="HJJ39" s="126"/>
      <c r="HJK39" s="126"/>
      <c r="HJL39" s="128"/>
      <c r="HJM39" s="130"/>
      <c r="HJN39" s="132"/>
      <c r="HJO39" s="133" t="s">
        <v>48</v>
      </c>
      <c r="HJP39" s="134"/>
      <c r="HJQ39" s="135"/>
      <c r="HJR39" s="126"/>
      <c r="HJS39" s="126"/>
      <c r="HJT39" s="128"/>
      <c r="HJU39" s="130"/>
      <c r="HJV39" s="132"/>
      <c r="HJW39" s="133" t="s">
        <v>48</v>
      </c>
      <c r="HJX39" s="134"/>
      <c r="HJY39" s="135"/>
      <c r="HJZ39" s="126"/>
      <c r="HKA39" s="126"/>
      <c r="HKB39" s="128"/>
      <c r="HKC39" s="130"/>
      <c r="HKD39" s="132"/>
      <c r="HKE39" s="133" t="s">
        <v>48</v>
      </c>
      <c r="HKF39" s="134"/>
      <c r="HKG39" s="135"/>
      <c r="HKH39" s="126"/>
      <c r="HKI39" s="126"/>
      <c r="HKJ39" s="128"/>
      <c r="HKK39" s="130"/>
      <c r="HKL39" s="132"/>
      <c r="HKM39" s="133" t="s">
        <v>48</v>
      </c>
      <c r="HKN39" s="134"/>
      <c r="HKO39" s="135"/>
      <c r="HKP39" s="126"/>
      <c r="HKQ39" s="126"/>
      <c r="HKR39" s="128"/>
      <c r="HKS39" s="130"/>
      <c r="HKT39" s="132"/>
      <c r="HKU39" s="133" t="s">
        <v>48</v>
      </c>
      <c r="HKV39" s="134"/>
      <c r="HKW39" s="135"/>
      <c r="HKX39" s="126"/>
      <c r="HKY39" s="126"/>
      <c r="HKZ39" s="128"/>
      <c r="HLA39" s="130"/>
      <c r="HLB39" s="132"/>
      <c r="HLC39" s="133" t="s">
        <v>48</v>
      </c>
      <c r="HLD39" s="134"/>
      <c r="HLE39" s="135"/>
      <c r="HLF39" s="126"/>
      <c r="HLG39" s="126"/>
      <c r="HLH39" s="128"/>
      <c r="HLI39" s="130"/>
      <c r="HLJ39" s="132"/>
      <c r="HLK39" s="133" t="s">
        <v>48</v>
      </c>
      <c r="HLL39" s="134"/>
      <c r="HLM39" s="135"/>
      <c r="HLN39" s="126"/>
      <c r="HLO39" s="126"/>
      <c r="HLP39" s="128"/>
      <c r="HLQ39" s="130"/>
      <c r="HLR39" s="132"/>
      <c r="HLS39" s="133" t="s">
        <v>48</v>
      </c>
      <c r="HLT39" s="134"/>
      <c r="HLU39" s="135"/>
      <c r="HLV39" s="126"/>
      <c r="HLW39" s="126"/>
      <c r="HLX39" s="128"/>
      <c r="HLY39" s="130"/>
      <c r="HLZ39" s="132"/>
      <c r="HMA39" s="133" t="s">
        <v>48</v>
      </c>
      <c r="HMB39" s="134"/>
      <c r="HMC39" s="135"/>
      <c r="HMD39" s="126"/>
      <c r="HME39" s="126"/>
      <c r="HMF39" s="128"/>
      <c r="HMG39" s="130"/>
      <c r="HMH39" s="132"/>
      <c r="HMI39" s="133" t="s">
        <v>48</v>
      </c>
      <c r="HMJ39" s="134"/>
      <c r="HMK39" s="135"/>
      <c r="HML39" s="126"/>
      <c r="HMM39" s="126"/>
      <c r="HMN39" s="128"/>
      <c r="HMO39" s="130"/>
      <c r="HMP39" s="132"/>
      <c r="HMQ39" s="133" t="s">
        <v>48</v>
      </c>
      <c r="HMR39" s="134"/>
      <c r="HMS39" s="135"/>
      <c r="HMT39" s="126"/>
      <c r="HMU39" s="126"/>
      <c r="HMV39" s="128"/>
      <c r="HMW39" s="130"/>
      <c r="HMX39" s="132"/>
      <c r="HMY39" s="133" t="s">
        <v>48</v>
      </c>
      <c r="HMZ39" s="134"/>
      <c r="HNA39" s="135"/>
      <c r="HNB39" s="126"/>
      <c r="HNC39" s="126"/>
      <c r="HND39" s="128"/>
      <c r="HNE39" s="130"/>
      <c r="HNF39" s="132"/>
      <c r="HNG39" s="133" t="s">
        <v>48</v>
      </c>
      <c r="HNH39" s="134"/>
      <c r="HNI39" s="135"/>
      <c r="HNJ39" s="126"/>
      <c r="HNK39" s="126"/>
      <c r="HNL39" s="128"/>
      <c r="HNM39" s="130"/>
      <c r="HNN39" s="132"/>
      <c r="HNO39" s="133" t="s">
        <v>48</v>
      </c>
      <c r="HNP39" s="134"/>
      <c r="HNQ39" s="135"/>
      <c r="HNR39" s="126"/>
      <c r="HNS39" s="126"/>
      <c r="HNT39" s="128"/>
      <c r="HNU39" s="130"/>
      <c r="HNV39" s="132"/>
      <c r="HNW39" s="133" t="s">
        <v>48</v>
      </c>
      <c r="HNX39" s="134"/>
      <c r="HNY39" s="135"/>
      <c r="HNZ39" s="126"/>
      <c r="HOA39" s="126"/>
      <c r="HOB39" s="128"/>
      <c r="HOC39" s="130"/>
      <c r="HOD39" s="132"/>
      <c r="HOE39" s="133" t="s">
        <v>48</v>
      </c>
      <c r="HOF39" s="134"/>
      <c r="HOG39" s="135"/>
      <c r="HOH39" s="126"/>
      <c r="HOI39" s="126"/>
      <c r="HOJ39" s="128"/>
      <c r="HOK39" s="130"/>
      <c r="HOL39" s="132"/>
      <c r="HOM39" s="133" t="s">
        <v>48</v>
      </c>
      <c r="HON39" s="134"/>
      <c r="HOO39" s="135"/>
      <c r="HOP39" s="126"/>
      <c r="HOQ39" s="126"/>
      <c r="HOR39" s="128"/>
      <c r="HOS39" s="130"/>
      <c r="HOT39" s="132"/>
      <c r="HOU39" s="133" t="s">
        <v>48</v>
      </c>
      <c r="HOV39" s="134"/>
      <c r="HOW39" s="135"/>
      <c r="HOX39" s="126"/>
      <c r="HOY39" s="126"/>
      <c r="HOZ39" s="128"/>
      <c r="HPA39" s="130"/>
      <c r="HPB39" s="132"/>
      <c r="HPC39" s="133" t="s">
        <v>48</v>
      </c>
      <c r="HPD39" s="134"/>
      <c r="HPE39" s="135"/>
      <c r="HPF39" s="126"/>
      <c r="HPG39" s="126"/>
      <c r="HPH39" s="128"/>
      <c r="HPI39" s="130"/>
      <c r="HPJ39" s="132"/>
      <c r="HPK39" s="133" t="s">
        <v>48</v>
      </c>
      <c r="HPL39" s="134"/>
      <c r="HPM39" s="135"/>
      <c r="HPN39" s="126"/>
      <c r="HPO39" s="126"/>
      <c r="HPP39" s="128"/>
      <c r="HPQ39" s="130"/>
      <c r="HPR39" s="132"/>
      <c r="HPS39" s="133" t="s">
        <v>48</v>
      </c>
      <c r="HPT39" s="134"/>
      <c r="HPU39" s="135"/>
      <c r="HPV39" s="126"/>
      <c r="HPW39" s="126"/>
      <c r="HPX39" s="128"/>
      <c r="HPY39" s="130"/>
      <c r="HPZ39" s="132"/>
      <c r="HQA39" s="133" t="s">
        <v>48</v>
      </c>
      <c r="HQB39" s="134"/>
      <c r="HQC39" s="135"/>
      <c r="HQD39" s="126"/>
      <c r="HQE39" s="126"/>
      <c r="HQF39" s="128"/>
      <c r="HQG39" s="130"/>
      <c r="HQH39" s="132"/>
      <c r="HQI39" s="133" t="s">
        <v>48</v>
      </c>
      <c r="HQJ39" s="134"/>
      <c r="HQK39" s="135"/>
      <c r="HQL39" s="126"/>
      <c r="HQM39" s="126"/>
      <c r="HQN39" s="128"/>
      <c r="HQO39" s="130"/>
      <c r="HQP39" s="132"/>
      <c r="HQQ39" s="133" t="s">
        <v>48</v>
      </c>
      <c r="HQR39" s="134"/>
      <c r="HQS39" s="135"/>
      <c r="HQT39" s="126"/>
      <c r="HQU39" s="126"/>
      <c r="HQV39" s="128"/>
      <c r="HQW39" s="130"/>
      <c r="HQX39" s="132"/>
      <c r="HQY39" s="133" t="s">
        <v>48</v>
      </c>
      <c r="HQZ39" s="134"/>
      <c r="HRA39" s="135"/>
      <c r="HRB39" s="126"/>
      <c r="HRC39" s="126"/>
      <c r="HRD39" s="128"/>
      <c r="HRE39" s="130"/>
      <c r="HRF39" s="132"/>
      <c r="HRG39" s="133" t="s">
        <v>48</v>
      </c>
      <c r="HRH39" s="134"/>
      <c r="HRI39" s="135"/>
      <c r="HRJ39" s="126"/>
      <c r="HRK39" s="126"/>
      <c r="HRL39" s="128"/>
      <c r="HRM39" s="130"/>
      <c r="HRN39" s="132"/>
      <c r="HRO39" s="133" t="s">
        <v>48</v>
      </c>
      <c r="HRP39" s="134"/>
      <c r="HRQ39" s="135"/>
      <c r="HRR39" s="126"/>
      <c r="HRS39" s="126"/>
      <c r="HRT39" s="128"/>
      <c r="HRU39" s="130"/>
      <c r="HRV39" s="132"/>
      <c r="HRW39" s="133" t="s">
        <v>48</v>
      </c>
      <c r="HRX39" s="134"/>
      <c r="HRY39" s="135"/>
      <c r="HRZ39" s="126"/>
      <c r="HSA39" s="126"/>
      <c r="HSB39" s="128"/>
      <c r="HSC39" s="130"/>
      <c r="HSD39" s="132"/>
      <c r="HSE39" s="133" t="s">
        <v>48</v>
      </c>
      <c r="HSF39" s="134"/>
      <c r="HSG39" s="135"/>
      <c r="HSH39" s="126"/>
      <c r="HSI39" s="126"/>
      <c r="HSJ39" s="128"/>
      <c r="HSK39" s="130"/>
      <c r="HSL39" s="132"/>
      <c r="HSM39" s="133" t="s">
        <v>48</v>
      </c>
      <c r="HSN39" s="134"/>
      <c r="HSO39" s="135"/>
      <c r="HSP39" s="126"/>
      <c r="HSQ39" s="126"/>
      <c r="HSR39" s="128"/>
      <c r="HSS39" s="130"/>
      <c r="HST39" s="132"/>
      <c r="HSU39" s="133" t="s">
        <v>48</v>
      </c>
      <c r="HSV39" s="134"/>
      <c r="HSW39" s="135"/>
      <c r="HSX39" s="126"/>
      <c r="HSY39" s="126"/>
      <c r="HSZ39" s="128"/>
      <c r="HTA39" s="130"/>
      <c r="HTB39" s="132"/>
      <c r="HTC39" s="133" t="s">
        <v>48</v>
      </c>
      <c r="HTD39" s="134"/>
      <c r="HTE39" s="135"/>
      <c r="HTF39" s="126"/>
      <c r="HTG39" s="126"/>
      <c r="HTH39" s="128"/>
      <c r="HTI39" s="130"/>
      <c r="HTJ39" s="132"/>
      <c r="HTK39" s="133" t="s">
        <v>48</v>
      </c>
      <c r="HTL39" s="134"/>
      <c r="HTM39" s="135"/>
      <c r="HTN39" s="126"/>
      <c r="HTO39" s="126"/>
      <c r="HTP39" s="128"/>
      <c r="HTQ39" s="130"/>
      <c r="HTR39" s="132"/>
      <c r="HTS39" s="133" t="s">
        <v>48</v>
      </c>
      <c r="HTT39" s="134"/>
      <c r="HTU39" s="135"/>
      <c r="HTV39" s="126"/>
      <c r="HTW39" s="126"/>
      <c r="HTX39" s="128"/>
      <c r="HTY39" s="130"/>
      <c r="HTZ39" s="132"/>
      <c r="HUA39" s="133" t="s">
        <v>48</v>
      </c>
      <c r="HUB39" s="134"/>
      <c r="HUC39" s="135"/>
      <c r="HUD39" s="126"/>
      <c r="HUE39" s="126"/>
      <c r="HUF39" s="128"/>
      <c r="HUG39" s="130"/>
      <c r="HUH39" s="132"/>
      <c r="HUI39" s="133" t="s">
        <v>48</v>
      </c>
      <c r="HUJ39" s="134"/>
      <c r="HUK39" s="135"/>
      <c r="HUL39" s="126"/>
      <c r="HUM39" s="126"/>
      <c r="HUN39" s="128"/>
      <c r="HUO39" s="130"/>
      <c r="HUP39" s="132"/>
      <c r="HUQ39" s="133" t="s">
        <v>48</v>
      </c>
      <c r="HUR39" s="134"/>
      <c r="HUS39" s="135"/>
      <c r="HUT39" s="126"/>
      <c r="HUU39" s="126"/>
      <c r="HUV39" s="128"/>
      <c r="HUW39" s="130"/>
      <c r="HUX39" s="132"/>
      <c r="HUY39" s="133" t="s">
        <v>48</v>
      </c>
      <c r="HUZ39" s="134"/>
      <c r="HVA39" s="135"/>
      <c r="HVB39" s="126"/>
      <c r="HVC39" s="126"/>
      <c r="HVD39" s="128"/>
      <c r="HVE39" s="130"/>
      <c r="HVF39" s="132"/>
      <c r="HVG39" s="133" t="s">
        <v>48</v>
      </c>
      <c r="HVH39" s="134"/>
      <c r="HVI39" s="135"/>
      <c r="HVJ39" s="126"/>
      <c r="HVK39" s="126"/>
      <c r="HVL39" s="128"/>
      <c r="HVM39" s="130"/>
      <c r="HVN39" s="132"/>
      <c r="HVO39" s="133" t="s">
        <v>48</v>
      </c>
      <c r="HVP39" s="134"/>
      <c r="HVQ39" s="135"/>
      <c r="HVR39" s="126"/>
      <c r="HVS39" s="126"/>
      <c r="HVT39" s="128"/>
      <c r="HVU39" s="130"/>
      <c r="HVV39" s="132"/>
      <c r="HVW39" s="133" t="s">
        <v>48</v>
      </c>
      <c r="HVX39" s="134"/>
      <c r="HVY39" s="135"/>
      <c r="HVZ39" s="126"/>
      <c r="HWA39" s="126"/>
      <c r="HWB39" s="128"/>
      <c r="HWC39" s="130"/>
      <c r="HWD39" s="132"/>
      <c r="HWE39" s="133" t="s">
        <v>48</v>
      </c>
      <c r="HWF39" s="134"/>
      <c r="HWG39" s="135"/>
      <c r="HWH39" s="126"/>
      <c r="HWI39" s="126"/>
      <c r="HWJ39" s="128"/>
      <c r="HWK39" s="130"/>
      <c r="HWL39" s="132"/>
      <c r="HWM39" s="133" t="s">
        <v>48</v>
      </c>
      <c r="HWN39" s="134"/>
      <c r="HWO39" s="135"/>
      <c r="HWP39" s="126"/>
      <c r="HWQ39" s="126"/>
      <c r="HWR39" s="128"/>
      <c r="HWS39" s="130"/>
      <c r="HWT39" s="132"/>
      <c r="HWU39" s="133" t="s">
        <v>48</v>
      </c>
      <c r="HWV39" s="134"/>
      <c r="HWW39" s="135"/>
      <c r="HWX39" s="126"/>
      <c r="HWY39" s="126"/>
      <c r="HWZ39" s="128"/>
      <c r="HXA39" s="130"/>
      <c r="HXB39" s="132"/>
      <c r="HXC39" s="133" t="s">
        <v>48</v>
      </c>
      <c r="HXD39" s="134"/>
      <c r="HXE39" s="135"/>
      <c r="HXF39" s="126"/>
      <c r="HXG39" s="126"/>
      <c r="HXH39" s="128"/>
      <c r="HXI39" s="130"/>
      <c r="HXJ39" s="132"/>
      <c r="HXK39" s="133" t="s">
        <v>48</v>
      </c>
      <c r="HXL39" s="134"/>
      <c r="HXM39" s="135"/>
      <c r="HXN39" s="126"/>
      <c r="HXO39" s="126"/>
      <c r="HXP39" s="128"/>
      <c r="HXQ39" s="130"/>
      <c r="HXR39" s="132"/>
      <c r="HXS39" s="133" t="s">
        <v>48</v>
      </c>
      <c r="HXT39" s="134"/>
      <c r="HXU39" s="135"/>
      <c r="HXV39" s="126"/>
      <c r="HXW39" s="126"/>
      <c r="HXX39" s="128"/>
      <c r="HXY39" s="130"/>
      <c r="HXZ39" s="132"/>
      <c r="HYA39" s="133" t="s">
        <v>48</v>
      </c>
      <c r="HYB39" s="134"/>
      <c r="HYC39" s="135"/>
      <c r="HYD39" s="126"/>
      <c r="HYE39" s="126"/>
      <c r="HYF39" s="128"/>
      <c r="HYG39" s="130"/>
      <c r="HYH39" s="132"/>
      <c r="HYI39" s="133" t="s">
        <v>48</v>
      </c>
      <c r="HYJ39" s="134"/>
      <c r="HYK39" s="135"/>
      <c r="HYL39" s="126"/>
      <c r="HYM39" s="126"/>
      <c r="HYN39" s="128"/>
      <c r="HYO39" s="130"/>
      <c r="HYP39" s="132"/>
      <c r="HYQ39" s="133" t="s">
        <v>48</v>
      </c>
      <c r="HYR39" s="134"/>
      <c r="HYS39" s="135"/>
      <c r="HYT39" s="126"/>
      <c r="HYU39" s="126"/>
      <c r="HYV39" s="128"/>
      <c r="HYW39" s="130"/>
      <c r="HYX39" s="132"/>
      <c r="HYY39" s="133" t="s">
        <v>48</v>
      </c>
      <c r="HYZ39" s="134"/>
      <c r="HZA39" s="135"/>
      <c r="HZB39" s="126"/>
      <c r="HZC39" s="126"/>
      <c r="HZD39" s="128"/>
      <c r="HZE39" s="130"/>
      <c r="HZF39" s="132"/>
      <c r="HZG39" s="133" t="s">
        <v>48</v>
      </c>
      <c r="HZH39" s="134"/>
      <c r="HZI39" s="135"/>
      <c r="HZJ39" s="126"/>
      <c r="HZK39" s="126"/>
      <c r="HZL39" s="128"/>
      <c r="HZM39" s="130"/>
      <c r="HZN39" s="132"/>
      <c r="HZO39" s="133" t="s">
        <v>48</v>
      </c>
      <c r="HZP39" s="134"/>
      <c r="HZQ39" s="135"/>
      <c r="HZR39" s="126"/>
      <c r="HZS39" s="126"/>
      <c r="HZT39" s="128"/>
      <c r="HZU39" s="130"/>
      <c r="HZV39" s="132"/>
      <c r="HZW39" s="133" t="s">
        <v>48</v>
      </c>
      <c r="HZX39" s="134"/>
      <c r="HZY39" s="135"/>
      <c r="HZZ39" s="126"/>
      <c r="IAA39" s="126"/>
      <c r="IAB39" s="128"/>
      <c r="IAC39" s="130"/>
      <c r="IAD39" s="132"/>
      <c r="IAE39" s="133" t="s">
        <v>48</v>
      </c>
      <c r="IAF39" s="134"/>
      <c r="IAG39" s="135"/>
      <c r="IAH39" s="126"/>
      <c r="IAI39" s="126"/>
      <c r="IAJ39" s="128"/>
      <c r="IAK39" s="130"/>
      <c r="IAL39" s="132"/>
      <c r="IAM39" s="133" t="s">
        <v>48</v>
      </c>
      <c r="IAN39" s="134"/>
      <c r="IAO39" s="135"/>
      <c r="IAP39" s="126"/>
      <c r="IAQ39" s="126"/>
      <c r="IAR39" s="128"/>
      <c r="IAS39" s="130"/>
      <c r="IAT39" s="132"/>
      <c r="IAU39" s="133" t="s">
        <v>48</v>
      </c>
      <c r="IAV39" s="134"/>
      <c r="IAW39" s="135"/>
      <c r="IAX39" s="126"/>
      <c r="IAY39" s="126"/>
      <c r="IAZ39" s="128"/>
      <c r="IBA39" s="130"/>
      <c r="IBB39" s="132"/>
      <c r="IBC39" s="133" t="s">
        <v>48</v>
      </c>
      <c r="IBD39" s="134"/>
      <c r="IBE39" s="135"/>
      <c r="IBF39" s="126"/>
      <c r="IBG39" s="126"/>
      <c r="IBH39" s="128"/>
      <c r="IBI39" s="130"/>
      <c r="IBJ39" s="132"/>
      <c r="IBK39" s="133" t="s">
        <v>48</v>
      </c>
      <c r="IBL39" s="134"/>
      <c r="IBM39" s="135"/>
      <c r="IBN39" s="126"/>
      <c r="IBO39" s="126"/>
      <c r="IBP39" s="128"/>
      <c r="IBQ39" s="130"/>
      <c r="IBR39" s="132"/>
      <c r="IBS39" s="133" t="s">
        <v>48</v>
      </c>
      <c r="IBT39" s="134"/>
      <c r="IBU39" s="135"/>
      <c r="IBV39" s="126"/>
      <c r="IBW39" s="126"/>
      <c r="IBX39" s="128"/>
      <c r="IBY39" s="130"/>
      <c r="IBZ39" s="132"/>
      <c r="ICA39" s="133" t="s">
        <v>48</v>
      </c>
      <c r="ICB39" s="134"/>
      <c r="ICC39" s="135"/>
      <c r="ICD39" s="126"/>
      <c r="ICE39" s="126"/>
      <c r="ICF39" s="128"/>
      <c r="ICG39" s="130"/>
      <c r="ICH39" s="132"/>
      <c r="ICI39" s="133" t="s">
        <v>48</v>
      </c>
      <c r="ICJ39" s="134"/>
      <c r="ICK39" s="135"/>
      <c r="ICL39" s="126"/>
      <c r="ICM39" s="126"/>
      <c r="ICN39" s="128"/>
      <c r="ICO39" s="130"/>
      <c r="ICP39" s="132"/>
      <c r="ICQ39" s="133" t="s">
        <v>48</v>
      </c>
      <c r="ICR39" s="134"/>
      <c r="ICS39" s="135"/>
      <c r="ICT39" s="126"/>
      <c r="ICU39" s="126"/>
      <c r="ICV39" s="128"/>
      <c r="ICW39" s="130"/>
      <c r="ICX39" s="132"/>
      <c r="ICY39" s="133" t="s">
        <v>48</v>
      </c>
      <c r="ICZ39" s="134"/>
      <c r="IDA39" s="135"/>
      <c r="IDB39" s="126"/>
      <c r="IDC39" s="126"/>
      <c r="IDD39" s="128"/>
      <c r="IDE39" s="130"/>
      <c r="IDF39" s="132"/>
      <c r="IDG39" s="133" t="s">
        <v>48</v>
      </c>
      <c r="IDH39" s="134"/>
      <c r="IDI39" s="135"/>
      <c r="IDJ39" s="126"/>
      <c r="IDK39" s="126"/>
      <c r="IDL39" s="128"/>
      <c r="IDM39" s="130"/>
      <c r="IDN39" s="132"/>
      <c r="IDO39" s="133" t="s">
        <v>48</v>
      </c>
      <c r="IDP39" s="134"/>
      <c r="IDQ39" s="135"/>
      <c r="IDR39" s="126"/>
      <c r="IDS39" s="126"/>
      <c r="IDT39" s="128"/>
      <c r="IDU39" s="130"/>
      <c r="IDV39" s="132"/>
      <c r="IDW39" s="133" t="s">
        <v>48</v>
      </c>
      <c r="IDX39" s="134"/>
      <c r="IDY39" s="135"/>
      <c r="IDZ39" s="126"/>
      <c r="IEA39" s="126"/>
      <c r="IEB39" s="128"/>
      <c r="IEC39" s="130"/>
      <c r="IED39" s="132"/>
      <c r="IEE39" s="133" t="s">
        <v>48</v>
      </c>
      <c r="IEF39" s="134"/>
      <c r="IEG39" s="135"/>
      <c r="IEH39" s="126"/>
      <c r="IEI39" s="126"/>
      <c r="IEJ39" s="128"/>
      <c r="IEK39" s="130"/>
      <c r="IEL39" s="132"/>
      <c r="IEM39" s="133" t="s">
        <v>48</v>
      </c>
      <c r="IEN39" s="134"/>
      <c r="IEO39" s="135"/>
      <c r="IEP39" s="126"/>
      <c r="IEQ39" s="126"/>
      <c r="IER39" s="128"/>
      <c r="IES39" s="130"/>
      <c r="IET39" s="132"/>
      <c r="IEU39" s="133" t="s">
        <v>48</v>
      </c>
      <c r="IEV39" s="134"/>
      <c r="IEW39" s="135"/>
      <c r="IEX39" s="126"/>
      <c r="IEY39" s="126"/>
      <c r="IEZ39" s="128"/>
      <c r="IFA39" s="130"/>
      <c r="IFB39" s="132"/>
      <c r="IFC39" s="133" t="s">
        <v>48</v>
      </c>
      <c r="IFD39" s="134"/>
      <c r="IFE39" s="135"/>
      <c r="IFF39" s="126"/>
      <c r="IFG39" s="126"/>
      <c r="IFH39" s="128"/>
      <c r="IFI39" s="130"/>
      <c r="IFJ39" s="132"/>
      <c r="IFK39" s="133" t="s">
        <v>48</v>
      </c>
      <c r="IFL39" s="134"/>
      <c r="IFM39" s="135"/>
      <c r="IFN39" s="126"/>
      <c r="IFO39" s="126"/>
      <c r="IFP39" s="128"/>
      <c r="IFQ39" s="130"/>
      <c r="IFR39" s="132"/>
      <c r="IFS39" s="133" t="s">
        <v>48</v>
      </c>
      <c r="IFT39" s="134"/>
      <c r="IFU39" s="135"/>
      <c r="IFV39" s="126"/>
      <c r="IFW39" s="126"/>
      <c r="IFX39" s="128"/>
      <c r="IFY39" s="130"/>
      <c r="IFZ39" s="132"/>
      <c r="IGA39" s="133" t="s">
        <v>48</v>
      </c>
      <c r="IGB39" s="134"/>
      <c r="IGC39" s="135"/>
      <c r="IGD39" s="126"/>
      <c r="IGE39" s="126"/>
      <c r="IGF39" s="128"/>
      <c r="IGG39" s="130"/>
      <c r="IGH39" s="132"/>
      <c r="IGI39" s="133" t="s">
        <v>48</v>
      </c>
      <c r="IGJ39" s="134"/>
      <c r="IGK39" s="135"/>
      <c r="IGL39" s="126"/>
      <c r="IGM39" s="126"/>
      <c r="IGN39" s="128"/>
      <c r="IGO39" s="130"/>
      <c r="IGP39" s="132"/>
      <c r="IGQ39" s="133" t="s">
        <v>48</v>
      </c>
      <c r="IGR39" s="134"/>
      <c r="IGS39" s="135"/>
      <c r="IGT39" s="126"/>
      <c r="IGU39" s="126"/>
      <c r="IGV39" s="128"/>
      <c r="IGW39" s="130"/>
      <c r="IGX39" s="132"/>
      <c r="IGY39" s="133" t="s">
        <v>48</v>
      </c>
      <c r="IGZ39" s="134"/>
      <c r="IHA39" s="135"/>
      <c r="IHB39" s="126"/>
      <c r="IHC39" s="126"/>
      <c r="IHD39" s="128"/>
      <c r="IHE39" s="130"/>
      <c r="IHF39" s="132"/>
      <c r="IHG39" s="133" t="s">
        <v>48</v>
      </c>
      <c r="IHH39" s="134"/>
      <c r="IHI39" s="135"/>
      <c r="IHJ39" s="126"/>
      <c r="IHK39" s="126"/>
      <c r="IHL39" s="128"/>
      <c r="IHM39" s="130"/>
      <c r="IHN39" s="132"/>
      <c r="IHO39" s="133" t="s">
        <v>48</v>
      </c>
      <c r="IHP39" s="134"/>
      <c r="IHQ39" s="135"/>
      <c r="IHR39" s="126"/>
      <c r="IHS39" s="126"/>
      <c r="IHT39" s="128"/>
      <c r="IHU39" s="130"/>
      <c r="IHV39" s="132"/>
      <c r="IHW39" s="133" t="s">
        <v>48</v>
      </c>
      <c r="IHX39" s="134"/>
      <c r="IHY39" s="135"/>
      <c r="IHZ39" s="126"/>
      <c r="IIA39" s="126"/>
      <c r="IIB39" s="128"/>
      <c r="IIC39" s="130"/>
      <c r="IID39" s="132"/>
      <c r="IIE39" s="133" t="s">
        <v>48</v>
      </c>
      <c r="IIF39" s="134"/>
      <c r="IIG39" s="135"/>
      <c r="IIH39" s="126"/>
      <c r="III39" s="126"/>
      <c r="IIJ39" s="128"/>
      <c r="IIK39" s="130"/>
      <c r="IIL39" s="132"/>
      <c r="IIM39" s="133" t="s">
        <v>48</v>
      </c>
      <c r="IIN39" s="134"/>
      <c r="IIO39" s="135"/>
      <c r="IIP39" s="126"/>
      <c r="IIQ39" s="126"/>
      <c r="IIR39" s="128"/>
      <c r="IIS39" s="130"/>
      <c r="IIT39" s="132"/>
      <c r="IIU39" s="133" t="s">
        <v>48</v>
      </c>
      <c r="IIV39" s="134"/>
      <c r="IIW39" s="135"/>
      <c r="IIX39" s="126"/>
      <c r="IIY39" s="126"/>
      <c r="IIZ39" s="128"/>
      <c r="IJA39" s="130"/>
      <c r="IJB39" s="132"/>
      <c r="IJC39" s="133" t="s">
        <v>48</v>
      </c>
      <c r="IJD39" s="134"/>
      <c r="IJE39" s="135"/>
      <c r="IJF39" s="126"/>
      <c r="IJG39" s="126"/>
      <c r="IJH39" s="128"/>
      <c r="IJI39" s="130"/>
      <c r="IJJ39" s="132"/>
      <c r="IJK39" s="133" t="s">
        <v>48</v>
      </c>
      <c r="IJL39" s="134"/>
      <c r="IJM39" s="135"/>
      <c r="IJN39" s="126"/>
      <c r="IJO39" s="126"/>
      <c r="IJP39" s="128"/>
      <c r="IJQ39" s="130"/>
      <c r="IJR39" s="132"/>
      <c r="IJS39" s="133" t="s">
        <v>48</v>
      </c>
      <c r="IJT39" s="134"/>
      <c r="IJU39" s="135"/>
      <c r="IJV39" s="126"/>
      <c r="IJW39" s="126"/>
      <c r="IJX39" s="128"/>
      <c r="IJY39" s="130"/>
      <c r="IJZ39" s="132"/>
      <c r="IKA39" s="133" t="s">
        <v>48</v>
      </c>
      <c r="IKB39" s="134"/>
      <c r="IKC39" s="135"/>
      <c r="IKD39" s="126"/>
      <c r="IKE39" s="126"/>
      <c r="IKF39" s="128"/>
      <c r="IKG39" s="130"/>
      <c r="IKH39" s="132"/>
      <c r="IKI39" s="133" t="s">
        <v>48</v>
      </c>
      <c r="IKJ39" s="134"/>
      <c r="IKK39" s="135"/>
      <c r="IKL39" s="126"/>
      <c r="IKM39" s="126"/>
      <c r="IKN39" s="128"/>
      <c r="IKO39" s="130"/>
      <c r="IKP39" s="132"/>
      <c r="IKQ39" s="133" t="s">
        <v>48</v>
      </c>
      <c r="IKR39" s="134"/>
      <c r="IKS39" s="135"/>
      <c r="IKT39" s="126"/>
      <c r="IKU39" s="126"/>
      <c r="IKV39" s="128"/>
      <c r="IKW39" s="130"/>
      <c r="IKX39" s="132"/>
      <c r="IKY39" s="133" t="s">
        <v>48</v>
      </c>
      <c r="IKZ39" s="134"/>
      <c r="ILA39" s="135"/>
      <c r="ILB39" s="126"/>
      <c r="ILC39" s="126"/>
      <c r="ILD39" s="128"/>
      <c r="ILE39" s="130"/>
      <c r="ILF39" s="132"/>
      <c r="ILG39" s="133" t="s">
        <v>48</v>
      </c>
      <c r="ILH39" s="134"/>
      <c r="ILI39" s="135"/>
      <c r="ILJ39" s="126"/>
      <c r="ILK39" s="126"/>
      <c r="ILL39" s="128"/>
      <c r="ILM39" s="130"/>
      <c r="ILN39" s="132"/>
      <c r="ILO39" s="133" t="s">
        <v>48</v>
      </c>
      <c r="ILP39" s="134"/>
      <c r="ILQ39" s="135"/>
      <c r="ILR39" s="126"/>
      <c r="ILS39" s="126"/>
      <c r="ILT39" s="128"/>
      <c r="ILU39" s="130"/>
      <c r="ILV39" s="132"/>
      <c r="ILW39" s="133" t="s">
        <v>48</v>
      </c>
      <c r="ILX39" s="134"/>
      <c r="ILY39" s="135"/>
      <c r="ILZ39" s="126"/>
      <c r="IMA39" s="126"/>
      <c r="IMB39" s="128"/>
      <c r="IMC39" s="130"/>
      <c r="IMD39" s="132"/>
      <c r="IME39" s="133" t="s">
        <v>48</v>
      </c>
      <c r="IMF39" s="134"/>
      <c r="IMG39" s="135"/>
      <c r="IMH39" s="126"/>
      <c r="IMI39" s="126"/>
      <c r="IMJ39" s="128"/>
      <c r="IMK39" s="130"/>
      <c r="IML39" s="132"/>
      <c r="IMM39" s="133" t="s">
        <v>48</v>
      </c>
      <c r="IMN39" s="134"/>
      <c r="IMO39" s="135"/>
      <c r="IMP39" s="126"/>
      <c r="IMQ39" s="126"/>
      <c r="IMR39" s="128"/>
      <c r="IMS39" s="130"/>
      <c r="IMT39" s="132"/>
      <c r="IMU39" s="133" t="s">
        <v>48</v>
      </c>
      <c r="IMV39" s="134"/>
      <c r="IMW39" s="135"/>
      <c r="IMX39" s="126"/>
      <c r="IMY39" s="126"/>
      <c r="IMZ39" s="128"/>
      <c r="INA39" s="130"/>
      <c r="INB39" s="132"/>
      <c r="INC39" s="133" t="s">
        <v>48</v>
      </c>
      <c r="IND39" s="134"/>
      <c r="INE39" s="135"/>
      <c r="INF39" s="126"/>
      <c r="ING39" s="126"/>
      <c r="INH39" s="128"/>
      <c r="INI39" s="130"/>
      <c r="INJ39" s="132"/>
      <c r="INK39" s="133" t="s">
        <v>48</v>
      </c>
      <c r="INL39" s="134"/>
      <c r="INM39" s="135"/>
      <c r="INN39" s="126"/>
      <c r="INO39" s="126"/>
      <c r="INP39" s="128"/>
      <c r="INQ39" s="130"/>
      <c r="INR39" s="132"/>
      <c r="INS39" s="133" t="s">
        <v>48</v>
      </c>
      <c r="INT39" s="134"/>
      <c r="INU39" s="135"/>
      <c r="INV39" s="126"/>
      <c r="INW39" s="126"/>
      <c r="INX39" s="128"/>
      <c r="INY39" s="130"/>
      <c r="INZ39" s="132"/>
      <c r="IOA39" s="133" t="s">
        <v>48</v>
      </c>
      <c r="IOB39" s="134"/>
      <c r="IOC39" s="135"/>
      <c r="IOD39" s="126"/>
      <c r="IOE39" s="126"/>
      <c r="IOF39" s="128"/>
      <c r="IOG39" s="130"/>
      <c r="IOH39" s="132"/>
      <c r="IOI39" s="133" t="s">
        <v>48</v>
      </c>
      <c r="IOJ39" s="134"/>
      <c r="IOK39" s="135"/>
      <c r="IOL39" s="126"/>
      <c r="IOM39" s="126"/>
      <c r="ION39" s="128"/>
      <c r="IOO39" s="130"/>
      <c r="IOP39" s="132"/>
      <c r="IOQ39" s="133" t="s">
        <v>48</v>
      </c>
      <c r="IOR39" s="134"/>
      <c r="IOS39" s="135"/>
      <c r="IOT39" s="126"/>
      <c r="IOU39" s="126"/>
      <c r="IOV39" s="128"/>
      <c r="IOW39" s="130"/>
      <c r="IOX39" s="132"/>
      <c r="IOY39" s="133" t="s">
        <v>48</v>
      </c>
      <c r="IOZ39" s="134"/>
      <c r="IPA39" s="135"/>
      <c r="IPB39" s="126"/>
      <c r="IPC39" s="126"/>
      <c r="IPD39" s="128"/>
      <c r="IPE39" s="130"/>
      <c r="IPF39" s="132"/>
      <c r="IPG39" s="133" t="s">
        <v>48</v>
      </c>
      <c r="IPH39" s="134"/>
      <c r="IPI39" s="135"/>
      <c r="IPJ39" s="126"/>
      <c r="IPK39" s="126"/>
      <c r="IPL39" s="128"/>
      <c r="IPM39" s="130"/>
      <c r="IPN39" s="132"/>
      <c r="IPO39" s="133" t="s">
        <v>48</v>
      </c>
      <c r="IPP39" s="134"/>
      <c r="IPQ39" s="135"/>
      <c r="IPR39" s="126"/>
      <c r="IPS39" s="126"/>
      <c r="IPT39" s="128"/>
      <c r="IPU39" s="130"/>
      <c r="IPV39" s="132"/>
      <c r="IPW39" s="133" t="s">
        <v>48</v>
      </c>
      <c r="IPX39" s="134"/>
      <c r="IPY39" s="135"/>
      <c r="IPZ39" s="126"/>
      <c r="IQA39" s="126"/>
      <c r="IQB39" s="128"/>
      <c r="IQC39" s="130"/>
      <c r="IQD39" s="132"/>
      <c r="IQE39" s="133" t="s">
        <v>48</v>
      </c>
      <c r="IQF39" s="134"/>
      <c r="IQG39" s="135"/>
      <c r="IQH39" s="126"/>
      <c r="IQI39" s="126"/>
      <c r="IQJ39" s="128"/>
      <c r="IQK39" s="130"/>
      <c r="IQL39" s="132"/>
      <c r="IQM39" s="133" t="s">
        <v>48</v>
      </c>
      <c r="IQN39" s="134"/>
      <c r="IQO39" s="135"/>
      <c r="IQP39" s="126"/>
      <c r="IQQ39" s="126"/>
      <c r="IQR39" s="128"/>
      <c r="IQS39" s="130"/>
      <c r="IQT39" s="132"/>
      <c r="IQU39" s="133" t="s">
        <v>48</v>
      </c>
      <c r="IQV39" s="134"/>
      <c r="IQW39" s="135"/>
      <c r="IQX39" s="126"/>
      <c r="IQY39" s="126"/>
      <c r="IQZ39" s="128"/>
      <c r="IRA39" s="130"/>
      <c r="IRB39" s="132"/>
      <c r="IRC39" s="133" t="s">
        <v>48</v>
      </c>
      <c r="IRD39" s="134"/>
      <c r="IRE39" s="135"/>
      <c r="IRF39" s="126"/>
      <c r="IRG39" s="126"/>
      <c r="IRH39" s="128"/>
      <c r="IRI39" s="130"/>
      <c r="IRJ39" s="132"/>
      <c r="IRK39" s="133" t="s">
        <v>48</v>
      </c>
      <c r="IRL39" s="134"/>
      <c r="IRM39" s="135"/>
      <c r="IRN39" s="126"/>
      <c r="IRO39" s="126"/>
      <c r="IRP39" s="128"/>
      <c r="IRQ39" s="130"/>
      <c r="IRR39" s="132"/>
      <c r="IRS39" s="133" t="s">
        <v>48</v>
      </c>
      <c r="IRT39" s="134"/>
      <c r="IRU39" s="135"/>
      <c r="IRV39" s="126"/>
      <c r="IRW39" s="126"/>
      <c r="IRX39" s="128"/>
      <c r="IRY39" s="130"/>
      <c r="IRZ39" s="132"/>
      <c r="ISA39" s="133" t="s">
        <v>48</v>
      </c>
      <c r="ISB39" s="134"/>
      <c r="ISC39" s="135"/>
      <c r="ISD39" s="126"/>
      <c r="ISE39" s="126"/>
      <c r="ISF39" s="128"/>
      <c r="ISG39" s="130"/>
      <c r="ISH39" s="132"/>
      <c r="ISI39" s="133" t="s">
        <v>48</v>
      </c>
      <c r="ISJ39" s="134"/>
      <c r="ISK39" s="135"/>
      <c r="ISL39" s="126"/>
      <c r="ISM39" s="126"/>
      <c r="ISN39" s="128"/>
      <c r="ISO39" s="130"/>
      <c r="ISP39" s="132"/>
      <c r="ISQ39" s="133" t="s">
        <v>48</v>
      </c>
      <c r="ISR39" s="134"/>
      <c r="ISS39" s="135"/>
      <c r="IST39" s="126"/>
      <c r="ISU39" s="126"/>
      <c r="ISV39" s="128"/>
      <c r="ISW39" s="130"/>
      <c r="ISX39" s="132"/>
      <c r="ISY39" s="133" t="s">
        <v>48</v>
      </c>
      <c r="ISZ39" s="134"/>
      <c r="ITA39" s="135"/>
      <c r="ITB39" s="126"/>
      <c r="ITC39" s="126"/>
      <c r="ITD39" s="128"/>
      <c r="ITE39" s="130"/>
      <c r="ITF39" s="132"/>
      <c r="ITG39" s="133" t="s">
        <v>48</v>
      </c>
      <c r="ITH39" s="134"/>
      <c r="ITI39" s="135"/>
      <c r="ITJ39" s="126"/>
      <c r="ITK39" s="126"/>
      <c r="ITL39" s="128"/>
      <c r="ITM39" s="130"/>
      <c r="ITN39" s="132"/>
      <c r="ITO39" s="133" t="s">
        <v>48</v>
      </c>
      <c r="ITP39" s="134"/>
      <c r="ITQ39" s="135"/>
      <c r="ITR39" s="126"/>
      <c r="ITS39" s="126"/>
      <c r="ITT39" s="128"/>
      <c r="ITU39" s="130"/>
      <c r="ITV39" s="132"/>
      <c r="ITW39" s="133" t="s">
        <v>48</v>
      </c>
      <c r="ITX39" s="134"/>
      <c r="ITY39" s="135"/>
      <c r="ITZ39" s="126"/>
      <c r="IUA39" s="126"/>
      <c r="IUB39" s="128"/>
      <c r="IUC39" s="130"/>
      <c r="IUD39" s="132"/>
      <c r="IUE39" s="133" t="s">
        <v>48</v>
      </c>
      <c r="IUF39" s="134"/>
      <c r="IUG39" s="135"/>
      <c r="IUH39" s="126"/>
      <c r="IUI39" s="126"/>
      <c r="IUJ39" s="128"/>
      <c r="IUK39" s="130"/>
      <c r="IUL39" s="132"/>
      <c r="IUM39" s="133" t="s">
        <v>48</v>
      </c>
      <c r="IUN39" s="134"/>
      <c r="IUO39" s="135"/>
      <c r="IUP39" s="126"/>
      <c r="IUQ39" s="126"/>
      <c r="IUR39" s="128"/>
      <c r="IUS39" s="130"/>
      <c r="IUT39" s="132"/>
      <c r="IUU39" s="133" t="s">
        <v>48</v>
      </c>
      <c r="IUV39" s="134"/>
      <c r="IUW39" s="135"/>
      <c r="IUX39" s="126"/>
      <c r="IUY39" s="126"/>
      <c r="IUZ39" s="128"/>
      <c r="IVA39" s="130"/>
      <c r="IVB39" s="132"/>
      <c r="IVC39" s="133" t="s">
        <v>48</v>
      </c>
      <c r="IVD39" s="134"/>
      <c r="IVE39" s="135"/>
      <c r="IVF39" s="126"/>
      <c r="IVG39" s="126"/>
      <c r="IVH39" s="128"/>
      <c r="IVI39" s="130"/>
      <c r="IVJ39" s="132"/>
      <c r="IVK39" s="133" t="s">
        <v>48</v>
      </c>
      <c r="IVL39" s="134"/>
      <c r="IVM39" s="135"/>
      <c r="IVN39" s="126"/>
      <c r="IVO39" s="126"/>
      <c r="IVP39" s="128"/>
      <c r="IVQ39" s="130"/>
      <c r="IVR39" s="132"/>
      <c r="IVS39" s="133" t="s">
        <v>48</v>
      </c>
      <c r="IVT39" s="134"/>
      <c r="IVU39" s="135"/>
      <c r="IVV39" s="126"/>
      <c r="IVW39" s="126"/>
      <c r="IVX39" s="128"/>
      <c r="IVY39" s="130"/>
      <c r="IVZ39" s="132"/>
      <c r="IWA39" s="133" t="s">
        <v>48</v>
      </c>
      <c r="IWB39" s="134"/>
      <c r="IWC39" s="135"/>
      <c r="IWD39" s="126"/>
      <c r="IWE39" s="126"/>
      <c r="IWF39" s="128"/>
      <c r="IWG39" s="130"/>
      <c r="IWH39" s="132"/>
      <c r="IWI39" s="133" t="s">
        <v>48</v>
      </c>
      <c r="IWJ39" s="134"/>
      <c r="IWK39" s="135"/>
      <c r="IWL39" s="126"/>
      <c r="IWM39" s="126"/>
      <c r="IWN39" s="128"/>
      <c r="IWO39" s="130"/>
      <c r="IWP39" s="132"/>
      <c r="IWQ39" s="133" t="s">
        <v>48</v>
      </c>
      <c r="IWR39" s="134"/>
      <c r="IWS39" s="135"/>
      <c r="IWT39" s="126"/>
      <c r="IWU39" s="126"/>
      <c r="IWV39" s="128"/>
      <c r="IWW39" s="130"/>
      <c r="IWX39" s="132"/>
      <c r="IWY39" s="133" t="s">
        <v>48</v>
      </c>
      <c r="IWZ39" s="134"/>
      <c r="IXA39" s="135"/>
      <c r="IXB39" s="126"/>
      <c r="IXC39" s="126"/>
      <c r="IXD39" s="128"/>
      <c r="IXE39" s="130"/>
      <c r="IXF39" s="132"/>
      <c r="IXG39" s="133" t="s">
        <v>48</v>
      </c>
      <c r="IXH39" s="134"/>
      <c r="IXI39" s="135"/>
      <c r="IXJ39" s="126"/>
      <c r="IXK39" s="126"/>
      <c r="IXL39" s="128"/>
      <c r="IXM39" s="130"/>
      <c r="IXN39" s="132"/>
      <c r="IXO39" s="133" t="s">
        <v>48</v>
      </c>
      <c r="IXP39" s="134"/>
      <c r="IXQ39" s="135"/>
      <c r="IXR39" s="126"/>
      <c r="IXS39" s="126"/>
      <c r="IXT39" s="128"/>
      <c r="IXU39" s="130"/>
      <c r="IXV39" s="132"/>
      <c r="IXW39" s="133" t="s">
        <v>48</v>
      </c>
      <c r="IXX39" s="134"/>
      <c r="IXY39" s="135"/>
      <c r="IXZ39" s="126"/>
      <c r="IYA39" s="126"/>
      <c r="IYB39" s="128"/>
      <c r="IYC39" s="130"/>
      <c r="IYD39" s="132"/>
      <c r="IYE39" s="133" t="s">
        <v>48</v>
      </c>
      <c r="IYF39" s="134"/>
      <c r="IYG39" s="135"/>
      <c r="IYH39" s="126"/>
      <c r="IYI39" s="126"/>
      <c r="IYJ39" s="128"/>
      <c r="IYK39" s="130"/>
      <c r="IYL39" s="132"/>
      <c r="IYM39" s="133" t="s">
        <v>48</v>
      </c>
      <c r="IYN39" s="134"/>
      <c r="IYO39" s="135"/>
      <c r="IYP39" s="126"/>
      <c r="IYQ39" s="126"/>
      <c r="IYR39" s="128"/>
      <c r="IYS39" s="130"/>
      <c r="IYT39" s="132"/>
      <c r="IYU39" s="133" t="s">
        <v>48</v>
      </c>
      <c r="IYV39" s="134"/>
      <c r="IYW39" s="135"/>
      <c r="IYX39" s="126"/>
      <c r="IYY39" s="126"/>
      <c r="IYZ39" s="128"/>
      <c r="IZA39" s="130"/>
      <c r="IZB39" s="132"/>
      <c r="IZC39" s="133" t="s">
        <v>48</v>
      </c>
      <c r="IZD39" s="134"/>
      <c r="IZE39" s="135"/>
      <c r="IZF39" s="126"/>
      <c r="IZG39" s="126"/>
      <c r="IZH39" s="128"/>
      <c r="IZI39" s="130"/>
      <c r="IZJ39" s="132"/>
      <c r="IZK39" s="133" t="s">
        <v>48</v>
      </c>
      <c r="IZL39" s="134"/>
      <c r="IZM39" s="135"/>
      <c r="IZN39" s="126"/>
      <c r="IZO39" s="126"/>
      <c r="IZP39" s="128"/>
      <c r="IZQ39" s="130"/>
      <c r="IZR39" s="132"/>
      <c r="IZS39" s="133" t="s">
        <v>48</v>
      </c>
      <c r="IZT39" s="134"/>
      <c r="IZU39" s="135"/>
      <c r="IZV39" s="126"/>
      <c r="IZW39" s="126"/>
      <c r="IZX39" s="128"/>
      <c r="IZY39" s="130"/>
      <c r="IZZ39" s="132"/>
      <c r="JAA39" s="133" t="s">
        <v>48</v>
      </c>
      <c r="JAB39" s="134"/>
      <c r="JAC39" s="135"/>
      <c r="JAD39" s="126"/>
      <c r="JAE39" s="126"/>
      <c r="JAF39" s="128"/>
      <c r="JAG39" s="130"/>
      <c r="JAH39" s="132"/>
      <c r="JAI39" s="133" t="s">
        <v>48</v>
      </c>
      <c r="JAJ39" s="134"/>
      <c r="JAK39" s="135"/>
      <c r="JAL39" s="126"/>
      <c r="JAM39" s="126"/>
      <c r="JAN39" s="128"/>
      <c r="JAO39" s="130"/>
      <c r="JAP39" s="132"/>
      <c r="JAQ39" s="133" t="s">
        <v>48</v>
      </c>
      <c r="JAR39" s="134"/>
      <c r="JAS39" s="135"/>
      <c r="JAT39" s="126"/>
      <c r="JAU39" s="126"/>
      <c r="JAV39" s="128"/>
      <c r="JAW39" s="130"/>
      <c r="JAX39" s="132"/>
      <c r="JAY39" s="133" t="s">
        <v>48</v>
      </c>
      <c r="JAZ39" s="134"/>
      <c r="JBA39" s="135"/>
      <c r="JBB39" s="126"/>
      <c r="JBC39" s="126"/>
      <c r="JBD39" s="128"/>
      <c r="JBE39" s="130"/>
      <c r="JBF39" s="132"/>
      <c r="JBG39" s="133" t="s">
        <v>48</v>
      </c>
      <c r="JBH39" s="134"/>
      <c r="JBI39" s="135"/>
      <c r="JBJ39" s="126"/>
      <c r="JBK39" s="126"/>
      <c r="JBL39" s="128"/>
      <c r="JBM39" s="130"/>
      <c r="JBN39" s="132"/>
      <c r="JBO39" s="133" t="s">
        <v>48</v>
      </c>
      <c r="JBP39" s="134"/>
      <c r="JBQ39" s="135"/>
      <c r="JBR39" s="126"/>
      <c r="JBS39" s="126"/>
      <c r="JBT39" s="128"/>
      <c r="JBU39" s="130"/>
      <c r="JBV39" s="132"/>
      <c r="JBW39" s="133" t="s">
        <v>48</v>
      </c>
      <c r="JBX39" s="134"/>
      <c r="JBY39" s="135"/>
      <c r="JBZ39" s="126"/>
      <c r="JCA39" s="126"/>
      <c r="JCB39" s="128"/>
      <c r="JCC39" s="130"/>
      <c r="JCD39" s="132"/>
      <c r="JCE39" s="133" t="s">
        <v>48</v>
      </c>
      <c r="JCF39" s="134"/>
      <c r="JCG39" s="135"/>
      <c r="JCH39" s="126"/>
      <c r="JCI39" s="126"/>
      <c r="JCJ39" s="128"/>
      <c r="JCK39" s="130"/>
      <c r="JCL39" s="132"/>
      <c r="JCM39" s="133" t="s">
        <v>48</v>
      </c>
      <c r="JCN39" s="134"/>
      <c r="JCO39" s="135"/>
      <c r="JCP39" s="126"/>
      <c r="JCQ39" s="126"/>
      <c r="JCR39" s="128"/>
      <c r="JCS39" s="130"/>
      <c r="JCT39" s="132"/>
      <c r="JCU39" s="133" t="s">
        <v>48</v>
      </c>
      <c r="JCV39" s="134"/>
      <c r="JCW39" s="135"/>
      <c r="JCX39" s="126"/>
      <c r="JCY39" s="126"/>
      <c r="JCZ39" s="128"/>
      <c r="JDA39" s="130"/>
      <c r="JDB39" s="132"/>
      <c r="JDC39" s="133" t="s">
        <v>48</v>
      </c>
      <c r="JDD39" s="134"/>
      <c r="JDE39" s="135"/>
      <c r="JDF39" s="126"/>
      <c r="JDG39" s="126"/>
      <c r="JDH39" s="128"/>
      <c r="JDI39" s="130"/>
      <c r="JDJ39" s="132"/>
      <c r="JDK39" s="133" t="s">
        <v>48</v>
      </c>
      <c r="JDL39" s="134"/>
      <c r="JDM39" s="135"/>
      <c r="JDN39" s="126"/>
      <c r="JDO39" s="126"/>
      <c r="JDP39" s="128"/>
      <c r="JDQ39" s="130"/>
      <c r="JDR39" s="132"/>
      <c r="JDS39" s="133" t="s">
        <v>48</v>
      </c>
      <c r="JDT39" s="134"/>
      <c r="JDU39" s="135"/>
      <c r="JDV39" s="126"/>
      <c r="JDW39" s="126"/>
      <c r="JDX39" s="128"/>
      <c r="JDY39" s="130"/>
      <c r="JDZ39" s="132"/>
      <c r="JEA39" s="133" t="s">
        <v>48</v>
      </c>
      <c r="JEB39" s="134"/>
      <c r="JEC39" s="135"/>
      <c r="JED39" s="126"/>
      <c r="JEE39" s="126"/>
      <c r="JEF39" s="128"/>
      <c r="JEG39" s="130"/>
      <c r="JEH39" s="132"/>
      <c r="JEI39" s="133" t="s">
        <v>48</v>
      </c>
      <c r="JEJ39" s="134"/>
      <c r="JEK39" s="135"/>
      <c r="JEL39" s="126"/>
      <c r="JEM39" s="126"/>
      <c r="JEN39" s="128"/>
      <c r="JEO39" s="130"/>
      <c r="JEP39" s="132"/>
      <c r="JEQ39" s="133" t="s">
        <v>48</v>
      </c>
      <c r="JER39" s="134"/>
      <c r="JES39" s="135"/>
      <c r="JET39" s="126"/>
      <c r="JEU39" s="126"/>
      <c r="JEV39" s="128"/>
      <c r="JEW39" s="130"/>
      <c r="JEX39" s="132"/>
      <c r="JEY39" s="133" t="s">
        <v>48</v>
      </c>
      <c r="JEZ39" s="134"/>
      <c r="JFA39" s="135"/>
      <c r="JFB39" s="126"/>
      <c r="JFC39" s="126"/>
      <c r="JFD39" s="128"/>
      <c r="JFE39" s="130"/>
      <c r="JFF39" s="132"/>
      <c r="JFG39" s="133" t="s">
        <v>48</v>
      </c>
      <c r="JFH39" s="134"/>
      <c r="JFI39" s="135"/>
      <c r="JFJ39" s="126"/>
      <c r="JFK39" s="126"/>
      <c r="JFL39" s="128"/>
      <c r="JFM39" s="130"/>
      <c r="JFN39" s="132"/>
      <c r="JFO39" s="133" t="s">
        <v>48</v>
      </c>
      <c r="JFP39" s="134"/>
      <c r="JFQ39" s="135"/>
      <c r="JFR39" s="126"/>
      <c r="JFS39" s="126"/>
      <c r="JFT39" s="128"/>
      <c r="JFU39" s="130"/>
      <c r="JFV39" s="132"/>
      <c r="JFW39" s="133" t="s">
        <v>48</v>
      </c>
      <c r="JFX39" s="134"/>
      <c r="JFY39" s="135"/>
      <c r="JFZ39" s="126"/>
      <c r="JGA39" s="126"/>
      <c r="JGB39" s="128"/>
      <c r="JGC39" s="130"/>
      <c r="JGD39" s="132"/>
      <c r="JGE39" s="133" t="s">
        <v>48</v>
      </c>
      <c r="JGF39" s="134"/>
      <c r="JGG39" s="135"/>
      <c r="JGH39" s="126"/>
      <c r="JGI39" s="126"/>
      <c r="JGJ39" s="128"/>
      <c r="JGK39" s="130"/>
      <c r="JGL39" s="132"/>
      <c r="JGM39" s="133" t="s">
        <v>48</v>
      </c>
      <c r="JGN39" s="134"/>
      <c r="JGO39" s="135"/>
      <c r="JGP39" s="126"/>
      <c r="JGQ39" s="126"/>
      <c r="JGR39" s="128"/>
      <c r="JGS39" s="130"/>
      <c r="JGT39" s="132"/>
      <c r="JGU39" s="133" t="s">
        <v>48</v>
      </c>
      <c r="JGV39" s="134"/>
      <c r="JGW39" s="135"/>
      <c r="JGX39" s="126"/>
      <c r="JGY39" s="126"/>
      <c r="JGZ39" s="128"/>
      <c r="JHA39" s="130"/>
      <c r="JHB39" s="132"/>
      <c r="JHC39" s="133" t="s">
        <v>48</v>
      </c>
      <c r="JHD39" s="134"/>
      <c r="JHE39" s="135"/>
      <c r="JHF39" s="126"/>
      <c r="JHG39" s="126"/>
      <c r="JHH39" s="128"/>
      <c r="JHI39" s="130"/>
      <c r="JHJ39" s="132"/>
      <c r="JHK39" s="133" t="s">
        <v>48</v>
      </c>
      <c r="JHL39" s="134"/>
      <c r="JHM39" s="135"/>
      <c r="JHN39" s="126"/>
      <c r="JHO39" s="126"/>
      <c r="JHP39" s="128"/>
      <c r="JHQ39" s="130"/>
      <c r="JHR39" s="132"/>
      <c r="JHS39" s="133" t="s">
        <v>48</v>
      </c>
      <c r="JHT39" s="134"/>
      <c r="JHU39" s="135"/>
      <c r="JHV39" s="126"/>
      <c r="JHW39" s="126"/>
      <c r="JHX39" s="128"/>
      <c r="JHY39" s="130"/>
      <c r="JHZ39" s="132"/>
      <c r="JIA39" s="133" t="s">
        <v>48</v>
      </c>
      <c r="JIB39" s="134"/>
      <c r="JIC39" s="135"/>
      <c r="JID39" s="126"/>
      <c r="JIE39" s="126"/>
      <c r="JIF39" s="128"/>
      <c r="JIG39" s="130"/>
      <c r="JIH39" s="132"/>
      <c r="JII39" s="133" t="s">
        <v>48</v>
      </c>
      <c r="JIJ39" s="134"/>
      <c r="JIK39" s="135"/>
      <c r="JIL39" s="126"/>
      <c r="JIM39" s="126"/>
      <c r="JIN39" s="128"/>
      <c r="JIO39" s="130"/>
      <c r="JIP39" s="132"/>
      <c r="JIQ39" s="133" t="s">
        <v>48</v>
      </c>
      <c r="JIR39" s="134"/>
      <c r="JIS39" s="135"/>
      <c r="JIT39" s="126"/>
      <c r="JIU39" s="126"/>
      <c r="JIV39" s="128"/>
      <c r="JIW39" s="130"/>
      <c r="JIX39" s="132"/>
      <c r="JIY39" s="133" t="s">
        <v>48</v>
      </c>
      <c r="JIZ39" s="134"/>
      <c r="JJA39" s="135"/>
      <c r="JJB39" s="126"/>
      <c r="JJC39" s="126"/>
      <c r="JJD39" s="128"/>
      <c r="JJE39" s="130"/>
      <c r="JJF39" s="132"/>
      <c r="JJG39" s="133" t="s">
        <v>48</v>
      </c>
      <c r="JJH39" s="134"/>
      <c r="JJI39" s="135"/>
      <c r="JJJ39" s="126"/>
      <c r="JJK39" s="126"/>
      <c r="JJL39" s="128"/>
      <c r="JJM39" s="130"/>
      <c r="JJN39" s="132"/>
      <c r="JJO39" s="133" t="s">
        <v>48</v>
      </c>
      <c r="JJP39" s="134"/>
      <c r="JJQ39" s="135"/>
      <c r="JJR39" s="126"/>
      <c r="JJS39" s="126"/>
      <c r="JJT39" s="128"/>
      <c r="JJU39" s="130"/>
      <c r="JJV39" s="132"/>
      <c r="JJW39" s="133" t="s">
        <v>48</v>
      </c>
      <c r="JJX39" s="134"/>
      <c r="JJY39" s="135"/>
      <c r="JJZ39" s="126"/>
      <c r="JKA39" s="126"/>
      <c r="JKB39" s="128"/>
      <c r="JKC39" s="130"/>
      <c r="JKD39" s="132"/>
      <c r="JKE39" s="133" t="s">
        <v>48</v>
      </c>
      <c r="JKF39" s="134"/>
      <c r="JKG39" s="135"/>
      <c r="JKH39" s="126"/>
      <c r="JKI39" s="126"/>
      <c r="JKJ39" s="128"/>
      <c r="JKK39" s="130"/>
      <c r="JKL39" s="132"/>
      <c r="JKM39" s="133" t="s">
        <v>48</v>
      </c>
      <c r="JKN39" s="134"/>
      <c r="JKO39" s="135"/>
      <c r="JKP39" s="126"/>
      <c r="JKQ39" s="126"/>
      <c r="JKR39" s="128"/>
      <c r="JKS39" s="130"/>
      <c r="JKT39" s="132"/>
      <c r="JKU39" s="133" t="s">
        <v>48</v>
      </c>
      <c r="JKV39" s="134"/>
      <c r="JKW39" s="135"/>
      <c r="JKX39" s="126"/>
      <c r="JKY39" s="126"/>
      <c r="JKZ39" s="128"/>
      <c r="JLA39" s="130"/>
      <c r="JLB39" s="132"/>
      <c r="JLC39" s="133" t="s">
        <v>48</v>
      </c>
      <c r="JLD39" s="134"/>
      <c r="JLE39" s="135"/>
      <c r="JLF39" s="126"/>
      <c r="JLG39" s="126"/>
      <c r="JLH39" s="128"/>
      <c r="JLI39" s="130"/>
      <c r="JLJ39" s="132"/>
      <c r="JLK39" s="133" t="s">
        <v>48</v>
      </c>
      <c r="JLL39" s="134"/>
      <c r="JLM39" s="135"/>
      <c r="JLN39" s="126"/>
      <c r="JLO39" s="126"/>
      <c r="JLP39" s="128"/>
      <c r="JLQ39" s="130"/>
      <c r="JLR39" s="132"/>
      <c r="JLS39" s="133" t="s">
        <v>48</v>
      </c>
      <c r="JLT39" s="134"/>
      <c r="JLU39" s="135"/>
      <c r="JLV39" s="126"/>
      <c r="JLW39" s="126"/>
      <c r="JLX39" s="128"/>
      <c r="JLY39" s="130"/>
      <c r="JLZ39" s="132"/>
      <c r="JMA39" s="133" t="s">
        <v>48</v>
      </c>
      <c r="JMB39" s="134"/>
      <c r="JMC39" s="135"/>
      <c r="JMD39" s="126"/>
      <c r="JME39" s="126"/>
      <c r="JMF39" s="128"/>
      <c r="JMG39" s="130"/>
      <c r="JMH39" s="132"/>
      <c r="JMI39" s="133" t="s">
        <v>48</v>
      </c>
      <c r="JMJ39" s="134"/>
      <c r="JMK39" s="135"/>
      <c r="JML39" s="126"/>
      <c r="JMM39" s="126"/>
      <c r="JMN39" s="128"/>
      <c r="JMO39" s="130"/>
      <c r="JMP39" s="132"/>
      <c r="JMQ39" s="133" t="s">
        <v>48</v>
      </c>
      <c r="JMR39" s="134"/>
      <c r="JMS39" s="135"/>
      <c r="JMT39" s="126"/>
      <c r="JMU39" s="126"/>
      <c r="JMV39" s="128"/>
      <c r="JMW39" s="130"/>
      <c r="JMX39" s="132"/>
      <c r="JMY39" s="133" t="s">
        <v>48</v>
      </c>
      <c r="JMZ39" s="134"/>
      <c r="JNA39" s="135"/>
      <c r="JNB39" s="126"/>
      <c r="JNC39" s="126"/>
      <c r="JND39" s="128"/>
      <c r="JNE39" s="130"/>
      <c r="JNF39" s="132"/>
      <c r="JNG39" s="133" t="s">
        <v>48</v>
      </c>
      <c r="JNH39" s="134"/>
      <c r="JNI39" s="135"/>
      <c r="JNJ39" s="126"/>
      <c r="JNK39" s="126"/>
      <c r="JNL39" s="128"/>
      <c r="JNM39" s="130"/>
      <c r="JNN39" s="132"/>
      <c r="JNO39" s="133" t="s">
        <v>48</v>
      </c>
      <c r="JNP39" s="134"/>
      <c r="JNQ39" s="135"/>
      <c r="JNR39" s="126"/>
      <c r="JNS39" s="126"/>
      <c r="JNT39" s="128"/>
      <c r="JNU39" s="130"/>
      <c r="JNV39" s="132"/>
      <c r="JNW39" s="133" t="s">
        <v>48</v>
      </c>
      <c r="JNX39" s="134"/>
      <c r="JNY39" s="135"/>
      <c r="JNZ39" s="126"/>
      <c r="JOA39" s="126"/>
      <c r="JOB39" s="128"/>
      <c r="JOC39" s="130"/>
      <c r="JOD39" s="132"/>
      <c r="JOE39" s="133" t="s">
        <v>48</v>
      </c>
      <c r="JOF39" s="134"/>
      <c r="JOG39" s="135"/>
      <c r="JOH39" s="126"/>
      <c r="JOI39" s="126"/>
      <c r="JOJ39" s="128"/>
      <c r="JOK39" s="130"/>
      <c r="JOL39" s="132"/>
      <c r="JOM39" s="133" t="s">
        <v>48</v>
      </c>
      <c r="JON39" s="134"/>
      <c r="JOO39" s="135"/>
      <c r="JOP39" s="126"/>
      <c r="JOQ39" s="126"/>
      <c r="JOR39" s="128"/>
      <c r="JOS39" s="130"/>
      <c r="JOT39" s="132"/>
      <c r="JOU39" s="133" t="s">
        <v>48</v>
      </c>
      <c r="JOV39" s="134"/>
      <c r="JOW39" s="135"/>
      <c r="JOX39" s="126"/>
      <c r="JOY39" s="126"/>
      <c r="JOZ39" s="128"/>
      <c r="JPA39" s="130"/>
      <c r="JPB39" s="132"/>
      <c r="JPC39" s="133" t="s">
        <v>48</v>
      </c>
      <c r="JPD39" s="134"/>
      <c r="JPE39" s="135"/>
      <c r="JPF39" s="126"/>
      <c r="JPG39" s="126"/>
      <c r="JPH39" s="128"/>
      <c r="JPI39" s="130"/>
      <c r="JPJ39" s="132"/>
      <c r="JPK39" s="133" t="s">
        <v>48</v>
      </c>
      <c r="JPL39" s="134"/>
      <c r="JPM39" s="135"/>
      <c r="JPN39" s="126"/>
      <c r="JPO39" s="126"/>
      <c r="JPP39" s="128"/>
      <c r="JPQ39" s="130"/>
      <c r="JPR39" s="132"/>
      <c r="JPS39" s="133" t="s">
        <v>48</v>
      </c>
      <c r="JPT39" s="134"/>
      <c r="JPU39" s="135"/>
      <c r="JPV39" s="126"/>
      <c r="JPW39" s="126"/>
      <c r="JPX39" s="128"/>
      <c r="JPY39" s="130"/>
      <c r="JPZ39" s="132"/>
      <c r="JQA39" s="133" t="s">
        <v>48</v>
      </c>
      <c r="JQB39" s="134"/>
      <c r="JQC39" s="135"/>
      <c r="JQD39" s="126"/>
      <c r="JQE39" s="126"/>
      <c r="JQF39" s="128"/>
      <c r="JQG39" s="130"/>
      <c r="JQH39" s="132"/>
      <c r="JQI39" s="133" t="s">
        <v>48</v>
      </c>
      <c r="JQJ39" s="134"/>
      <c r="JQK39" s="135"/>
      <c r="JQL39" s="126"/>
      <c r="JQM39" s="126"/>
      <c r="JQN39" s="128"/>
      <c r="JQO39" s="130"/>
      <c r="JQP39" s="132"/>
      <c r="JQQ39" s="133" t="s">
        <v>48</v>
      </c>
      <c r="JQR39" s="134"/>
      <c r="JQS39" s="135"/>
      <c r="JQT39" s="126"/>
      <c r="JQU39" s="126"/>
      <c r="JQV39" s="128"/>
      <c r="JQW39" s="130"/>
      <c r="JQX39" s="132"/>
      <c r="JQY39" s="133" t="s">
        <v>48</v>
      </c>
      <c r="JQZ39" s="134"/>
      <c r="JRA39" s="135"/>
      <c r="JRB39" s="126"/>
      <c r="JRC39" s="126"/>
      <c r="JRD39" s="128"/>
      <c r="JRE39" s="130"/>
      <c r="JRF39" s="132"/>
      <c r="JRG39" s="133" t="s">
        <v>48</v>
      </c>
      <c r="JRH39" s="134"/>
      <c r="JRI39" s="135"/>
      <c r="JRJ39" s="126"/>
      <c r="JRK39" s="126"/>
      <c r="JRL39" s="128"/>
      <c r="JRM39" s="130"/>
      <c r="JRN39" s="132"/>
      <c r="JRO39" s="133" t="s">
        <v>48</v>
      </c>
      <c r="JRP39" s="134"/>
      <c r="JRQ39" s="135"/>
      <c r="JRR39" s="126"/>
      <c r="JRS39" s="126"/>
      <c r="JRT39" s="128"/>
      <c r="JRU39" s="130"/>
      <c r="JRV39" s="132"/>
      <c r="JRW39" s="133" t="s">
        <v>48</v>
      </c>
      <c r="JRX39" s="134"/>
      <c r="JRY39" s="135"/>
      <c r="JRZ39" s="126"/>
      <c r="JSA39" s="126"/>
      <c r="JSB39" s="128"/>
      <c r="JSC39" s="130"/>
      <c r="JSD39" s="132"/>
      <c r="JSE39" s="133" t="s">
        <v>48</v>
      </c>
      <c r="JSF39" s="134"/>
      <c r="JSG39" s="135"/>
      <c r="JSH39" s="126"/>
      <c r="JSI39" s="126"/>
      <c r="JSJ39" s="128"/>
      <c r="JSK39" s="130"/>
      <c r="JSL39" s="132"/>
      <c r="JSM39" s="133" t="s">
        <v>48</v>
      </c>
      <c r="JSN39" s="134"/>
      <c r="JSO39" s="135"/>
      <c r="JSP39" s="126"/>
      <c r="JSQ39" s="126"/>
      <c r="JSR39" s="128"/>
      <c r="JSS39" s="130"/>
      <c r="JST39" s="132"/>
      <c r="JSU39" s="133" t="s">
        <v>48</v>
      </c>
      <c r="JSV39" s="134"/>
      <c r="JSW39" s="135"/>
      <c r="JSX39" s="126"/>
      <c r="JSY39" s="126"/>
      <c r="JSZ39" s="128"/>
      <c r="JTA39" s="130"/>
      <c r="JTB39" s="132"/>
      <c r="JTC39" s="133" t="s">
        <v>48</v>
      </c>
      <c r="JTD39" s="134"/>
      <c r="JTE39" s="135"/>
      <c r="JTF39" s="126"/>
      <c r="JTG39" s="126"/>
      <c r="JTH39" s="128"/>
      <c r="JTI39" s="130"/>
      <c r="JTJ39" s="132"/>
      <c r="JTK39" s="133" t="s">
        <v>48</v>
      </c>
      <c r="JTL39" s="134"/>
      <c r="JTM39" s="135"/>
      <c r="JTN39" s="126"/>
      <c r="JTO39" s="126"/>
      <c r="JTP39" s="128"/>
      <c r="JTQ39" s="130"/>
      <c r="JTR39" s="132"/>
      <c r="JTS39" s="133" t="s">
        <v>48</v>
      </c>
      <c r="JTT39" s="134"/>
      <c r="JTU39" s="135"/>
      <c r="JTV39" s="126"/>
      <c r="JTW39" s="126"/>
      <c r="JTX39" s="128"/>
      <c r="JTY39" s="130"/>
      <c r="JTZ39" s="132"/>
      <c r="JUA39" s="133" t="s">
        <v>48</v>
      </c>
      <c r="JUB39" s="134"/>
      <c r="JUC39" s="135"/>
      <c r="JUD39" s="126"/>
      <c r="JUE39" s="126"/>
      <c r="JUF39" s="128"/>
      <c r="JUG39" s="130"/>
      <c r="JUH39" s="132"/>
      <c r="JUI39" s="133" t="s">
        <v>48</v>
      </c>
      <c r="JUJ39" s="134"/>
      <c r="JUK39" s="135"/>
      <c r="JUL39" s="126"/>
      <c r="JUM39" s="126"/>
      <c r="JUN39" s="128"/>
      <c r="JUO39" s="130"/>
      <c r="JUP39" s="132"/>
      <c r="JUQ39" s="133" t="s">
        <v>48</v>
      </c>
      <c r="JUR39" s="134"/>
      <c r="JUS39" s="135"/>
      <c r="JUT39" s="126"/>
      <c r="JUU39" s="126"/>
      <c r="JUV39" s="128"/>
      <c r="JUW39" s="130"/>
      <c r="JUX39" s="132"/>
      <c r="JUY39" s="133" t="s">
        <v>48</v>
      </c>
      <c r="JUZ39" s="134"/>
      <c r="JVA39" s="135"/>
      <c r="JVB39" s="126"/>
      <c r="JVC39" s="126"/>
      <c r="JVD39" s="128"/>
      <c r="JVE39" s="130"/>
      <c r="JVF39" s="132"/>
      <c r="JVG39" s="133" t="s">
        <v>48</v>
      </c>
      <c r="JVH39" s="134"/>
      <c r="JVI39" s="135"/>
      <c r="JVJ39" s="126"/>
      <c r="JVK39" s="126"/>
      <c r="JVL39" s="128"/>
      <c r="JVM39" s="130"/>
      <c r="JVN39" s="132"/>
      <c r="JVO39" s="133" t="s">
        <v>48</v>
      </c>
      <c r="JVP39" s="134"/>
      <c r="JVQ39" s="135"/>
      <c r="JVR39" s="126"/>
      <c r="JVS39" s="126"/>
      <c r="JVT39" s="128"/>
      <c r="JVU39" s="130"/>
      <c r="JVV39" s="132"/>
      <c r="JVW39" s="133" t="s">
        <v>48</v>
      </c>
      <c r="JVX39" s="134"/>
      <c r="JVY39" s="135"/>
      <c r="JVZ39" s="126"/>
      <c r="JWA39" s="126"/>
      <c r="JWB39" s="128"/>
      <c r="JWC39" s="130"/>
      <c r="JWD39" s="132"/>
      <c r="JWE39" s="133" t="s">
        <v>48</v>
      </c>
      <c r="JWF39" s="134"/>
      <c r="JWG39" s="135"/>
      <c r="JWH39" s="126"/>
      <c r="JWI39" s="126"/>
      <c r="JWJ39" s="128"/>
      <c r="JWK39" s="130"/>
      <c r="JWL39" s="132"/>
      <c r="JWM39" s="133" t="s">
        <v>48</v>
      </c>
      <c r="JWN39" s="134"/>
      <c r="JWO39" s="135"/>
      <c r="JWP39" s="126"/>
      <c r="JWQ39" s="126"/>
      <c r="JWR39" s="128"/>
      <c r="JWS39" s="130"/>
      <c r="JWT39" s="132"/>
      <c r="JWU39" s="133" t="s">
        <v>48</v>
      </c>
      <c r="JWV39" s="134"/>
      <c r="JWW39" s="135"/>
      <c r="JWX39" s="126"/>
      <c r="JWY39" s="126"/>
      <c r="JWZ39" s="128"/>
      <c r="JXA39" s="130"/>
      <c r="JXB39" s="132"/>
      <c r="JXC39" s="133" t="s">
        <v>48</v>
      </c>
      <c r="JXD39" s="134"/>
      <c r="JXE39" s="135"/>
      <c r="JXF39" s="126"/>
      <c r="JXG39" s="126"/>
      <c r="JXH39" s="128"/>
      <c r="JXI39" s="130"/>
      <c r="JXJ39" s="132"/>
      <c r="JXK39" s="133" t="s">
        <v>48</v>
      </c>
      <c r="JXL39" s="134"/>
      <c r="JXM39" s="135"/>
      <c r="JXN39" s="126"/>
      <c r="JXO39" s="126"/>
      <c r="JXP39" s="128"/>
      <c r="JXQ39" s="130"/>
      <c r="JXR39" s="132"/>
      <c r="JXS39" s="133" t="s">
        <v>48</v>
      </c>
      <c r="JXT39" s="134"/>
      <c r="JXU39" s="135"/>
      <c r="JXV39" s="126"/>
      <c r="JXW39" s="126"/>
      <c r="JXX39" s="128"/>
      <c r="JXY39" s="130"/>
      <c r="JXZ39" s="132"/>
      <c r="JYA39" s="133" t="s">
        <v>48</v>
      </c>
      <c r="JYB39" s="134"/>
      <c r="JYC39" s="135"/>
      <c r="JYD39" s="126"/>
      <c r="JYE39" s="126"/>
      <c r="JYF39" s="128"/>
      <c r="JYG39" s="130"/>
      <c r="JYH39" s="132"/>
      <c r="JYI39" s="133" t="s">
        <v>48</v>
      </c>
      <c r="JYJ39" s="134"/>
      <c r="JYK39" s="135"/>
      <c r="JYL39" s="126"/>
      <c r="JYM39" s="126"/>
      <c r="JYN39" s="128"/>
      <c r="JYO39" s="130"/>
      <c r="JYP39" s="132"/>
      <c r="JYQ39" s="133" t="s">
        <v>48</v>
      </c>
      <c r="JYR39" s="134"/>
      <c r="JYS39" s="135"/>
      <c r="JYT39" s="126"/>
      <c r="JYU39" s="126"/>
      <c r="JYV39" s="128"/>
      <c r="JYW39" s="130"/>
      <c r="JYX39" s="132"/>
      <c r="JYY39" s="133" t="s">
        <v>48</v>
      </c>
      <c r="JYZ39" s="134"/>
      <c r="JZA39" s="135"/>
      <c r="JZB39" s="126"/>
      <c r="JZC39" s="126"/>
      <c r="JZD39" s="128"/>
      <c r="JZE39" s="130"/>
      <c r="JZF39" s="132"/>
      <c r="JZG39" s="133" t="s">
        <v>48</v>
      </c>
      <c r="JZH39" s="134"/>
      <c r="JZI39" s="135"/>
      <c r="JZJ39" s="126"/>
      <c r="JZK39" s="126"/>
      <c r="JZL39" s="128"/>
      <c r="JZM39" s="130"/>
      <c r="JZN39" s="132"/>
      <c r="JZO39" s="133" t="s">
        <v>48</v>
      </c>
      <c r="JZP39" s="134"/>
      <c r="JZQ39" s="135"/>
      <c r="JZR39" s="126"/>
      <c r="JZS39" s="126"/>
      <c r="JZT39" s="128"/>
      <c r="JZU39" s="130"/>
      <c r="JZV39" s="132"/>
      <c r="JZW39" s="133" t="s">
        <v>48</v>
      </c>
      <c r="JZX39" s="134"/>
      <c r="JZY39" s="135"/>
      <c r="JZZ39" s="126"/>
      <c r="KAA39" s="126"/>
      <c r="KAB39" s="128"/>
      <c r="KAC39" s="130"/>
      <c r="KAD39" s="132"/>
      <c r="KAE39" s="133" t="s">
        <v>48</v>
      </c>
      <c r="KAF39" s="134"/>
      <c r="KAG39" s="135"/>
      <c r="KAH39" s="126"/>
      <c r="KAI39" s="126"/>
      <c r="KAJ39" s="128"/>
      <c r="KAK39" s="130"/>
      <c r="KAL39" s="132"/>
      <c r="KAM39" s="133" t="s">
        <v>48</v>
      </c>
      <c r="KAN39" s="134"/>
      <c r="KAO39" s="135"/>
      <c r="KAP39" s="126"/>
      <c r="KAQ39" s="126"/>
      <c r="KAR39" s="128"/>
      <c r="KAS39" s="130"/>
      <c r="KAT39" s="132"/>
      <c r="KAU39" s="133" t="s">
        <v>48</v>
      </c>
      <c r="KAV39" s="134"/>
      <c r="KAW39" s="135"/>
      <c r="KAX39" s="126"/>
      <c r="KAY39" s="126"/>
      <c r="KAZ39" s="128"/>
      <c r="KBA39" s="130"/>
      <c r="KBB39" s="132"/>
      <c r="KBC39" s="133" t="s">
        <v>48</v>
      </c>
      <c r="KBD39" s="134"/>
      <c r="KBE39" s="135"/>
      <c r="KBF39" s="126"/>
      <c r="KBG39" s="126"/>
      <c r="KBH39" s="128"/>
      <c r="KBI39" s="130"/>
      <c r="KBJ39" s="132"/>
      <c r="KBK39" s="133" t="s">
        <v>48</v>
      </c>
      <c r="KBL39" s="134"/>
      <c r="KBM39" s="135"/>
      <c r="KBN39" s="126"/>
      <c r="KBO39" s="126"/>
      <c r="KBP39" s="128"/>
      <c r="KBQ39" s="130"/>
      <c r="KBR39" s="132"/>
      <c r="KBS39" s="133" t="s">
        <v>48</v>
      </c>
      <c r="KBT39" s="134"/>
      <c r="KBU39" s="135"/>
      <c r="KBV39" s="126"/>
      <c r="KBW39" s="126"/>
      <c r="KBX39" s="128"/>
      <c r="KBY39" s="130"/>
      <c r="KBZ39" s="132"/>
      <c r="KCA39" s="133" t="s">
        <v>48</v>
      </c>
      <c r="KCB39" s="134"/>
      <c r="KCC39" s="135"/>
      <c r="KCD39" s="126"/>
      <c r="KCE39" s="126"/>
      <c r="KCF39" s="128"/>
      <c r="KCG39" s="130"/>
      <c r="KCH39" s="132"/>
      <c r="KCI39" s="133" t="s">
        <v>48</v>
      </c>
      <c r="KCJ39" s="134"/>
      <c r="KCK39" s="135"/>
      <c r="KCL39" s="126"/>
      <c r="KCM39" s="126"/>
      <c r="KCN39" s="128"/>
      <c r="KCO39" s="130"/>
      <c r="KCP39" s="132"/>
      <c r="KCQ39" s="133" t="s">
        <v>48</v>
      </c>
      <c r="KCR39" s="134"/>
      <c r="KCS39" s="135"/>
      <c r="KCT39" s="126"/>
      <c r="KCU39" s="126"/>
      <c r="KCV39" s="128"/>
      <c r="KCW39" s="130"/>
      <c r="KCX39" s="132"/>
      <c r="KCY39" s="133" t="s">
        <v>48</v>
      </c>
      <c r="KCZ39" s="134"/>
      <c r="KDA39" s="135"/>
      <c r="KDB39" s="126"/>
      <c r="KDC39" s="126"/>
      <c r="KDD39" s="128"/>
      <c r="KDE39" s="130"/>
      <c r="KDF39" s="132"/>
      <c r="KDG39" s="133" t="s">
        <v>48</v>
      </c>
      <c r="KDH39" s="134"/>
      <c r="KDI39" s="135"/>
      <c r="KDJ39" s="126"/>
      <c r="KDK39" s="126"/>
      <c r="KDL39" s="128"/>
      <c r="KDM39" s="130"/>
      <c r="KDN39" s="132"/>
      <c r="KDO39" s="133" t="s">
        <v>48</v>
      </c>
      <c r="KDP39" s="134"/>
      <c r="KDQ39" s="135"/>
      <c r="KDR39" s="126"/>
      <c r="KDS39" s="126"/>
      <c r="KDT39" s="128"/>
      <c r="KDU39" s="130"/>
      <c r="KDV39" s="132"/>
      <c r="KDW39" s="133" t="s">
        <v>48</v>
      </c>
      <c r="KDX39" s="134"/>
      <c r="KDY39" s="135"/>
      <c r="KDZ39" s="126"/>
      <c r="KEA39" s="126"/>
      <c r="KEB39" s="128"/>
      <c r="KEC39" s="130"/>
      <c r="KED39" s="132"/>
      <c r="KEE39" s="133" t="s">
        <v>48</v>
      </c>
      <c r="KEF39" s="134"/>
      <c r="KEG39" s="135"/>
      <c r="KEH39" s="126"/>
      <c r="KEI39" s="126"/>
      <c r="KEJ39" s="128"/>
      <c r="KEK39" s="130"/>
      <c r="KEL39" s="132"/>
      <c r="KEM39" s="133" t="s">
        <v>48</v>
      </c>
      <c r="KEN39" s="134"/>
      <c r="KEO39" s="135"/>
      <c r="KEP39" s="126"/>
      <c r="KEQ39" s="126"/>
      <c r="KER39" s="128"/>
      <c r="KES39" s="130"/>
      <c r="KET39" s="132"/>
      <c r="KEU39" s="133" t="s">
        <v>48</v>
      </c>
      <c r="KEV39" s="134"/>
      <c r="KEW39" s="135"/>
      <c r="KEX39" s="126"/>
      <c r="KEY39" s="126"/>
      <c r="KEZ39" s="128"/>
      <c r="KFA39" s="130"/>
      <c r="KFB39" s="132"/>
      <c r="KFC39" s="133" t="s">
        <v>48</v>
      </c>
      <c r="KFD39" s="134"/>
      <c r="KFE39" s="135"/>
      <c r="KFF39" s="126"/>
      <c r="KFG39" s="126"/>
      <c r="KFH39" s="128"/>
      <c r="KFI39" s="130"/>
      <c r="KFJ39" s="132"/>
      <c r="KFK39" s="133" t="s">
        <v>48</v>
      </c>
      <c r="KFL39" s="134"/>
      <c r="KFM39" s="135"/>
      <c r="KFN39" s="126"/>
      <c r="KFO39" s="126"/>
      <c r="KFP39" s="128"/>
      <c r="KFQ39" s="130"/>
      <c r="KFR39" s="132"/>
      <c r="KFS39" s="133" t="s">
        <v>48</v>
      </c>
      <c r="KFT39" s="134"/>
      <c r="KFU39" s="135"/>
      <c r="KFV39" s="126"/>
      <c r="KFW39" s="126"/>
      <c r="KFX39" s="128"/>
      <c r="KFY39" s="130"/>
      <c r="KFZ39" s="132"/>
      <c r="KGA39" s="133" t="s">
        <v>48</v>
      </c>
      <c r="KGB39" s="134"/>
      <c r="KGC39" s="135"/>
      <c r="KGD39" s="126"/>
      <c r="KGE39" s="126"/>
      <c r="KGF39" s="128"/>
      <c r="KGG39" s="130"/>
      <c r="KGH39" s="132"/>
      <c r="KGI39" s="133" t="s">
        <v>48</v>
      </c>
      <c r="KGJ39" s="134"/>
      <c r="KGK39" s="135"/>
      <c r="KGL39" s="126"/>
      <c r="KGM39" s="126"/>
      <c r="KGN39" s="128"/>
      <c r="KGO39" s="130"/>
      <c r="KGP39" s="132"/>
      <c r="KGQ39" s="133" t="s">
        <v>48</v>
      </c>
      <c r="KGR39" s="134"/>
      <c r="KGS39" s="135"/>
      <c r="KGT39" s="126"/>
      <c r="KGU39" s="126"/>
      <c r="KGV39" s="128"/>
      <c r="KGW39" s="130"/>
      <c r="KGX39" s="132"/>
      <c r="KGY39" s="133" t="s">
        <v>48</v>
      </c>
      <c r="KGZ39" s="134"/>
      <c r="KHA39" s="135"/>
      <c r="KHB39" s="126"/>
      <c r="KHC39" s="126"/>
      <c r="KHD39" s="128"/>
      <c r="KHE39" s="130"/>
      <c r="KHF39" s="132"/>
      <c r="KHG39" s="133" t="s">
        <v>48</v>
      </c>
      <c r="KHH39" s="134"/>
      <c r="KHI39" s="135"/>
      <c r="KHJ39" s="126"/>
      <c r="KHK39" s="126"/>
      <c r="KHL39" s="128"/>
      <c r="KHM39" s="130"/>
      <c r="KHN39" s="132"/>
      <c r="KHO39" s="133" t="s">
        <v>48</v>
      </c>
      <c r="KHP39" s="134"/>
      <c r="KHQ39" s="135"/>
      <c r="KHR39" s="126"/>
      <c r="KHS39" s="126"/>
      <c r="KHT39" s="128"/>
      <c r="KHU39" s="130"/>
      <c r="KHV39" s="132"/>
      <c r="KHW39" s="133" t="s">
        <v>48</v>
      </c>
      <c r="KHX39" s="134"/>
      <c r="KHY39" s="135"/>
      <c r="KHZ39" s="126"/>
      <c r="KIA39" s="126"/>
      <c r="KIB39" s="128"/>
      <c r="KIC39" s="130"/>
      <c r="KID39" s="132"/>
      <c r="KIE39" s="133" t="s">
        <v>48</v>
      </c>
      <c r="KIF39" s="134"/>
      <c r="KIG39" s="135"/>
      <c r="KIH39" s="126"/>
      <c r="KII39" s="126"/>
      <c r="KIJ39" s="128"/>
      <c r="KIK39" s="130"/>
      <c r="KIL39" s="132"/>
      <c r="KIM39" s="133" t="s">
        <v>48</v>
      </c>
      <c r="KIN39" s="134"/>
      <c r="KIO39" s="135"/>
      <c r="KIP39" s="126"/>
      <c r="KIQ39" s="126"/>
      <c r="KIR39" s="128"/>
      <c r="KIS39" s="130"/>
      <c r="KIT39" s="132"/>
      <c r="KIU39" s="133" t="s">
        <v>48</v>
      </c>
      <c r="KIV39" s="134"/>
      <c r="KIW39" s="135"/>
      <c r="KIX39" s="126"/>
      <c r="KIY39" s="126"/>
      <c r="KIZ39" s="128"/>
      <c r="KJA39" s="130"/>
      <c r="KJB39" s="132"/>
      <c r="KJC39" s="133" t="s">
        <v>48</v>
      </c>
      <c r="KJD39" s="134"/>
      <c r="KJE39" s="135"/>
      <c r="KJF39" s="126"/>
      <c r="KJG39" s="126"/>
      <c r="KJH39" s="128"/>
      <c r="KJI39" s="130"/>
      <c r="KJJ39" s="132"/>
      <c r="KJK39" s="133" t="s">
        <v>48</v>
      </c>
      <c r="KJL39" s="134"/>
      <c r="KJM39" s="135"/>
      <c r="KJN39" s="126"/>
      <c r="KJO39" s="126"/>
      <c r="KJP39" s="128"/>
      <c r="KJQ39" s="130"/>
      <c r="KJR39" s="132"/>
      <c r="KJS39" s="133" t="s">
        <v>48</v>
      </c>
      <c r="KJT39" s="134"/>
      <c r="KJU39" s="135"/>
      <c r="KJV39" s="126"/>
      <c r="KJW39" s="126"/>
      <c r="KJX39" s="128"/>
      <c r="KJY39" s="130"/>
      <c r="KJZ39" s="132"/>
      <c r="KKA39" s="133" t="s">
        <v>48</v>
      </c>
      <c r="KKB39" s="134"/>
      <c r="KKC39" s="135"/>
      <c r="KKD39" s="126"/>
      <c r="KKE39" s="126"/>
      <c r="KKF39" s="128"/>
      <c r="KKG39" s="130"/>
      <c r="KKH39" s="132"/>
      <c r="KKI39" s="133" t="s">
        <v>48</v>
      </c>
      <c r="KKJ39" s="134"/>
      <c r="KKK39" s="135"/>
      <c r="KKL39" s="126"/>
      <c r="KKM39" s="126"/>
      <c r="KKN39" s="128"/>
      <c r="KKO39" s="130"/>
      <c r="KKP39" s="132"/>
      <c r="KKQ39" s="133" t="s">
        <v>48</v>
      </c>
      <c r="KKR39" s="134"/>
      <c r="KKS39" s="135"/>
      <c r="KKT39" s="126"/>
      <c r="KKU39" s="126"/>
      <c r="KKV39" s="128"/>
      <c r="KKW39" s="130"/>
      <c r="KKX39" s="132"/>
      <c r="KKY39" s="133" t="s">
        <v>48</v>
      </c>
      <c r="KKZ39" s="134"/>
      <c r="KLA39" s="135"/>
      <c r="KLB39" s="126"/>
      <c r="KLC39" s="126"/>
      <c r="KLD39" s="128"/>
      <c r="KLE39" s="130"/>
      <c r="KLF39" s="132"/>
      <c r="KLG39" s="133" t="s">
        <v>48</v>
      </c>
      <c r="KLH39" s="134"/>
      <c r="KLI39" s="135"/>
      <c r="KLJ39" s="126"/>
      <c r="KLK39" s="126"/>
      <c r="KLL39" s="128"/>
      <c r="KLM39" s="130"/>
      <c r="KLN39" s="132"/>
      <c r="KLO39" s="133" t="s">
        <v>48</v>
      </c>
      <c r="KLP39" s="134"/>
      <c r="KLQ39" s="135"/>
      <c r="KLR39" s="126"/>
      <c r="KLS39" s="126"/>
      <c r="KLT39" s="128"/>
      <c r="KLU39" s="130"/>
      <c r="KLV39" s="132"/>
      <c r="KLW39" s="133" t="s">
        <v>48</v>
      </c>
      <c r="KLX39" s="134"/>
      <c r="KLY39" s="135"/>
      <c r="KLZ39" s="126"/>
      <c r="KMA39" s="126"/>
      <c r="KMB39" s="128"/>
      <c r="KMC39" s="130"/>
      <c r="KMD39" s="132"/>
      <c r="KME39" s="133" t="s">
        <v>48</v>
      </c>
      <c r="KMF39" s="134"/>
      <c r="KMG39" s="135"/>
      <c r="KMH39" s="126"/>
      <c r="KMI39" s="126"/>
      <c r="KMJ39" s="128"/>
      <c r="KMK39" s="130"/>
      <c r="KML39" s="132"/>
      <c r="KMM39" s="133" t="s">
        <v>48</v>
      </c>
      <c r="KMN39" s="134"/>
      <c r="KMO39" s="135"/>
      <c r="KMP39" s="126"/>
      <c r="KMQ39" s="126"/>
      <c r="KMR39" s="128"/>
      <c r="KMS39" s="130"/>
      <c r="KMT39" s="132"/>
      <c r="KMU39" s="133" t="s">
        <v>48</v>
      </c>
      <c r="KMV39" s="134"/>
      <c r="KMW39" s="135"/>
      <c r="KMX39" s="126"/>
      <c r="KMY39" s="126"/>
      <c r="KMZ39" s="128"/>
      <c r="KNA39" s="130"/>
      <c r="KNB39" s="132"/>
      <c r="KNC39" s="133" t="s">
        <v>48</v>
      </c>
      <c r="KND39" s="134"/>
      <c r="KNE39" s="135"/>
      <c r="KNF39" s="126"/>
      <c r="KNG39" s="126"/>
      <c r="KNH39" s="128"/>
      <c r="KNI39" s="130"/>
      <c r="KNJ39" s="132"/>
      <c r="KNK39" s="133" t="s">
        <v>48</v>
      </c>
      <c r="KNL39" s="134"/>
      <c r="KNM39" s="135"/>
      <c r="KNN39" s="126"/>
      <c r="KNO39" s="126"/>
      <c r="KNP39" s="128"/>
      <c r="KNQ39" s="130"/>
      <c r="KNR39" s="132"/>
      <c r="KNS39" s="133" t="s">
        <v>48</v>
      </c>
      <c r="KNT39" s="134"/>
      <c r="KNU39" s="135"/>
      <c r="KNV39" s="126"/>
      <c r="KNW39" s="126"/>
      <c r="KNX39" s="128"/>
      <c r="KNY39" s="130"/>
      <c r="KNZ39" s="132"/>
      <c r="KOA39" s="133" t="s">
        <v>48</v>
      </c>
      <c r="KOB39" s="134"/>
      <c r="KOC39" s="135"/>
      <c r="KOD39" s="126"/>
      <c r="KOE39" s="126"/>
      <c r="KOF39" s="128"/>
      <c r="KOG39" s="130"/>
      <c r="KOH39" s="132"/>
      <c r="KOI39" s="133" t="s">
        <v>48</v>
      </c>
      <c r="KOJ39" s="134"/>
      <c r="KOK39" s="135"/>
      <c r="KOL39" s="126"/>
      <c r="KOM39" s="126"/>
      <c r="KON39" s="128"/>
      <c r="KOO39" s="130"/>
      <c r="KOP39" s="132"/>
      <c r="KOQ39" s="133" t="s">
        <v>48</v>
      </c>
      <c r="KOR39" s="134"/>
      <c r="KOS39" s="135"/>
      <c r="KOT39" s="126"/>
      <c r="KOU39" s="126"/>
      <c r="KOV39" s="128"/>
      <c r="KOW39" s="130"/>
      <c r="KOX39" s="132"/>
      <c r="KOY39" s="133" t="s">
        <v>48</v>
      </c>
      <c r="KOZ39" s="134"/>
      <c r="KPA39" s="135"/>
      <c r="KPB39" s="126"/>
      <c r="KPC39" s="126"/>
      <c r="KPD39" s="128"/>
      <c r="KPE39" s="130"/>
      <c r="KPF39" s="132"/>
      <c r="KPG39" s="133" t="s">
        <v>48</v>
      </c>
      <c r="KPH39" s="134"/>
      <c r="KPI39" s="135"/>
      <c r="KPJ39" s="126"/>
      <c r="KPK39" s="126"/>
      <c r="KPL39" s="128"/>
      <c r="KPM39" s="130"/>
      <c r="KPN39" s="132"/>
      <c r="KPO39" s="133" t="s">
        <v>48</v>
      </c>
      <c r="KPP39" s="134"/>
      <c r="KPQ39" s="135"/>
      <c r="KPR39" s="126"/>
      <c r="KPS39" s="126"/>
      <c r="KPT39" s="128"/>
      <c r="KPU39" s="130"/>
      <c r="KPV39" s="132"/>
      <c r="KPW39" s="133" t="s">
        <v>48</v>
      </c>
      <c r="KPX39" s="134"/>
      <c r="KPY39" s="135"/>
      <c r="KPZ39" s="126"/>
      <c r="KQA39" s="126"/>
      <c r="KQB39" s="128"/>
      <c r="KQC39" s="130"/>
      <c r="KQD39" s="132"/>
      <c r="KQE39" s="133" t="s">
        <v>48</v>
      </c>
      <c r="KQF39" s="134"/>
      <c r="KQG39" s="135"/>
      <c r="KQH39" s="126"/>
      <c r="KQI39" s="126"/>
      <c r="KQJ39" s="128"/>
      <c r="KQK39" s="130"/>
      <c r="KQL39" s="132"/>
      <c r="KQM39" s="133" t="s">
        <v>48</v>
      </c>
      <c r="KQN39" s="134"/>
      <c r="KQO39" s="135"/>
      <c r="KQP39" s="126"/>
      <c r="KQQ39" s="126"/>
      <c r="KQR39" s="128"/>
      <c r="KQS39" s="130"/>
      <c r="KQT39" s="132"/>
      <c r="KQU39" s="133" t="s">
        <v>48</v>
      </c>
      <c r="KQV39" s="134"/>
      <c r="KQW39" s="135"/>
      <c r="KQX39" s="126"/>
      <c r="KQY39" s="126"/>
      <c r="KQZ39" s="128"/>
      <c r="KRA39" s="130"/>
      <c r="KRB39" s="132"/>
      <c r="KRC39" s="133" t="s">
        <v>48</v>
      </c>
      <c r="KRD39" s="134"/>
      <c r="KRE39" s="135"/>
      <c r="KRF39" s="126"/>
      <c r="KRG39" s="126"/>
      <c r="KRH39" s="128"/>
      <c r="KRI39" s="130"/>
      <c r="KRJ39" s="132"/>
      <c r="KRK39" s="133" t="s">
        <v>48</v>
      </c>
      <c r="KRL39" s="134"/>
      <c r="KRM39" s="135"/>
      <c r="KRN39" s="126"/>
      <c r="KRO39" s="126"/>
      <c r="KRP39" s="128"/>
      <c r="KRQ39" s="130"/>
      <c r="KRR39" s="132"/>
      <c r="KRS39" s="133" t="s">
        <v>48</v>
      </c>
      <c r="KRT39" s="134"/>
      <c r="KRU39" s="135"/>
      <c r="KRV39" s="126"/>
      <c r="KRW39" s="126"/>
      <c r="KRX39" s="128"/>
      <c r="KRY39" s="130"/>
      <c r="KRZ39" s="132"/>
      <c r="KSA39" s="133" t="s">
        <v>48</v>
      </c>
      <c r="KSB39" s="134"/>
      <c r="KSC39" s="135"/>
      <c r="KSD39" s="126"/>
      <c r="KSE39" s="126"/>
      <c r="KSF39" s="128"/>
      <c r="KSG39" s="130"/>
      <c r="KSH39" s="132"/>
      <c r="KSI39" s="133" t="s">
        <v>48</v>
      </c>
      <c r="KSJ39" s="134"/>
      <c r="KSK39" s="135"/>
      <c r="KSL39" s="126"/>
      <c r="KSM39" s="126"/>
      <c r="KSN39" s="128"/>
      <c r="KSO39" s="130"/>
      <c r="KSP39" s="132"/>
      <c r="KSQ39" s="133" t="s">
        <v>48</v>
      </c>
      <c r="KSR39" s="134"/>
      <c r="KSS39" s="135"/>
      <c r="KST39" s="126"/>
      <c r="KSU39" s="126"/>
      <c r="KSV39" s="128"/>
      <c r="KSW39" s="130"/>
      <c r="KSX39" s="132"/>
      <c r="KSY39" s="133" t="s">
        <v>48</v>
      </c>
      <c r="KSZ39" s="134"/>
      <c r="KTA39" s="135"/>
      <c r="KTB39" s="126"/>
      <c r="KTC39" s="126"/>
      <c r="KTD39" s="128"/>
      <c r="KTE39" s="130"/>
      <c r="KTF39" s="132"/>
      <c r="KTG39" s="133" t="s">
        <v>48</v>
      </c>
      <c r="KTH39" s="134"/>
      <c r="KTI39" s="135"/>
      <c r="KTJ39" s="126"/>
      <c r="KTK39" s="126"/>
      <c r="KTL39" s="128"/>
      <c r="KTM39" s="130"/>
      <c r="KTN39" s="132"/>
      <c r="KTO39" s="133" t="s">
        <v>48</v>
      </c>
      <c r="KTP39" s="134"/>
      <c r="KTQ39" s="135"/>
      <c r="KTR39" s="126"/>
      <c r="KTS39" s="126"/>
      <c r="KTT39" s="128"/>
      <c r="KTU39" s="130"/>
      <c r="KTV39" s="132"/>
      <c r="KTW39" s="133" t="s">
        <v>48</v>
      </c>
      <c r="KTX39" s="134"/>
      <c r="KTY39" s="135"/>
      <c r="KTZ39" s="126"/>
      <c r="KUA39" s="126"/>
      <c r="KUB39" s="128"/>
      <c r="KUC39" s="130"/>
      <c r="KUD39" s="132"/>
      <c r="KUE39" s="133" t="s">
        <v>48</v>
      </c>
      <c r="KUF39" s="134"/>
      <c r="KUG39" s="135"/>
      <c r="KUH39" s="126"/>
      <c r="KUI39" s="126"/>
      <c r="KUJ39" s="128"/>
      <c r="KUK39" s="130"/>
      <c r="KUL39" s="132"/>
      <c r="KUM39" s="133" t="s">
        <v>48</v>
      </c>
      <c r="KUN39" s="134"/>
      <c r="KUO39" s="135"/>
      <c r="KUP39" s="126"/>
      <c r="KUQ39" s="126"/>
      <c r="KUR39" s="128"/>
      <c r="KUS39" s="130"/>
      <c r="KUT39" s="132"/>
      <c r="KUU39" s="133" t="s">
        <v>48</v>
      </c>
      <c r="KUV39" s="134"/>
      <c r="KUW39" s="135"/>
      <c r="KUX39" s="126"/>
      <c r="KUY39" s="126"/>
      <c r="KUZ39" s="128"/>
      <c r="KVA39" s="130"/>
      <c r="KVB39" s="132"/>
      <c r="KVC39" s="133" t="s">
        <v>48</v>
      </c>
      <c r="KVD39" s="134"/>
      <c r="KVE39" s="135"/>
      <c r="KVF39" s="126"/>
      <c r="KVG39" s="126"/>
      <c r="KVH39" s="128"/>
      <c r="KVI39" s="130"/>
      <c r="KVJ39" s="132"/>
      <c r="KVK39" s="133" t="s">
        <v>48</v>
      </c>
      <c r="KVL39" s="134"/>
      <c r="KVM39" s="135"/>
      <c r="KVN39" s="126"/>
      <c r="KVO39" s="126"/>
      <c r="KVP39" s="128"/>
      <c r="KVQ39" s="130"/>
      <c r="KVR39" s="132"/>
      <c r="KVS39" s="133" t="s">
        <v>48</v>
      </c>
      <c r="KVT39" s="134"/>
      <c r="KVU39" s="135"/>
      <c r="KVV39" s="126"/>
      <c r="KVW39" s="126"/>
      <c r="KVX39" s="128"/>
      <c r="KVY39" s="130"/>
      <c r="KVZ39" s="132"/>
      <c r="KWA39" s="133" t="s">
        <v>48</v>
      </c>
      <c r="KWB39" s="134"/>
      <c r="KWC39" s="135"/>
      <c r="KWD39" s="126"/>
      <c r="KWE39" s="126"/>
      <c r="KWF39" s="128"/>
      <c r="KWG39" s="130"/>
      <c r="KWH39" s="132"/>
      <c r="KWI39" s="133" t="s">
        <v>48</v>
      </c>
      <c r="KWJ39" s="134"/>
      <c r="KWK39" s="135"/>
      <c r="KWL39" s="126"/>
      <c r="KWM39" s="126"/>
      <c r="KWN39" s="128"/>
      <c r="KWO39" s="130"/>
      <c r="KWP39" s="132"/>
      <c r="KWQ39" s="133" t="s">
        <v>48</v>
      </c>
      <c r="KWR39" s="134"/>
      <c r="KWS39" s="135"/>
      <c r="KWT39" s="126"/>
      <c r="KWU39" s="126"/>
      <c r="KWV39" s="128"/>
      <c r="KWW39" s="130"/>
      <c r="KWX39" s="132"/>
      <c r="KWY39" s="133" t="s">
        <v>48</v>
      </c>
      <c r="KWZ39" s="134"/>
      <c r="KXA39" s="135"/>
      <c r="KXB39" s="126"/>
      <c r="KXC39" s="126"/>
      <c r="KXD39" s="128"/>
      <c r="KXE39" s="130"/>
      <c r="KXF39" s="132"/>
      <c r="KXG39" s="133" t="s">
        <v>48</v>
      </c>
      <c r="KXH39" s="134"/>
      <c r="KXI39" s="135"/>
      <c r="KXJ39" s="126"/>
      <c r="KXK39" s="126"/>
      <c r="KXL39" s="128"/>
      <c r="KXM39" s="130"/>
      <c r="KXN39" s="132"/>
      <c r="KXO39" s="133" t="s">
        <v>48</v>
      </c>
      <c r="KXP39" s="134"/>
      <c r="KXQ39" s="135"/>
      <c r="KXR39" s="126"/>
      <c r="KXS39" s="126"/>
      <c r="KXT39" s="128"/>
      <c r="KXU39" s="130"/>
      <c r="KXV39" s="132"/>
      <c r="KXW39" s="133" t="s">
        <v>48</v>
      </c>
      <c r="KXX39" s="134"/>
      <c r="KXY39" s="135"/>
      <c r="KXZ39" s="126"/>
      <c r="KYA39" s="126"/>
      <c r="KYB39" s="128"/>
      <c r="KYC39" s="130"/>
      <c r="KYD39" s="132"/>
      <c r="KYE39" s="133" t="s">
        <v>48</v>
      </c>
      <c r="KYF39" s="134"/>
      <c r="KYG39" s="135"/>
      <c r="KYH39" s="126"/>
      <c r="KYI39" s="126"/>
      <c r="KYJ39" s="128"/>
      <c r="KYK39" s="130"/>
      <c r="KYL39" s="132"/>
      <c r="KYM39" s="133" t="s">
        <v>48</v>
      </c>
      <c r="KYN39" s="134"/>
      <c r="KYO39" s="135"/>
      <c r="KYP39" s="126"/>
      <c r="KYQ39" s="126"/>
      <c r="KYR39" s="128"/>
      <c r="KYS39" s="130"/>
      <c r="KYT39" s="132"/>
      <c r="KYU39" s="133" t="s">
        <v>48</v>
      </c>
      <c r="KYV39" s="134"/>
      <c r="KYW39" s="135"/>
      <c r="KYX39" s="126"/>
      <c r="KYY39" s="126"/>
      <c r="KYZ39" s="128"/>
      <c r="KZA39" s="130"/>
      <c r="KZB39" s="132"/>
      <c r="KZC39" s="133" t="s">
        <v>48</v>
      </c>
      <c r="KZD39" s="134"/>
      <c r="KZE39" s="135"/>
      <c r="KZF39" s="126"/>
      <c r="KZG39" s="126"/>
      <c r="KZH39" s="128"/>
      <c r="KZI39" s="130"/>
      <c r="KZJ39" s="132"/>
      <c r="KZK39" s="133" t="s">
        <v>48</v>
      </c>
      <c r="KZL39" s="134"/>
      <c r="KZM39" s="135"/>
      <c r="KZN39" s="126"/>
      <c r="KZO39" s="126"/>
      <c r="KZP39" s="128"/>
      <c r="KZQ39" s="130"/>
      <c r="KZR39" s="132"/>
      <c r="KZS39" s="133" t="s">
        <v>48</v>
      </c>
      <c r="KZT39" s="134"/>
      <c r="KZU39" s="135"/>
      <c r="KZV39" s="126"/>
      <c r="KZW39" s="126"/>
      <c r="KZX39" s="128"/>
      <c r="KZY39" s="130"/>
      <c r="KZZ39" s="132"/>
      <c r="LAA39" s="133" t="s">
        <v>48</v>
      </c>
      <c r="LAB39" s="134"/>
      <c r="LAC39" s="135"/>
      <c r="LAD39" s="126"/>
      <c r="LAE39" s="126"/>
      <c r="LAF39" s="128"/>
      <c r="LAG39" s="130"/>
      <c r="LAH39" s="132"/>
      <c r="LAI39" s="133" t="s">
        <v>48</v>
      </c>
      <c r="LAJ39" s="134"/>
      <c r="LAK39" s="135"/>
      <c r="LAL39" s="126"/>
      <c r="LAM39" s="126"/>
      <c r="LAN39" s="128"/>
      <c r="LAO39" s="130"/>
      <c r="LAP39" s="132"/>
      <c r="LAQ39" s="133" t="s">
        <v>48</v>
      </c>
      <c r="LAR39" s="134"/>
      <c r="LAS39" s="135"/>
      <c r="LAT39" s="126"/>
      <c r="LAU39" s="126"/>
      <c r="LAV39" s="128"/>
      <c r="LAW39" s="130"/>
      <c r="LAX39" s="132"/>
      <c r="LAY39" s="133" t="s">
        <v>48</v>
      </c>
      <c r="LAZ39" s="134"/>
      <c r="LBA39" s="135"/>
      <c r="LBB39" s="126"/>
      <c r="LBC39" s="126"/>
      <c r="LBD39" s="128"/>
      <c r="LBE39" s="130"/>
      <c r="LBF39" s="132"/>
      <c r="LBG39" s="133" t="s">
        <v>48</v>
      </c>
      <c r="LBH39" s="134"/>
      <c r="LBI39" s="135"/>
      <c r="LBJ39" s="126"/>
      <c r="LBK39" s="126"/>
      <c r="LBL39" s="128"/>
      <c r="LBM39" s="130"/>
      <c r="LBN39" s="132"/>
      <c r="LBO39" s="133" t="s">
        <v>48</v>
      </c>
      <c r="LBP39" s="134"/>
      <c r="LBQ39" s="135"/>
      <c r="LBR39" s="126"/>
      <c r="LBS39" s="126"/>
      <c r="LBT39" s="128"/>
      <c r="LBU39" s="130"/>
      <c r="LBV39" s="132"/>
      <c r="LBW39" s="133" t="s">
        <v>48</v>
      </c>
      <c r="LBX39" s="134"/>
      <c r="LBY39" s="135"/>
      <c r="LBZ39" s="126"/>
      <c r="LCA39" s="126"/>
      <c r="LCB39" s="128"/>
      <c r="LCC39" s="130"/>
      <c r="LCD39" s="132"/>
      <c r="LCE39" s="133" t="s">
        <v>48</v>
      </c>
      <c r="LCF39" s="134"/>
      <c r="LCG39" s="135"/>
      <c r="LCH39" s="126"/>
      <c r="LCI39" s="126"/>
      <c r="LCJ39" s="128"/>
      <c r="LCK39" s="130"/>
      <c r="LCL39" s="132"/>
      <c r="LCM39" s="133" t="s">
        <v>48</v>
      </c>
      <c r="LCN39" s="134"/>
      <c r="LCO39" s="135"/>
      <c r="LCP39" s="126"/>
      <c r="LCQ39" s="126"/>
      <c r="LCR39" s="128"/>
      <c r="LCS39" s="130"/>
      <c r="LCT39" s="132"/>
      <c r="LCU39" s="133" t="s">
        <v>48</v>
      </c>
      <c r="LCV39" s="134"/>
      <c r="LCW39" s="135"/>
      <c r="LCX39" s="126"/>
      <c r="LCY39" s="126"/>
      <c r="LCZ39" s="128"/>
      <c r="LDA39" s="130"/>
      <c r="LDB39" s="132"/>
      <c r="LDC39" s="133" t="s">
        <v>48</v>
      </c>
      <c r="LDD39" s="134"/>
      <c r="LDE39" s="135"/>
      <c r="LDF39" s="126"/>
      <c r="LDG39" s="126"/>
      <c r="LDH39" s="128"/>
      <c r="LDI39" s="130"/>
      <c r="LDJ39" s="132"/>
      <c r="LDK39" s="133" t="s">
        <v>48</v>
      </c>
      <c r="LDL39" s="134"/>
      <c r="LDM39" s="135"/>
      <c r="LDN39" s="126"/>
      <c r="LDO39" s="126"/>
      <c r="LDP39" s="128"/>
      <c r="LDQ39" s="130"/>
      <c r="LDR39" s="132"/>
      <c r="LDS39" s="133" t="s">
        <v>48</v>
      </c>
      <c r="LDT39" s="134"/>
      <c r="LDU39" s="135"/>
      <c r="LDV39" s="126"/>
      <c r="LDW39" s="126"/>
      <c r="LDX39" s="128"/>
      <c r="LDY39" s="130"/>
      <c r="LDZ39" s="132"/>
      <c r="LEA39" s="133" t="s">
        <v>48</v>
      </c>
      <c r="LEB39" s="134"/>
      <c r="LEC39" s="135"/>
      <c r="LED39" s="126"/>
      <c r="LEE39" s="126"/>
      <c r="LEF39" s="128"/>
      <c r="LEG39" s="130"/>
      <c r="LEH39" s="132"/>
      <c r="LEI39" s="133" t="s">
        <v>48</v>
      </c>
      <c r="LEJ39" s="134"/>
      <c r="LEK39" s="135"/>
      <c r="LEL39" s="126"/>
      <c r="LEM39" s="126"/>
      <c r="LEN39" s="128"/>
      <c r="LEO39" s="130"/>
      <c r="LEP39" s="132"/>
      <c r="LEQ39" s="133" t="s">
        <v>48</v>
      </c>
      <c r="LER39" s="134"/>
      <c r="LES39" s="135"/>
      <c r="LET39" s="126"/>
      <c r="LEU39" s="126"/>
      <c r="LEV39" s="128"/>
      <c r="LEW39" s="130"/>
      <c r="LEX39" s="132"/>
      <c r="LEY39" s="133" t="s">
        <v>48</v>
      </c>
      <c r="LEZ39" s="134"/>
      <c r="LFA39" s="135"/>
      <c r="LFB39" s="126"/>
      <c r="LFC39" s="126"/>
      <c r="LFD39" s="128"/>
      <c r="LFE39" s="130"/>
      <c r="LFF39" s="132"/>
      <c r="LFG39" s="133" t="s">
        <v>48</v>
      </c>
      <c r="LFH39" s="134"/>
      <c r="LFI39" s="135"/>
      <c r="LFJ39" s="126"/>
      <c r="LFK39" s="126"/>
      <c r="LFL39" s="128"/>
      <c r="LFM39" s="130"/>
      <c r="LFN39" s="132"/>
      <c r="LFO39" s="133" t="s">
        <v>48</v>
      </c>
      <c r="LFP39" s="134"/>
      <c r="LFQ39" s="135"/>
      <c r="LFR39" s="126"/>
      <c r="LFS39" s="126"/>
      <c r="LFT39" s="128"/>
      <c r="LFU39" s="130"/>
      <c r="LFV39" s="132"/>
      <c r="LFW39" s="133" t="s">
        <v>48</v>
      </c>
      <c r="LFX39" s="134"/>
      <c r="LFY39" s="135"/>
      <c r="LFZ39" s="126"/>
      <c r="LGA39" s="126"/>
      <c r="LGB39" s="128"/>
      <c r="LGC39" s="130"/>
      <c r="LGD39" s="132"/>
      <c r="LGE39" s="133" t="s">
        <v>48</v>
      </c>
      <c r="LGF39" s="134"/>
      <c r="LGG39" s="135"/>
      <c r="LGH39" s="126"/>
      <c r="LGI39" s="126"/>
      <c r="LGJ39" s="128"/>
      <c r="LGK39" s="130"/>
      <c r="LGL39" s="132"/>
      <c r="LGM39" s="133" t="s">
        <v>48</v>
      </c>
      <c r="LGN39" s="134"/>
      <c r="LGO39" s="135"/>
      <c r="LGP39" s="126"/>
      <c r="LGQ39" s="126"/>
      <c r="LGR39" s="128"/>
      <c r="LGS39" s="130"/>
      <c r="LGT39" s="132"/>
      <c r="LGU39" s="133" t="s">
        <v>48</v>
      </c>
      <c r="LGV39" s="134"/>
      <c r="LGW39" s="135"/>
      <c r="LGX39" s="126"/>
      <c r="LGY39" s="126"/>
      <c r="LGZ39" s="128"/>
      <c r="LHA39" s="130"/>
      <c r="LHB39" s="132"/>
      <c r="LHC39" s="133" t="s">
        <v>48</v>
      </c>
      <c r="LHD39" s="134"/>
      <c r="LHE39" s="135"/>
      <c r="LHF39" s="126"/>
      <c r="LHG39" s="126"/>
      <c r="LHH39" s="128"/>
      <c r="LHI39" s="130"/>
      <c r="LHJ39" s="132"/>
      <c r="LHK39" s="133" t="s">
        <v>48</v>
      </c>
      <c r="LHL39" s="134"/>
      <c r="LHM39" s="135"/>
      <c r="LHN39" s="126"/>
      <c r="LHO39" s="126"/>
      <c r="LHP39" s="128"/>
      <c r="LHQ39" s="130"/>
      <c r="LHR39" s="132"/>
      <c r="LHS39" s="133" t="s">
        <v>48</v>
      </c>
      <c r="LHT39" s="134"/>
      <c r="LHU39" s="135"/>
      <c r="LHV39" s="126"/>
      <c r="LHW39" s="126"/>
      <c r="LHX39" s="128"/>
      <c r="LHY39" s="130"/>
      <c r="LHZ39" s="132"/>
      <c r="LIA39" s="133" t="s">
        <v>48</v>
      </c>
      <c r="LIB39" s="134"/>
      <c r="LIC39" s="135"/>
      <c r="LID39" s="126"/>
      <c r="LIE39" s="126"/>
      <c r="LIF39" s="128"/>
      <c r="LIG39" s="130"/>
      <c r="LIH39" s="132"/>
      <c r="LII39" s="133" t="s">
        <v>48</v>
      </c>
      <c r="LIJ39" s="134"/>
      <c r="LIK39" s="135"/>
      <c r="LIL39" s="126"/>
      <c r="LIM39" s="126"/>
      <c r="LIN39" s="128"/>
      <c r="LIO39" s="130"/>
      <c r="LIP39" s="132"/>
      <c r="LIQ39" s="133" t="s">
        <v>48</v>
      </c>
      <c r="LIR39" s="134"/>
      <c r="LIS39" s="135"/>
      <c r="LIT39" s="126"/>
      <c r="LIU39" s="126"/>
      <c r="LIV39" s="128"/>
      <c r="LIW39" s="130"/>
      <c r="LIX39" s="132"/>
      <c r="LIY39" s="133" t="s">
        <v>48</v>
      </c>
      <c r="LIZ39" s="134"/>
      <c r="LJA39" s="135"/>
      <c r="LJB39" s="126"/>
      <c r="LJC39" s="126"/>
      <c r="LJD39" s="128"/>
      <c r="LJE39" s="130"/>
      <c r="LJF39" s="132"/>
      <c r="LJG39" s="133" t="s">
        <v>48</v>
      </c>
      <c r="LJH39" s="134"/>
      <c r="LJI39" s="135"/>
      <c r="LJJ39" s="126"/>
      <c r="LJK39" s="126"/>
      <c r="LJL39" s="128"/>
      <c r="LJM39" s="130"/>
      <c r="LJN39" s="132"/>
      <c r="LJO39" s="133" t="s">
        <v>48</v>
      </c>
      <c r="LJP39" s="134"/>
      <c r="LJQ39" s="135"/>
      <c r="LJR39" s="126"/>
      <c r="LJS39" s="126"/>
      <c r="LJT39" s="128"/>
      <c r="LJU39" s="130"/>
      <c r="LJV39" s="132"/>
      <c r="LJW39" s="133" t="s">
        <v>48</v>
      </c>
      <c r="LJX39" s="134"/>
      <c r="LJY39" s="135"/>
      <c r="LJZ39" s="126"/>
      <c r="LKA39" s="126"/>
      <c r="LKB39" s="128"/>
      <c r="LKC39" s="130"/>
      <c r="LKD39" s="132"/>
      <c r="LKE39" s="133" t="s">
        <v>48</v>
      </c>
      <c r="LKF39" s="134"/>
      <c r="LKG39" s="135"/>
      <c r="LKH39" s="126"/>
      <c r="LKI39" s="126"/>
      <c r="LKJ39" s="128"/>
      <c r="LKK39" s="130"/>
      <c r="LKL39" s="132"/>
      <c r="LKM39" s="133" t="s">
        <v>48</v>
      </c>
      <c r="LKN39" s="134"/>
      <c r="LKO39" s="135"/>
      <c r="LKP39" s="126"/>
      <c r="LKQ39" s="126"/>
      <c r="LKR39" s="128"/>
      <c r="LKS39" s="130"/>
      <c r="LKT39" s="132"/>
      <c r="LKU39" s="133" t="s">
        <v>48</v>
      </c>
      <c r="LKV39" s="134"/>
      <c r="LKW39" s="135"/>
      <c r="LKX39" s="126"/>
      <c r="LKY39" s="126"/>
      <c r="LKZ39" s="128"/>
      <c r="LLA39" s="130"/>
      <c r="LLB39" s="132"/>
      <c r="LLC39" s="133" t="s">
        <v>48</v>
      </c>
      <c r="LLD39" s="134"/>
      <c r="LLE39" s="135"/>
      <c r="LLF39" s="126"/>
      <c r="LLG39" s="126"/>
      <c r="LLH39" s="128"/>
      <c r="LLI39" s="130"/>
      <c r="LLJ39" s="132"/>
      <c r="LLK39" s="133" t="s">
        <v>48</v>
      </c>
      <c r="LLL39" s="134"/>
      <c r="LLM39" s="135"/>
      <c r="LLN39" s="126"/>
      <c r="LLO39" s="126"/>
      <c r="LLP39" s="128"/>
      <c r="LLQ39" s="130"/>
      <c r="LLR39" s="132"/>
      <c r="LLS39" s="133" t="s">
        <v>48</v>
      </c>
      <c r="LLT39" s="134"/>
      <c r="LLU39" s="135"/>
      <c r="LLV39" s="126"/>
      <c r="LLW39" s="126"/>
      <c r="LLX39" s="128"/>
      <c r="LLY39" s="130"/>
      <c r="LLZ39" s="132"/>
      <c r="LMA39" s="133" t="s">
        <v>48</v>
      </c>
      <c r="LMB39" s="134"/>
      <c r="LMC39" s="135"/>
      <c r="LMD39" s="126"/>
      <c r="LME39" s="126"/>
      <c r="LMF39" s="128"/>
      <c r="LMG39" s="130"/>
      <c r="LMH39" s="132"/>
      <c r="LMI39" s="133" t="s">
        <v>48</v>
      </c>
      <c r="LMJ39" s="134"/>
      <c r="LMK39" s="135"/>
      <c r="LML39" s="126"/>
      <c r="LMM39" s="126"/>
      <c r="LMN39" s="128"/>
      <c r="LMO39" s="130"/>
      <c r="LMP39" s="132"/>
      <c r="LMQ39" s="133" t="s">
        <v>48</v>
      </c>
      <c r="LMR39" s="134"/>
      <c r="LMS39" s="135"/>
      <c r="LMT39" s="126"/>
      <c r="LMU39" s="126"/>
      <c r="LMV39" s="128"/>
      <c r="LMW39" s="130"/>
      <c r="LMX39" s="132"/>
      <c r="LMY39" s="133" t="s">
        <v>48</v>
      </c>
      <c r="LMZ39" s="134"/>
      <c r="LNA39" s="135"/>
      <c r="LNB39" s="126"/>
      <c r="LNC39" s="126"/>
      <c r="LND39" s="128"/>
      <c r="LNE39" s="130"/>
      <c r="LNF39" s="132"/>
      <c r="LNG39" s="133" t="s">
        <v>48</v>
      </c>
      <c r="LNH39" s="134"/>
      <c r="LNI39" s="135"/>
      <c r="LNJ39" s="126"/>
      <c r="LNK39" s="126"/>
      <c r="LNL39" s="128"/>
      <c r="LNM39" s="130"/>
      <c r="LNN39" s="132"/>
      <c r="LNO39" s="133" t="s">
        <v>48</v>
      </c>
      <c r="LNP39" s="134"/>
      <c r="LNQ39" s="135"/>
      <c r="LNR39" s="126"/>
      <c r="LNS39" s="126"/>
      <c r="LNT39" s="128"/>
      <c r="LNU39" s="130"/>
      <c r="LNV39" s="132"/>
      <c r="LNW39" s="133" t="s">
        <v>48</v>
      </c>
      <c r="LNX39" s="134"/>
      <c r="LNY39" s="135"/>
      <c r="LNZ39" s="126"/>
      <c r="LOA39" s="126"/>
      <c r="LOB39" s="128"/>
      <c r="LOC39" s="130"/>
      <c r="LOD39" s="132"/>
      <c r="LOE39" s="133" t="s">
        <v>48</v>
      </c>
      <c r="LOF39" s="134"/>
      <c r="LOG39" s="135"/>
      <c r="LOH39" s="126"/>
      <c r="LOI39" s="126"/>
      <c r="LOJ39" s="128"/>
      <c r="LOK39" s="130"/>
      <c r="LOL39" s="132"/>
      <c r="LOM39" s="133" t="s">
        <v>48</v>
      </c>
      <c r="LON39" s="134"/>
      <c r="LOO39" s="135"/>
      <c r="LOP39" s="126"/>
      <c r="LOQ39" s="126"/>
      <c r="LOR39" s="128"/>
      <c r="LOS39" s="130"/>
      <c r="LOT39" s="132"/>
      <c r="LOU39" s="133" t="s">
        <v>48</v>
      </c>
      <c r="LOV39" s="134"/>
      <c r="LOW39" s="135"/>
      <c r="LOX39" s="126"/>
      <c r="LOY39" s="126"/>
      <c r="LOZ39" s="128"/>
      <c r="LPA39" s="130"/>
      <c r="LPB39" s="132"/>
      <c r="LPC39" s="133" t="s">
        <v>48</v>
      </c>
      <c r="LPD39" s="134"/>
      <c r="LPE39" s="135"/>
      <c r="LPF39" s="126"/>
      <c r="LPG39" s="126"/>
      <c r="LPH39" s="128"/>
      <c r="LPI39" s="130"/>
      <c r="LPJ39" s="132"/>
      <c r="LPK39" s="133" t="s">
        <v>48</v>
      </c>
      <c r="LPL39" s="134"/>
      <c r="LPM39" s="135"/>
      <c r="LPN39" s="126"/>
      <c r="LPO39" s="126"/>
      <c r="LPP39" s="128"/>
      <c r="LPQ39" s="130"/>
      <c r="LPR39" s="132"/>
      <c r="LPS39" s="133" t="s">
        <v>48</v>
      </c>
      <c r="LPT39" s="134"/>
      <c r="LPU39" s="135"/>
      <c r="LPV39" s="126"/>
      <c r="LPW39" s="126"/>
      <c r="LPX39" s="128"/>
      <c r="LPY39" s="130"/>
      <c r="LPZ39" s="132"/>
      <c r="LQA39" s="133" t="s">
        <v>48</v>
      </c>
      <c r="LQB39" s="134"/>
      <c r="LQC39" s="135"/>
      <c r="LQD39" s="126"/>
      <c r="LQE39" s="126"/>
      <c r="LQF39" s="128"/>
      <c r="LQG39" s="130"/>
      <c r="LQH39" s="132"/>
      <c r="LQI39" s="133" t="s">
        <v>48</v>
      </c>
      <c r="LQJ39" s="134"/>
      <c r="LQK39" s="135"/>
      <c r="LQL39" s="126"/>
      <c r="LQM39" s="126"/>
      <c r="LQN39" s="128"/>
      <c r="LQO39" s="130"/>
      <c r="LQP39" s="132"/>
      <c r="LQQ39" s="133" t="s">
        <v>48</v>
      </c>
      <c r="LQR39" s="134"/>
      <c r="LQS39" s="135"/>
      <c r="LQT39" s="126"/>
      <c r="LQU39" s="126"/>
      <c r="LQV39" s="128"/>
      <c r="LQW39" s="130"/>
      <c r="LQX39" s="132"/>
      <c r="LQY39" s="133" t="s">
        <v>48</v>
      </c>
      <c r="LQZ39" s="134"/>
      <c r="LRA39" s="135"/>
      <c r="LRB39" s="126"/>
      <c r="LRC39" s="126"/>
      <c r="LRD39" s="128"/>
      <c r="LRE39" s="130"/>
      <c r="LRF39" s="132"/>
      <c r="LRG39" s="133" t="s">
        <v>48</v>
      </c>
      <c r="LRH39" s="134"/>
      <c r="LRI39" s="135"/>
      <c r="LRJ39" s="126"/>
      <c r="LRK39" s="126"/>
      <c r="LRL39" s="128"/>
      <c r="LRM39" s="130"/>
      <c r="LRN39" s="132"/>
      <c r="LRO39" s="133" t="s">
        <v>48</v>
      </c>
      <c r="LRP39" s="134"/>
      <c r="LRQ39" s="135"/>
      <c r="LRR39" s="126"/>
      <c r="LRS39" s="126"/>
      <c r="LRT39" s="128"/>
      <c r="LRU39" s="130"/>
      <c r="LRV39" s="132"/>
      <c r="LRW39" s="133" t="s">
        <v>48</v>
      </c>
      <c r="LRX39" s="134"/>
      <c r="LRY39" s="135"/>
      <c r="LRZ39" s="126"/>
      <c r="LSA39" s="126"/>
      <c r="LSB39" s="128"/>
      <c r="LSC39" s="130"/>
      <c r="LSD39" s="132"/>
      <c r="LSE39" s="133" t="s">
        <v>48</v>
      </c>
      <c r="LSF39" s="134"/>
      <c r="LSG39" s="135"/>
      <c r="LSH39" s="126"/>
      <c r="LSI39" s="126"/>
      <c r="LSJ39" s="128"/>
      <c r="LSK39" s="130"/>
      <c r="LSL39" s="132"/>
      <c r="LSM39" s="133" t="s">
        <v>48</v>
      </c>
      <c r="LSN39" s="134"/>
      <c r="LSO39" s="135"/>
      <c r="LSP39" s="126"/>
      <c r="LSQ39" s="126"/>
      <c r="LSR39" s="128"/>
      <c r="LSS39" s="130"/>
      <c r="LST39" s="132"/>
      <c r="LSU39" s="133" t="s">
        <v>48</v>
      </c>
      <c r="LSV39" s="134"/>
      <c r="LSW39" s="135"/>
      <c r="LSX39" s="126"/>
      <c r="LSY39" s="126"/>
      <c r="LSZ39" s="128"/>
      <c r="LTA39" s="130"/>
      <c r="LTB39" s="132"/>
      <c r="LTC39" s="133" t="s">
        <v>48</v>
      </c>
      <c r="LTD39" s="134"/>
      <c r="LTE39" s="135"/>
      <c r="LTF39" s="126"/>
      <c r="LTG39" s="126"/>
      <c r="LTH39" s="128"/>
      <c r="LTI39" s="130"/>
      <c r="LTJ39" s="132"/>
      <c r="LTK39" s="133" t="s">
        <v>48</v>
      </c>
      <c r="LTL39" s="134"/>
      <c r="LTM39" s="135"/>
      <c r="LTN39" s="126"/>
      <c r="LTO39" s="126"/>
      <c r="LTP39" s="128"/>
      <c r="LTQ39" s="130"/>
      <c r="LTR39" s="132"/>
      <c r="LTS39" s="133" t="s">
        <v>48</v>
      </c>
      <c r="LTT39" s="134"/>
      <c r="LTU39" s="135"/>
      <c r="LTV39" s="126"/>
      <c r="LTW39" s="126"/>
      <c r="LTX39" s="128"/>
      <c r="LTY39" s="130"/>
      <c r="LTZ39" s="132"/>
      <c r="LUA39" s="133" t="s">
        <v>48</v>
      </c>
      <c r="LUB39" s="134"/>
      <c r="LUC39" s="135"/>
      <c r="LUD39" s="126"/>
      <c r="LUE39" s="126"/>
      <c r="LUF39" s="128"/>
      <c r="LUG39" s="130"/>
      <c r="LUH39" s="132"/>
      <c r="LUI39" s="133" t="s">
        <v>48</v>
      </c>
      <c r="LUJ39" s="134"/>
      <c r="LUK39" s="135"/>
      <c r="LUL39" s="126"/>
      <c r="LUM39" s="126"/>
      <c r="LUN39" s="128"/>
      <c r="LUO39" s="130"/>
      <c r="LUP39" s="132"/>
      <c r="LUQ39" s="133" t="s">
        <v>48</v>
      </c>
      <c r="LUR39" s="134"/>
      <c r="LUS39" s="135"/>
      <c r="LUT39" s="126"/>
      <c r="LUU39" s="126"/>
      <c r="LUV39" s="128"/>
      <c r="LUW39" s="130"/>
      <c r="LUX39" s="132"/>
      <c r="LUY39" s="133" t="s">
        <v>48</v>
      </c>
      <c r="LUZ39" s="134"/>
      <c r="LVA39" s="135"/>
      <c r="LVB39" s="126"/>
      <c r="LVC39" s="126"/>
      <c r="LVD39" s="128"/>
      <c r="LVE39" s="130"/>
      <c r="LVF39" s="132"/>
      <c r="LVG39" s="133" t="s">
        <v>48</v>
      </c>
      <c r="LVH39" s="134"/>
      <c r="LVI39" s="135"/>
      <c r="LVJ39" s="126"/>
      <c r="LVK39" s="126"/>
      <c r="LVL39" s="128"/>
      <c r="LVM39" s="130"/>
      <c r="LVN39" s="132"/>
      <c r="LVO39" s="133" t="s">
        <v>48</v>
      </c>
      <c r="LVP39" s="134"/>
      <c r="LVQ39" s="135"/>
      <c r="LVR39" s="126"/>
      <c r="LVS39" s="126"/>
      <c r="LVT39" s="128"/>
      <c r="LVU39" s="130"/>
      <c r="LVV39" s="132"/>
      <c r="LVW39" s="133" t="s">
        <v>48</v>
      </c>
      <c r="LVX39" s="134"/>
      <c r="LVY39" s="135"/>
      <c r="LVZ39" s="126"/>
      <c r="LWA39" s="126"/>
      <c r="LWB39" s="128"/>
      <c r="LWC39" s="130"/>
      <c r="LWD39" s="132"/>
      <c r="LWE39" s="133" t="s">
        <v>48</v>
      </c>
      <c r="LWF39" s="134"/>
      <c r="LWG39" s="135"/>
      <c r="LWH39" s="126"/>
      <c r="LWI39" s="126"/>
      <c r="LWJ39" s="128"/>
      <c r="LWK39" s="130"/>
      <c r="LWL39" s="132"/>
      <c r="LWM39" s="133" t="s">
        <v>48</v>
      </c>
      <c r="LWN39" s="134"/>
      <c r="LWO39" s="135"/>
      <c r="LWP39" s="126"/>
      <c r="LWQ39" s="126"/>
      <c r="LWR39" s="128"/>
      <c r="LWS39" s="130"/>
      <c r="LWT39" s="132"/>
      <c r="LWU39" s="133" t="s">
        <v>48</v>
      </c>
      <c r="LWV39" s="134"/>
      <c r="LWW39" s="135"/>
      <c r="LWX39" s="126"/>
      <c r="LWY39" s="126"/>
      <c r="LWZ39" s="128"/>
      <c r="LXA39" s="130"/>
      <c r="LXB39" s="132"/>
      <c r="LXC39" s="133" t="s">
        <v>48</v>
      </c>
      <c r="LXD39" s="134"/>
      <c r="LXE39" s="135"/>
      <c r="LXF39" s="126"/>
      <c r="LXG39" s="126"/>
      <c r="LXH39" s="128"/>
      <c r="LXI39" s="130"/>
      <c r="LXJ39" s="132"/>
      <c r="LXK39" s="133" t="s">
        <v>48</v>
      </c>
      <c r="LXL39" s="134"/>
      <c r="LXM39" s="135"/>
      <c r="LXN39" s="126"/>
      <c r="LXO39" s="126"/>
      <c r="LXP39" s="128"/>
      <c r="LXQ39" s="130"/>
      <c r="LXR39" s="132"/>
      <c r="LXS39" s="133" t="s">
        <v>48</v>
      </c>
      <c r="LXT39" s="134"/>
      <c r="LXU39" s="135"/>
      <c r="LXV39" s="126"/>
      <c r="LXW39" s="126"/>
      <c r="LXX39" s="128"/>
      <c r="LXY39" s="130"/>
      <c r="LXZ39" s="132"/>
      <c r="LYA39" s="133" t="s">
        <v>48</v>
      </c>
      <c r="LYB39" s="134"/>
      <c r="LYC39" s="135"/>
      <c r="LYD39" s="126"/>
      <c r="LYE39" s="126"/>
      <c r="LYF39" s="128"/>
      <c r="LYG39" s="130"/>
      <c r="LYH39" s="132"/>
      <c r="LYI39" s="133" t="s">
        <v>48</v>
      </c>
      <c r="LYJ39" s="134"/>
      <c r="LYK39" s="135"/>
      <c r="LYL39" s="126"/>
      <c r="LYM39" s="126"/>
      <c r="LYN39" s="128"/>
      <c r="LYO39" s="130"/>
      <c r="LYP39" s="132"/>
      <c r="LYQ39" s="133" t="s">
        <v>48</v>
      </c>
      <c r="LYR39" s="134"/>
      <c r="LYS39" s="135"/>
      <c r="LYT39" s="126"/>
      <c r="LYU39" s="126"/>
      <c r="LYV39" s="128"/>
      <c r="LYW39" s="130"/>
      <c r="LYX39" s="132"/>
      <c r="LYY39" s="133" t="s">
        <v>48</v>
      </c>
      <c r="LYZ39" s="134"/>
      <c r="LZA39" s="135"/>
      <c r="LZB39" s="126"/>
      <c r="LZC39" s="126"/>
      <c r="LZD39" s="128"/>
      <c r="LZE39" s="130"/>
      <c r="LZF39" s="132"/>
      <c r="LZG39" s="133" t="s">
        <v>48</v>
      </c>
      <c r="LZH39" s="134"/>
      <c r="LZI39" s="135"/>
      <c r="LZJ39" s="126"/>
      <c r="LZK39" s="126"/>
      <c r="LZL39" s="128"/>
      <c r="LZM39" s="130"/>
      <c r="LZN39" s="132"/>
      <c r="LZO39" s="133" t="s">
        <v>48</v>
      </c>
      <c r="LZP39" s="134"/>
      <c r="LZQ39" s="135"/>
      <c r="LZR39" s="126"/>
      <c r="LZS39" s="126"/>
      <c r="LZT39" s="128"/>
      <c r="LZU39" s="130"/>
      <c r="LZV39" s="132"/>
      <c r="LZW39" s="133" t="s">
        <v>48</v>
      </c>
      <c r="LZX39" s="134"/>
      <c r="LZY39" s="135"/>
      <c r="LZZ39" s="126"/>
      <c r="MAA39" s="126"/>
      <c r="MAB39" s="128"/>
      <c r="MAC39" s="130"/>
      <c r="MAD39" s="132"/>
      <c r="MAE39" s="133" t="s">
        <v>48</v>
      </c>
      <c r="MAF39" s="134"/>
      <c r="MAG39" s="135"/>
      <c r="MAH39" s="126"/>
      <c r="MAI39" s="126"/>
      <c r="MAJ39" s="128"/>
      <c r="MAK39" s="130"/>
      <c r="MAL39" s="132"/>
      <c r="MAM39" s="133" t="s">
        <v>48</v>
      </c>
      <c r="MAN39" s="134"/>
      <c r="MAO39" s="135"/>
      <c r="MAP39" s="126"/>
      <c r="MAQ39" s="126"/>
      <c r="MAR39" s="128"/>
      <c r="MAS39" s="130"/>
      <c r="MAT39" s="132"/>
      <c r="MAU39" s="133" t="s">
        <v>48</v>
      </c>
      <c r="MAV39" s="134"/>
      <c r="MAW39" s="135"/>
      <c r="MAX39" s="126"/>
      <c r="MAY39" s="126"/>
      <c r="MAZ39" s="128"/>
      <c r="MBA39" s="130"/>
      <c r="MBB39" s="132"/>
      <c r="MBC39" s="133" t="s">
        <v>48</v>
      </c>
      <c r="MBD39" s="134"/>
      <c r="MBE39" s="135"/>
      <c r="MBF39" s="126"/>
      <c r="MBG39" s="126"/>
      <c r="MBH39" s="128"/>
      <c r="MBI39" s="130"/>
      <c r="MBJ39" s="132"/>
      <c r="MBK39" s="133" t="s">
        <v>48</v>
      </c>
      <c r="MBL39" s="134"/>
      <c r="MBM39" s="135"/>
      <c r="MBN39" s="126"/>
      <c r="MBO39" s="126"/>
      <c r="MBP39" s="128"/>
      <c r="MBQ39" s="130"/>
      <c r="MBR39" s="132"/>
      <c r="MBS39" s="133" t="s">
        <v>48</v>
      </c>
      <c r="MBT39" s="134"/>
      <c r="MBU39" s="135"/>
      <c r="MBV39" s="126"/>
      <c r="MBW39" s="126"/>
      <c r="MBX39" s="128"/>
      <c r="MBY39" s="130"/>
      <c r="MBZ39" s="132"/>
      <c r="MCA39" s="133" t="s">
        <v>48</v>
      </c>
      <c r="MCB39" s="134"/>
      <c r="MCC39" s="135"/>
      <c r="MCD39" s="126"/>
      <c r="MCE39" s="126"/>
      <c r="MCF39" s="128"/>
      <c r="MCG39" s="130"/>
      <c r="MCH39" s="132"/>
      <c r="MCI39" s="133" t="s">
        <v>48</v>
      </c>
      <c r="MCJ39" s="134"/>
      <c r="MCK39" s="135"/>
      <c r="MCL39" s="126"/>
      <c r="MCM39" s="126"/>
      <c r="MCN39" s="128"/>
      <c r="MCO39" s="130"/>
      <c r="MCP39" s="132"/>
      <c r="MCQ39" s="133" t="s">
        <v>48</v>
      </c>
      <c r="MCR39" s="134"/>
      <c r="MCS39" s="135"/>
      <c r="MCT39" s="126"/>
      <c r="MCU39" s="126"/>
      <c r="MCV39" s="128"/>
      <c r="MCW39" s="130"/>
      <c r="MCX39" s="132"/>
      <c r="MCY39" s="133" t="s">
        <v>48</v>
      </c>
      <c r="MCZ39" s="134"/>
      <c r="MDA39" s="135"/>
      <c r="MDB39" s="126"/>
      <c r="MDC39" s="126"/>
      <c r="MDD39" s="128"/>
      <c r="MDE39" s="130"/>
      <c r="MDF39" s="132"/>
      <c r="MDG39" s="133" t="s">
        <v>48</v>
      </c>
      <c r="MDH39" s="134"/>
      <c r="MDI39" s="135"/>
      <c r="MDJ39" s="126"/>
      <c r="MDK39" s="126"/>
      <c r="MDL39" s="128"/>
      <c r="MDM39" s="130"/>
      <c r="MDN39" s="132"/>
      <c r="MDO39" s="133" t="s">
        <v>48</v>
      </c>
      <c r="MDP39" s="134"/>
      <c r="MDQ39" s="135"/>
      <c r="MDR39" s="126"/>
      <c r="MDS39" s="126"/>
      <c r="MDT39" s="128"/>
      <c r="MDU39" s="130"/>
      <c r="MDV39" s="132"/>
      <c r="MDW39" s="133" t="s">
        <v>48</v>
      </c>
      <c r="MDX39" s="134"/>
      <c r="MDY39" s="135"/>
      <c r="MDZ39" s="126"/>
      <c r="MEA39" s="126"/>
      <c r="MEB39" s="128"/>
      <c r="MEC39" s="130"/>
      <c r="MED39" s="132"/>
      <c r="MEE39" s="133" t="s">
        <v>48</v>
      </c>
      <c r="MEF39" s="134"/>
      <c r="MEG39" s="135"/>
      <c r="MEH39" s="126"/>
      <c r="MEI39" s="126"/>
      <c r="MEJ39" s="128"/>
      <c r="MEK39" s="130"/>
      <c r="MEL39" s="132"/>
      <c r="MEM39" s="133" t="s">
        <v>48</v>
      </c>
      <c r="MEN39" s="134"/>
      <c r="MEO39" s="135"/>
      <c r="MEP39" s="126"/>
      <c r="MEQ39" s="126"/>
      <c r="MER39" s="128"/>
      <c r="MES39" s="130"/>
      <c r="MET39" s="132"/>
      <c r="MEU39" s="133" t="s">
        <v>48</v>
      </c>
      <c r="MEV39" s="134"/>
      <c r="MEW39" s="135"/>
      <c r="MEX39" s="126"/>
      <c r="MEY39" s="126"/>
      <c r="MEZ39" s="128"/>
      <c r="MFA39" s="130"/>
      <c r="MFB39" s="132"/>
      <c r="MFC39" s="133" t="s">
        <v>48</v>
      </c>
      <c r="MFD39" s="134"/>
      <c r="MFE39" s="135"/>
      <c r="MFF39" s="126"/>
      <c r="MFG39" s="126"/>
      <c r="MFH39" s="128"/>
      <c r="MFI39" s="130"/>
      <c r="MFJ39" s="132"/>
      <c r="MFK39" s="133" t="s">
        <v>48</v>
      </c>
      <c r="MFL39" s="134"/>
      <c r="MFM39" s="135"/>
      <c r="MFN39" s="126"/>
      <c r="MFO39" s="126"/>
      <c r="MFP39" s="128"/>
      <c r="MFQ39" s="130"/>
      <c r="MFR39" s="132"/>
      <c r="MFS39" s="133" t="s">
        <v>48</v>
      </c>
      <c r="MFT39" s="134"/>
      <c r="MFU39" s="135"/>
      <c r="MFV39" s="126"/>
      <c r="MFW39" s="126"/>
      <c r="MFX39" s="128"/>
      <c r="MFY39" s="130"/>
      <c r="MFZ39" s="132"/>
      <c r="MGA39" s="133" t="s">
        <v>48</v>
      </c>
      <c r="MGB39" s="134"/>
      <c r="MGC39" s="135"/>
      <c r="MGD39" s="126"/>
      <c r="MGE39" s="126"/>
      <c r="MGF39" s="128"/>
      <c r="MGG39" s="130"/>
      <c r="MGH39" s="132"/>
      <c r="MGI39" s="133" t="s">
        <v>48</v>
      </c>
      <c r="MGJ39" s="134"/>
      <c r="MGK39" s="135"/>
      <c r="MGL39" s="126"/>
      <c r="MGM39" s="126"/>
      <c r="MGN39" s="128"/>
      <c r="MGO39" s="130"/>
      <c r="MGP39" s="132"/>
      <c r="MGQ39" s="133" t="s">
        <v>48</v>
      </c>
      <c r="MGR39" s="134"/>
      <c r="MGS39" s="135"/>
      <c r="MGT39" s="126"/>
      <c r="MGU39" s="126"/>
      <c r="MGV39" s="128"/>
      <c r="MGW39" s="130"/>
      <c r="MGX39" s="132"/>
      <c r="MGY39" s="133" t="s">
        <v>48</v>
      </c>
      <c r="MGZ39" s="134"/>
      <c r="MHA39" s="135"/>
      <c r="MHB39" s="126"/>
      <c r="MHC39" s="126"/>
      <c r="MHD39" s="128"/>
      <c r="MHE39" s="130"/>
      <c r="MHF39" s="132"/>
      <c r="MHG39" s="133" t="s">
        <v>48</v>
      </c>
      <c r="MHH39" s="134"/>
      <c r="MHI39" s="135"/>
      <c r="MHJ39" s="126"/>
      <c r="MHK39" s="126"/>
      <c r="MHL39" s="128"/>
      <c r="MHM39" s="130"/>
      <c r="MHN39" s="132"/>
      <c r="MHO39" s="133" t="s">
        <v>48</v>
      </c>
      <c r="MHP39" s="134"/>
      <c r="MHQ39" s="135"/>
      <c r="MHR39" s="126"/>
      <c r="MHS39" s="126"/>
      <c r="MHT39" s="128"/>
      <c r="MHU39" s="130"/>
      <c r="MHV39" s="132"/>
      <c r="MHW39" s="133" t="s">
        <v>48</v>
      </c>
      <c r="MHX39" s="134"/>
      <c r="MHY39" s="135"/>
      <c r="MHZ39" s="126"/>
      <c r="MIA39" s="126"/>
      <c r="MIB39" s="128"/>
      <c r="MIC39" s="130"/>
      <c r="MID39" s="132"/>
      <c r="MIE39" s="133" t="s">
        <v>48</v>
      </c>
      <c r="MIF39" s="134"/>
      <c r="MIG39" s="135"/>
      <c r="MIH39" s="126"/>
      <c r="MII39" s="126"/>
      <c r="MIJ39" s="128"/>
      <c r="MIK39" s="130"/>
      <c r="MIL39" s="132"/>
      <c r="MIM39" s="133" t="s">
        <v>48</v>
      </c>
      <c r="MIN39" s="134"/>
      <c r="MIO39" s="135"/>
      <c r="MIP39" s="126"/>
      <c r="MIQ39" s="126"/>
      <c r="MIR39" s="128"/>
      <c r="MIS39" s="130"/>
      <c r="MIT39" s="132"/>
      <c r="MIU39" s="133" t="s">
        <v>48</v>
      </c>
      <c r="MIV39" s="134"/>
      <c r="MIW39" s="135"/>
      <c r="MIX39" s="126"/>
      <c r="MIY39" s="126"/>
      <c r="MIZ39" s="128"/>
      <c r="MJA39" s="130"/>
      <c r="MJB39" s="132"/>
      <c r="MJC39" s="133" t="s">
        <v>48</v>
      </c>
      <c r="MJD39" s="134"/>
      <c r="MJE39" s="135"/>
      <c r="MJF39" s="126"/>
      <c r="MJG39" s="126"/>
      <c r="MJH39" s="128"/>
      <c r="MJI39" s="130"/>
      <c r="MJJ39" s="132"/>
      <c r="MJK39" s="133" t="s">
        <v>48</v>
      </c>
      <c r="MJL39" s="134"/>
      <c r="MJM39" s="135"/>
      <c r="MJN39" s="126"/>
      <c r="MJO39" s="126"/>
      <c r="MJP39" s="128"/>
      <c r="MJQ39" s="130"/>
      <c r="MJR39" s="132"/>
      <c r="MJS39" s="133" t="s">
        <v>48</v>
      </c>
      <c r="MJT39" s="134"/>
      <c r="MJU39" s="135"/>
      <c r="MJV39" s="126"/>
      <c r="MJW39" s="126"/>
      <c r="MJX39" s="128"/>
      <c r="MJY39" s="130"/>
      <c r="MJZ39" s="132"/>
      <c r="MKA39" s="133" t="s">
        <v>48</v>
      </c>
      <c r="MKB39" s="134"/>
      <c r="MKC39" s="135"/>
      <c r="MKD39" s="126"/>
      <c r="MKE39" s="126"/>
      <c r="MKF39" s="128"/>
      <c r="MKG39" s="130"/>
      <c r="MKH39" s="132"/>
      <c r="MKI39" s="133" t="s">
        <v>48</v>
      </c>
      <c r="MKJ39" s="134"/>
      <c r="MKK39" s="135"/>
      <c r="MKL39" s="126"/>
      <c r="MKM39" s="126"/>
      <c r="MKN39" s="128"/>
      <c r="MKO39" s="130"/>
      <c r="MKP39" s="132"/>
      <c r="MKQ39" s="133" t="s">
        <v>48</v>
      </c>
      <c r="MKR39" s="134"/>
      <c r="MKS39" s="135"/>
      <c r="MKT39" s="126"/>
      <c r="MKU39" s="126"/>
      <c r="MKV39" s="128"/>
      <c r="MKW39" s="130"/>
      <c r="MKX39" s="132"/>
      <c r="MKY39" s="133" t="s">
        <v>48</v>
      </c>
      <c r="MKZ39" s="134"/>
      <c r="MLA39" s="135"/>
      <c r="MLB39" s="126"/>
      <c r="MLC39" s="126"/>
      <c r="MLD39" s="128"/>
      <c r="MLE39" s="130"/>
      <c r="MLF39" s="132"/>
      <c r="MLG39" s="133" t="s">
        <v>48</v>
      </c>
      <c r="MLH39" s="134"/>
      <c r="MLI39" s="135"/>
      <c r="MLJ39" s="126"/>
      <c r="MLK39" s="126"/>
      <c r="MLL39" s="128"/>
      <c r="MLM39" s="130"/>
      <c r="MLN39" s="132"/>
      <c r="MLO39" s="133" t="s">
        <v>48</v>
      </c>
      <c r="MLP39" s="134"/>
      <c r="MLQ39" s="135"/>
      <c r="MLR39" s="126"/>
      <c r="MLS39" s="126"/>
      <c r="MLT39" s="128"/>
      <c r="MLU39" s="130"/>
      <c r="MLV39" s="132"/>
      <c r="MLW39" s="133" t="s">
        <v>48</v>
      </c>
      <c r="MLX39" s="134"/>
      <c r="MLY39" s="135"/>
      <c r="MLZ39" s="126"/>
      <c r="MMA39" s="126"/>
      <c r="MMB39" s="128"/>
      <c r="MMC39" s="130"/>
      <c r="MMD39" s="132"/>
      <c r="MME39" s="133" t="s">
        <v>48</v>
      </c>
      <c r="MMF39" s="134"/>
      <c r="MMG39" s="135"/>
      <c r="MMH39" s="126"/>
      <c r="MMI39" s="126"/>
      <c r="MMJ39" s="128"/>
      <c r="MMK39" s="130"/>
      <c r="MML39" s="132"/>
      <c r="MMM39" s="133" t="s">
        <v>48</v>
      </c>
      <c r="MMN39" s="134"/>
      <c r="MMO39" s="135"/>
      <c r="MMP39" s="126"/>
      <c r="MMQ39" s="126"/>
      <c r="MMR39" s="128"/>
      <c r="MMS39" s="130"/>
      <c r="MMT39" s="132"/>
      <c r="MMU39" s="133" t="s">
        <v>48</v>
      </c>
      <c r="MMV39" s="134"/>
      <c r="MMW39" s="135"/>
      <c r="MMX39" s="126"/>
      <c r="MMY39" s="126"/>
      <c r="MMZ39" s="128"/>
      <c r="MNA39" s="130"/>
      <c r="MNB39" s="132"/>
      <c r="MNC39" s="133" t="s">
        <v>48</v>
      </c>
      <c r="MND39" s="134"/>
      <c r="MNE39" s="135"/>
      <c r="MNF39" s="126"/>
      <c r="MNG39" s="126"/>
      <c r="MNH39" s="128"/>
      <c r="MNI39" s="130"/>
      <c r="MNJ39" s="132"/>
      <c r="MNK39" s="133" t="s">
        <v>48</v>
      </c>
      <c r="MNL39" s="134"/>
      <c r="MNM39" s="135"/>
      <c r="MNN39" s="126"/>
      <c r="MNO39" s="126"/>
      <c r="MNP39" s="128"/>
      <c r="MNQ39" s="130"/>
      <c r="MNR39" s="132"/>
      <c r="MNS39" s="133" t="s">
        <v>48</v>
      </c>
      <c r="MNT39" s="134"/>
      <c r="MNU39" s="135"/>
      <c r="MNV39" s="126"/>
      <c r="MNW39" s="126"/>
      <c r="MNX39" s="128"/>
      <c r="MNY39" s="130"/>
      <c r="MNZ39" s="132"/>
      <c r="MOA39" s="133" t="s">
        <v>48</v>
      </c>
      <c r="MOB39" s="134"/>
      <c r="MOC39" s="135"/>
      <c r="MOD39" s="126"/>
      <c r="MOE39" s="126"/>
      <c r="MOF39" s="128"/>
      <c r="MOG39" s="130"/>
      <c r="MOH39" s="132"/>
      <c r="MOI39" s="133" t="s">
        <v>48</v>
      </c>
      <c r="MOJ39" s="134"/>
      <c r="MOK39" s="135"/>
      <c r="MOL39" s="126"/>
      <c r="MOM39" s="126"/>
      <c r="MON39" s="128"/>
      <c r="MOO39" s="130"/>
      <c r="MOP39" s="132"/>
      <c r="MOQ39" s="133" t="s">
        <v>48</v>
      </c>
      <c r="MOR39" s="134"/>
      <c r="MOS39" s="135"/>
      <c r="MOT39" s="126"/>
      <c r="MOU39" s="126"/>
      <c r="MOV39" s="128"/>
      <c r="MOW39" s="130"/>
      <c r="MOX39" s="132"/>
      <c r="MOY39" s="133" t="s">
        <v>48</v>
      </c>
      <c r="MOZ39" s="134"/>
      <c r="MPA39" s="135"/>
      <c r="MPB39" s="126"/>
      <c r="MPC39" s="126"/>
      <c r="MPD39" s="128"/>
      <c r="MPE39" s="130"/>
      <c r="MPF39" s="132"/>
      <c r="MPG39" s="133" t="s">
        <v>48</v>
      </c>
      <c r="MPH39" s="134"/>
      <c r="MPI39" s="135"/>
      <c r="MPJ39" s="126"/>
      <c r="MPK39" s="126"/>
      <c r="MPL39" s="128"/>
      <c r="MPM39" s="130"/>
      <c r="MPN39" s="132"/>
      <c r="MPO39" s="133" t="s">
        <v>48</v>
      </c>
      <c r="MPP39" s="134"/>
      <c r="MPQ39" s="135"/>
      <c r="MPR39" s="126"/>
      <c r="MPS39" s="126"/>
      <c r="MPT39" s="128"/>
      <c r="MPU39" s="130"/>
      <c r="MPV39" s="132"/>
      <c r="MPW39" s="133" t="s">
        <v>48</v>
      </c>
      <c r="MPX39" s="134"/>
      <c r="MPY39" s="135"/>
      <c r="MPZ39" s="126"/>
      <c r="MQA39" s="126"/>
      <c r="MQB39" s="128"/>
      <c r="MQC39" s="130"/>
      <c r="MQD39" s="132"/>
      <c r="MQE39" s="133" t="s">
        <v>48</v>
      </c>
      <c r="MQF39" s="134"/>
      <c r="MQG39" s="135"/>
      <c r="MQH39" s="126"/>
      <c r="MQI39" s="126"/>
      <c r="MQJ39" s="128"/>
      <c r="MQK39" s="130"/>
      <c r="MQL39" s="132"/>
      <c r="MQM39" s="133" t="s">
        <v>48</v>
      </c>
      <c r="MQN39" s="134"/>
      <c r="MQO39" s="135"/>
      <c r="MQP39" s="126"/>
      <c r="MQQ39" s="126"/>
      <c r="MQR39" s="128"/>
      <c r="MQS39" s="130"/>
      <c r="MQT39" s="132"/>
      <c r="MQU39" s="133" t="s">
        <v>48</v>
      </c>
      <c r="MQV39" s="134"/>
      <c r="MQW39" s="135"/>
      <c r="MQX39" s="126"/>
      <c r="MQY39" s="126"/>
      <c r="MQZ39" s="128"/>
      <c r="MRA39" s="130"/>
      <c r="MRB39" s="132"/>
      <c r="MRC39" s="133" t="s">
        <v>48</v>
      </c>
      <c r="MRD39" s="134"/>
      <c r="MRE39" s="135"/>
      <c r="MRF39" s="126"/>
      <c r="MRG39" s="126"/>
      <c r="MRH39" s="128"/>
      <c r="MRI39" s="130"/>
      <c r="MRJ39" s="132"/>
      <c r="MRK39" s="133" t="s">
        <v>48</v>
      </c>
      <c r="MRL39" s="134"/>
      <c r="MRM39" s="135"/>
      <c r="MRN39" s="126"/>
      <c r="MRO39" s="126"/>
      <c r="MRP39" s="128"/>
      <c r="MRQ39" s="130"/>
      <c r="MRR39" s="132"/>
      <c r="MRS39" s="133" t="s">
        <v>48</v>
      </c>
      <c r="MRT39" s="134"/>
      <c r="MRU39" s="135"/>
      <c r="MRV39" s="126"/>
      <c r="MRW39" s="126"/>
      <c r="MRX39" s="128"/>
      <c r="MRY39" s="130"/>
      <c r="MRZ39" s="132"/>
      <c r="MSA39" s="133" t="s">
        <v>48</v>
      </c>
      <c r="MSB39" s="134"/>
      <c r="MSC39" s="135"/>
      <c r="MSD39" s="126"/>
      <c r="MSE39" s="126"/>
      <c r="MSF39" s="128"/>
      <c r="MSG39" s="130"/>
      <c r="MSH39" s="132"/>
      <c r="MSI39" s="133" t="s">
        <v>48</v>
      </c>
      <c r="MSJ39" s="134"/>
      <c r="MSK39" s="135"/>
      <c r="MSL39" s="126"/>
      <c r="MSM39" s="126"/>
      <c r="MSN39" s="128"/>
      <c r="MSO39" s="130"/>
      <c r="MSP39" s="132"/>
      <c r="MSQ39" s="133" t="s">
        <v>48</v>
      </c>
      <c r="MSR39" s="134"/>
      <c r="MSS39" s="135"/>
      <c r="MST39" s="126"/>
      <c r="MSU39" s="126"/>
      <c r="MSV39" s="128"/>
      <c r="MSW39" s="130"/>
      <c r="MSX39" s="132"/>
      <c r="MSY39" s="133" t="s">
        <v>48</v>
      </c>
      <c r="MSZ39" s="134"/>
      <c r="MTA39" s="135"/>
      <c r="MTB39" s="126"/>
      <c r="MTC39" s="126"/>
      <c r="MTD39" s="128"/>
      <c r="MTE39" s="130"/>
      <c r="MTF39" s="132"/>
      <c r="MTG39" s="133" t="s">
        <v>48</v>
      </c>
      <c r="MTH39" s="134"/>
      <c r="MTI39" s="135"/>
      <c r="MTJ39" s="126"/>
      <c r="MTK39" s="126"/>
      <c r="MTL39" s="128"/>
      <c r="MTM39" s="130"/>
      <c r="MTN39" s="132"/>
      <c r="MTO39" s="133" t="s">
        <v>48</v>
      </c>
      <c r="MTP39" s="134"/>
      <c r="MTQ39" s="135"/>
      <c r="MTR39" s="126"/>
      <c r="MTS39" s="126"/>
      <c r="MTT39" s="128"/>
      <c r="MTU39" s="130"/>
      <c r="MTV39" s="132"/>
      <c r="MTW39" s="133" t="s">
        <v>48</v>
      </c>
      <c r="MTX39" s="134"/>
      <c r="MTY39" s="135"/>
      <c r="MTZ39" s="126"/>
      <c r="MUA39" s="126"/>
      <c r="MUB39" s="128"/>
      <c r="MUC39" s="130"/>
      <c r="MUD39" s="132"/>
      <c r="MUE39" s="133" t="s">
        <v>48</v>
      </c>
      <c r="MUF39" s="134"/>
      <c r="MUG39" s="135"/>
      <c r="MUH39" s="126"/>
      <c r="MUI39" s="126"/>
      <c r="MUJ39" s="128"/>
      <c r="MUK39" s="130"/>
      <c r="MUL39" s="132"/>
      <c r="MUM39" s="133" t="s">
        <v>48</v>
      </c>
      <c r="MUN39" s="134"/>
      <c r="MUO39" s="135"/>
      <c r="MUP39" s="126"/>
      <c r="MUQ39" s="126"/>
      <c r="MUR39" s="128"/>
      <c r="MUS39" s="130"/>
      <c r="MUT39" s="132"/>
      <c r="MUU39" s="133" t="s">
        <v>48</v>
      </c>
      <c r="MUV39" s="134"/>
      <c r="MUW39" s="135"/>
      <c r="MUX39" s="126"/>
      <c r="MUY39" s="126"/>
      <c r="MUZ39" s="128"/>
      <c r="MVA39" s="130"/>
      <c r="MVB39" s="132"/>
      <c r="MVC39" s="133" t="s">
        <v>48</v>
      </c>
      <c r="MVD39" s="134"/>
      <c r="MVE39" s="135"/>
      <c r="MVF39" s="126"/>
      <c r="MVG39" s="126"/>
      <c r="MVH39" s="128"/>
      <c r="MVI39" s="130"/>
      <c r="MVJ39" s="132"/>
      <c r="MVK39" s="133" t="s">
        <v>48</v>
      </c>
      <c r="MVL39" s="134"/>
      <c r="MVM39" s="135"/>
      <c r="MVN39" s="126"/>
      <c r="MVO39" s="126"/>
      <c r="MVP39" s="128"/>
      <c r="MVQ39" s="130"/>
      <c r="MVR39" s="132"/>
      <c r="MVS39" s="133" t="s">
        <v>48</v>
      </c>
      <c r="MVT39" s="134"/>
      <c r="MVU39" s="135"/>
      <c r="MVV39" s="126"/>
      <c r="MVW39" s="126"/>
      <c r="MVX39" s="128"/>
      <c r="MVY39" s="130"/>
      <c r="MVZ39" s="132"/>
      <c r="MWA39" s="133" t="s">
        <v>48</v>
      </c>
      <c r="MWB39" s="134"/>
      <c r="MWC39" s="135"/>
      <c r="MWD39" s="126"/>
      <c r="MWE39" s="126"/>
      <c r="MWF39" s="128"/>
      <c r="MWG39" s="130"/>
      <c r="MWH39" s="132"/>
      <c r="MWI39" s="133" t="s">
        <v>48</v>
      </c>
      <c r="MWJ39" s="134"/>
      <c r="MWK39" s="135"/>
      <c r="MWL39" s="126"/>
      <c r="MWM39" s="126"/>
      <c r="MWN39" s="128"/>
      <c r="MWO39" s="130"/>
      <c r="MWP39" s="132"/>
      <c r="MWQ39" s="133" t="s">
        <v>48</v>
      </c>
      <c r="MWR39" s="134"/>
      <c r="MWS39" s="135"/>
      <c r="MWT39" s="126"/>
      <c r="MWU39" s="126"/>
      <c r="MWV39" s="128"/>
      <c r="MWW39" s="130"/>
      <c r="MWX39" s="132"/>
      <c r="MWY39" s="133" t="s">
        <v>48</v>
      </c>
      <c r="MWZ39" s="134"/>
      <c r="MXA39" s="135"/>
      <c r="MXB39" s="126"/>
      <c r="MXC39" s="126"/>
      <c r="MXD39" s="128"/>
      <c r="MXE39" s="130"/>
      <c r="MXF39" s="132"/>
      <c r="MXG39" s="133" t="s">
        <v>48</v>
      </c>
      <c r="MXH39" s="134"/>
      <c r="MXI39" s="135"/>
      <c r="MXJ39" s="126"/>
      <c r="MXK39" s="126"/>
      <c r="MXL39" s="128"/>
      <c r="MXM39" s="130"/>
      <c r="MXN39" s="132"/>
      <c r="MXO39" s="133" t="s">
        <v>48</v>
      </c>
      <c r="MXP39" s="134"/>
      <c r="MXQ39" s="135"/>
      <c r="MXR39" s="126"/>
      <c r="MXS39" s="126"/>
      <c r="MXT39" s="128"/>
      <c r="MXU39" s="130"/>
      <c r="MXV39" s="132"/>
      <c r="MXW39" s="133" t="s">
        <v>48</v>
      </c>
      <c r="MXX39" s="134"/>
      <c r="MXY39" s="135"/>
      <c r="MXZ39" s="126"/>
      <c r="MYA39" s="126"/>
      <c r="MYB39" s="128"/>
      <c r="MYC39" s="130"/>
      <c r="MYD39" s="132"/>
      <c r="MYE39" s="133" t="s">
        <v>48</v>
      </c>
      <c r="MYF39" s="134"/>
      <c r="MYG39" s="135"/>
      <c r="MYH39" s="126"/>
      <c r="MYI39" s="126"/>
      <c r="MYJ39" s="128"/>
      <c r="MYK39" s="130"/>
      <c r="MYL39" s="132"/>
      <c r="MYM39" s="133" t="s">
        <v>48</v>
      </c>
      <c r="MYN39" s="134"/>
      <c r="MYO39" s="135"/>
      <c r="MYP39" s="126"/>
      <c r="MYQ39" s="126"/>
      <c r="MYR39" s="128"/>
      <c r="MYS39" s="130"/>
      <c r="MYT39" s="132"/>
      <c r="MYU39" s="133" t="s">
        <v>48</v>
      </c>
      <c r="MYV39" s="134"/>
      <c r="MYW39" s="135"/>
      <c r="MYX39" s="126"/>
      <c r="MYY39" s="126"/>
      <c r="MYZ39" s="128"/>
      <c r="MZA39" s="130"/>
      <c r="MZB39" s="132"/>
      <c r="MZC39" s="133" t="s">
        <v>48</v>
      </c>
      <c r="MZD39" s="134"/>
      <c r="MZE39" s="135"/>
      <c r="MZF39" s="126"/>
      <c r="MZG39" s="126"/>
      <c r="MZH39" s="128"/>
      <c r="MZI39" s="130"/>
      <c r="MZJ39" s="132"/>
      <c r="MZK39" s="133" t="s">
        <v>48</v>
      </c>
      <c r="MZL39" s="134"/>
      <c r="MZM39" s="135"/>
      <c r="MZN39" s="126"/>
      <c r="MZO39" s="126"/>
      <c r="MZP39" s="128"/>
      <c r="MZQ39" s="130"/>
      <c r="MZR39" s="132"/>
      <c r="MZS39" s="133" t="s">
        <v>48</v>
      </c>
      <c r="MZT39" s="134"/>
      <c r="MZU39" s="135"/>
      <c r="MZV39" s="126"/>
      <c r="MZW39" s="126"/>
      <c r="MZX39" s="128"/>
      <c r="MZY39" s="130"/>
      <c r="MZZ39" s="132"/>
      <c r="NAA39" s="133" t="s">
        <v>48</v>
      </c>
      <c r="NAB39" s="134"/>
      <c r="NAC39" s="135"/>
      <c r="NAD39" s="126"/>
      <c r="NAE39" s="126"/>
      <c r="NAF39" s="128"/>
      <c r="NAG39" s="130"/>
      <c r="NAH39" s="132"/>
      <c r="NAI39" s="133" t="s">
        <v>48</v>
      </c>
      <c r="NAJ39" s="134"/>
      <c r="NAK39" s="135"/>
      <c r="NAL39" s="126"/>
      <c r="NAM39" s="126"/>
      <c r="NAN39" s="128"/>
      <c r="NAO39" s="130"/>
      <c r="NAP39" s="132"/>
      <c r="NAQ39" s="133" t="s">
        <v>48</v>
      </c>
      <c r="NAR39" s="134"/>
      <c r="NAS39" s="135"/>
      <c r="NAT39" s="126"/>
      <c r="NAU39" s="126"/>
      <c r="NAV39" s="128"/>
      <c r="NAW39" s="130"/>
      <c r="NAX39" s="132"/>
      <c r="NAY39" s="133" t="s">
        <v>48</v>
      </c>
      <c r="NAZ39" s="134"/>
      <c r="NBA39" s="135"/>
      <c r="NBB39" s="126"/>
      <c r="NBC39" s="126"/>
      <c r="NBD39" s="128"/>
      <c r="NBE39" s="130"/>
      <c r="NBF39" s="132"/>
      <c r="NBG39" s="133" t="s">
        <v>48</v>
      </c>
      <c r="NBH39" s="134"/>
      <c r="NBI39" s="135"/>
      <c r="NBJ39" s="126"/>
      <c r="NBK39" s="126"/>
      <c r="NBL39" s="128"/>
      <c r="NBM39" s="130"/>
      <c r="NBN39" s="132"/>
      <c r="NBO39" s="133" t="s">
        <v>48</v>
      </c>
      <c r="NBP39" s="134"/>
      <c r="NBQ39" s="135"/>
      <c r="NBR39" s="126"/>
      <c r="NBS39" s="126"/>
      <c r="NBT39" s="128"/>
      <c r="NBU39" s="130"/>
      <c r="NBV39" s="132"/>
      <c r="NBW39" s="133" t="s">
        <v>48</v>
      </c>
      <c r="NBX39" s="134"/>
      <c r="NBY39" s="135"/>
      <c r="NBZ39" s="126"/>
      <c r="NCA39" s="126"/>
      <c r="NCB39" s="128"/>
      <c r="NCC39" s="130"/>
      <c r="NCD39" s="132"/>
      <c r="NCE39" s="133" t="s">
        <v>48</v>
      </c>
      <c r="NCF39" s="134"/>
      <c r="NCG39" s="135"/>
      <c r="NCH39" s="126"/>
      <c r="NCI39" s="126"/>
      <c r="NCJ39" s="128"/>
      <c r="NCK39" s="130"/>
      <c r="NCL39" s="132"/>
      <c r="NCM39" s="133" t="s">
        <v>48</v>
      </c>
      <c r="NCN39" s="134"/>
      <c r="NCO39" s="135"/>
      <c r="NCP39" s="126"/>
      <c r="NCQ39" s="126"/>
      <c r="NCR39" s="128"/>
      <c r="NCS39" s="130"/>
      <c r="NCT39" s="132"/>
      <c r="NCU39" s="133" t="s">
        <v>48</v>
      </c>
      <c r="NCV39" s="134"/>
      <c r="NCW39" s="135"/>
      <c r="NCX39" s="126"/>
      <c r="NCY39" s="126"/>
      <c r="NCZ39" s="128"/>
      <c r="NDA39" s="130"/>
      <c r="NDB39" s="132"/>
      <c r="NDC39" s="133" t="s">
        <v>48</v>
      </c>
      <c r="NDD39" s="134"/>
      <c r="NDE39" s="135"/>
      <c r="NDF39" s="126"/>
      <c r="NDG39" s="126"/>
      <c r="NDH39" s="128"/>
      <c r="NDI39" s="130"/>
      <c r="NDJ39" s="132"/>
      <c r="NDK39" s="133" t="s">
        <v>48</v>
      </c>
      <c r="NDL39" s="134"/>
      <c r="NDM39" s="135"/>
      <c r="NDN39" s="126"/>
      <c r="NDO39" s="126"/>
      <c r="NDP39" s="128"/>
      <c r="NDQ39" s="130"/>
      <c r="NDR39" s="132"/>
      <c r="NDS39" s="133" t="s">
        <v>48</v>
      </c>
      <c r="NDT39" s="134"/>
      <c r="NDU39" s="135"/>
      <c r="NDV39" s="126"/>
      <c r="NDW39" s="126"/>
      <c r="NDX39" s="128"/>
      <c r="NDY39" s="130"/>
      <c r="NDZ39" s="132"/>
      <c r="NEA39" s="133" t="s">
        <v>48</v>
      </c>
      <c r="NEB39" s="134"/>
      <c r="NEC39" s="135"/>
      <c r="NED39" s="126"/>
      <c r="NEE39" s="126"/>
      <c r="NEF39" s="128"/>
      <c r="NEG39" s="130"/>
      <c r="NEH39" s="132"/>
      <c r="NEI39" s="133" t="s">
        <v>48</v>
      </c>
      <c r="NEJ39" s="134"/>
      <c r="NEK39" s="135"/>
      <c r="NEL39" s="126"/>
      <c r="NEM39" s="126"/>
      <c r="NEN39" s="128"/>
      <c r="NEO39" s="130"/>
      <c r="NEP39" s="132"/>
      <c r="NEQ39" s="133" t="s">
        <v>48</v>
      </c>
      <c r="NER39" s="134"/>
      <c r="NES39" s="135"/>
      <c r="NET39" s="126"/>
      <c r="NEU39" s="126"/>
      <c r="NEV39" s="128"/>
      <c r="NEW39" s="130"/>
      <c r="NEX39" s="132"/>
      <c r="NEY39" s="133" t="s">
        <v>48</v>
      </c>
      <c r="NEZ39" s="134"/>
      <c r="NFA39" s="135"/>
      <c r="NFB39" s="126"/>
      <c r="NFC39" s="126"/>
      <c r="NFD39" s="128"/>
      <c r="NFE39" s="130"/>
      <c r="NFF39" s="132"/>
      <c r="NFG39" s="133" t="s">
        <v>48</v>
      </c>
      <c r="NFH39" s="134"/>
      <c r="NFI39" s="135"/>
      <c r="NFJ39" s="126"/>
      <c r="NFK39" s="126"/>
      <c r="NFL39" s="128"/>
      <c r="NFM39" s="130"/>
      <c r="NFN39" s="132"/>
      <c r="NFO39" s="133" t="s">
        <v>48</v>
      </c>
      <c r="NFP39" s="134"/>
      <c r="NFQ39" s="135"/>
      <c r="NFR39" s="126"/>
      <c r="NFS39" s="126"/>
      <c r="NFT39" s="128"/>
      <c r="NFU39" s="130"/>
      <c r="NFV39" s="132"/>
      <c r="NFW39" s="133" t="s">
        <v>48</v>
      </c>
      <c r="NFX39" s="134"/>
      <c r="NFY39" s="135"/>
      <c r="NFZ39" s="126"/>
      <c r="NGA39" s="126"/>
      <c r="NGB39" s="128"/>
      <c r="NGC39" s="130"/>
      <c r="NGD39" s="132"/>
      <c r="NGE39" s="133" t="s">
        <v>48</v>
      </c>
      <c r="NGF39" s="134"/>
      <c r="NGG39" s="135"/>
      <c r="NGH39" s="126"/>
      <c r="NGI39" s="126"/>
      <c r="NGJ39" s="128"/>
      <c r="NGK39" s="130"/>
      <c r="NGL39" s="132"/>
      <c r="NGM39" s="133" t="s">
        <v>48</v>
      </c>
      <c r="NGN39" s="134"/>
      <c r="NGO39" s="135"/>
      <c r="NGP39" s="126"/>
      <c r="NGQ39" s="126"/>
      <c r="NGR39" s="128"/>
      <c r="NGS39" s="130"/>
      <c r="NGT39" s="132"/>
      <c r="NGU39" s="133" t="s">
        <v>48</v>
      </c>
      <c r="NGV39" s="134"/>
      <c r="NGW39" s="135"/>
      <c r="NGX39" s="126"/>
      <c r="NGY39" s="126"/>
      <c r="NGZ39" s="128"/>
      <c r="NHA39" s="130"/>
      <c r="NHB39" s="132"/>
      <c r="NHC39" s="133" t="s">
        <v>48</v>
      </c>
      <c r="NHD39" s="134"/>
      <c r="NHE39" s="135"/>
      <c r="NHF39" s="126"/>
      <c r="NHG39" s="126"/>
      <c r="NHH39" s="128"/>
      <c r="NHI39" s="130"/>
      <c r="NHJ39" s="132"/>
      <c r="NHK39" s="133" t="s">
        <v>48</v>
      </c>
      <c r="NHL39" s="134"/>
      <c r="NHM39" s="135"/>
      <c r="NHN39" s="126"/>
      <c r="NHO39" s="126"/>
      <c r="NHP39" s="128"/>
      <c r="NHQ39" s="130"/>
      <c r="NHR39" s="132"/>
      <c r="NHS39" s="133" t="s">
        <v>48</v>
      </c>
      <c r="NHT39" s="134"/>
      <c r="NHU39" s="135"/>
      <c r="NHV39" s="126"/>
      <c r="NHW39" s="126"/>
      <c r="NHX39" s="128"/>
      <c r="NHY39" s="130"/>
      <c r="NHZ39" s="132"/>
      <c r="NIA39" s="133" t="s">
        <v>48</v>
      </c>
      <c r="NIB39" s="134"/>
      <c r="NIC39" s="135"/>
      <c r="NID39" s="126"/>
      <c r="NIE39" s="126"/>
      <c r="NIF39" s="128"/>
      <c r="NIG39" s="130"/>
      <c r="NIH39" s="132"/>
      <c r="NII39" s="133" t="s">
        <v>48</v>
      </c>
      <c r="NIJ39" s="134"/>
      <c r="NIK39" s="135"/>
      <c r="NIL39" s="126"/>
      <c r="NIM39" s="126"/>
      <c r="NIN39" s="128"/>
      <c r="NIO39" s="130"/>
      <c r="NIP39" s="132"/>
      <c r="NIQ39" s="133" t="s">
        <v>48</v>
      </c>
      <c r="NIR39" s="134"/>
      <c r="NIS39" s="135"/>
      <c r="NIT39" s="126"/>
      <c r="NIU39" s="126"/>
      <c r="NIV39" s="128"/>
      <c r="NIW39" s="130"/>
      <c r="NIX39" s="132"/>
      <c r="NIY39" s="133" t="s">
        <v>48</v>
      </c>
      <c r="NIZ39" s="134"/>
      <c r="NJA39" s="135"/>
      <c r="NJB39" s="126"/>
      <c r="NJC39" s="126"/>
      <c r="NJD39" s="128"/>
      <c r="NJE39" s="130"/>
      <c r="NJF39" s="132"/>
      <c r="NJG39" s="133" t="s">
        <v>48</v>
      </c>
      <c r="NJH39" s="134"/>
      <c r="NJI39" s="135"/>
      <c r="NJJ39" s="126"/>
      <c r="NJK39" s="126"/>
      <c r="NJL39" s="128"/>
      <c r="NJM39" s="130"/>
      <c r="NJN39" s="132"/>
      <c r="NJO39" s="133" t="s">
        <v>48</v>
      </c>
      <c r="NJP39" s="134"/>
      <c r="NJQ39" s="135"/>
      <c r="NJR39" s="126"/>
      <c r="NJS39" s="126"/>
      <c r="NJT39" s="128"/>
      <c r="NJU39" s="130"/>
      <c r="NJV39" s="132"/>
      <c r="NJW39" s="133" t="s">
        <v>48</v>
      </c>
      <c r="NJX39" s="134"/>
      <c r="NJY39" s="135"/>
      <c r="NJZ39" s="126"/>
      <c r="NKA39" s="126"/>
      <c r="NKB39" s="128"/>
      <c r="NKC39" s="130"/>
      <c r="NKD39" s="132"/>
      <c r="NKE39" s="133" t="s">
        <v>48</v>
      </c>
      <c r="NKF39" s="134"/>
      <c r="NKG39" s="135"/>
      <c r="NKH39" s="126"/>
      <c r="NKI39" s="126"/>
      <c r="NKJ39" s="128"/>
      <c r="NKK39" s="130"/>
      <c r="NKL39" s="132"/>
      <c r="NKM39" s="133" t="s">
        <v>48</v>
      </c>
      <c r="NKN39" s="134"/>
      <c r="NKO39" s="135"/>
      <c r="NKP39" s="126"/>
      <c r="NKQ39" s="126"/>
      <c r="NKR39" s="128"/>
      <c r="NKS39" s="130"/>
      <c r="NKT39" s="132"/>
      <c r="NKU39" s="133" t="s">
        <v>48</v>
      </c>
      <c r="NKV39" s="134"/>
      <c r="NKW39" s="135"/>
      <c r="NKX39" s="126"/>
      <c r="NKY39" s="126"/>
      <c r="NKZ39" s="128"/>
      <c r="NLA39" s="130"/>
      <c r="NLB39" s="132"/>
      <c r="NLC39" s="133" t="s">
        <v>48</v>
      </c>
      <c r="NLD39" s="134"/>
      <c r="NLE39" s="135"/>
      <c r="NLF39" s="126"/>
      <c r="NLG39" s="126"/>
      <c r="NLH39" s="128"/>
      <c r="NLI39" s="130"/>
      <c r="NLJ39" s="132"/>
      <c r="NLK39" s="133" t="s">
        <v>48</v>
      </c>
      <c r="NLL39" s="134"/>
      <c r="NLM39" s="135"/>
      <c r="NLN39" s="126"/>
      <c r="NLO39" s="126"/>
      <c r="NLP39" s="128"/>
      <c r="NLQ39" s="130"/>
      <c r="NLR39" s="132"/>
      <c r="NLS39" s="133" t="s">
        <v>48</v>
      </c>
      <c r="NLT39" s="134"/>
      <c r="NLU39" s="135"/>
      <c r="NLV39" s="126"/>
      <c r="NLW39" s="126"/>
      <c r="NLX39" s="128"/>
      <c r="NLY39" s="130"/>
      <c r="NLZ39" s="132"/>
      <c r="NMA39" s="133" t="s">
        <v>48</v>
      </c>
      <c r="NMB39" s="134"/>
      <c r="NMC39" s="135"/>
      <c r="NMD39" s="126"/>
      <c r="NME39" s="126"/>
      <c r="NMF39" s="128"/>
      <c r="NMG39" s="130"/>
      <c r="NMH39" s="132"/>
      <c r="NMI39" s="133" t="s">
        <v>48</v>
      </c>
      <c r="NMJ39" s="134"/>
      <c r="NMK39" s="135"/>
      <c r="NML39" s="126"/>
      <c r="NMM39" s="126"/>
      <c r="NMN39" s="128"/>
      <c r="NMO39" s="130"/>
      <c r="NMP39" s="132"/>
      <c r="NMQ39" s="133" t="s">
        <v>48</v>
      </c>
      <c r="NMR39" s="134"/>
      <c r="NMS39" s="135"/>
      <c r="NMT39" s="126"/>
      <c r="NMU39" s="126"/>
      <c r="NMV39" s="128"/>
      <c r="NMW39" s="130"/>
      <c r="NMX39" s="132"/>
      <c r="NMY39" s="133" t="s">
        <v>48</v>
      </c>
      <c r="NMZ39" s="134"/>
      <c r="NNA39" s="135"/>
      <c r="NNB39" s="126"/>
      <c r="NNC39" s="126"/>
      <c r="NND39" s="128"/>
      <c r="NNE39" s="130"/>
      <c r="NNF39" s="132"/>
      <c r="NNG39" s="133" t="s">
        <v>48</v>
      </c>
      <c r="NNH39" s="134"/>
      <c r="NNI39" s="135"/>
      <c r="NNJ39" s="126"/>
      <c r="NNK39" s="126"/>
      <c r="NNL39" s="128"/>
      <c r="NNM39" s="130"/>
      <c r="NNN39" s="132"/>
      <c r="NNO39" s="133" t="s">
        <v>48</v>
      </c>
      <c r="NNP39" s="134"/>
      <c r="NNQ39" s="135"/>
      <c r="NNR39" s="126"/>
      <c r="NNS39" s="126"/>
      <c r="NNT39" s="128"/>
      <c r="NNU39" s="130"/>
      <c r="NNV39" s="132"/>
      <c r="NNW39" s="133" t="s">
        <v>48</v>
      </c>
      <c r="NNX39" s="134"/>
      <c r="NNY39" s="135"/>
      <c r="NNZ39" s="126"/>
      <c r="NOA39" s="126"/>
      <c r="NOB39" s="128"/>
      <c r="NOC39" s="130"/>
      <c r="NOD39" s="132"/>
      <c r="NOE39" s="133" t="s">
        <v>48</v>
      </c>
      <c r="NOF39" s="134"/>
      <c r="NOG39" s="135"/>
      <c r="NOH39" s="126"/>
      <c r="NOI39" s="126"/>
      <c r="NOJ39" s="128"/>
      <c r="NOK39" s="130"/>
      <c r="NOL39" s="132"/>
      <c r="NOM39" s="133" t="s">
        <v>48</v>
      </c>
      <c r="NON39" s="134"/>
      <c r="NOO39" s="135"/>
      <c r="NOP39" s="126"/>
      <c r="NOQ39" s="126"/>
      <c r="NOR39" s="128"/>
      <c r="NOS39" s="130"/>
      <c r="NOT39" s="132"/>
      <c r="NOU39" s="133" t="s">
        <v>48</v>
      </c>
      <c r="NOV39" s="134"/>
      <c r="NOW39" s="135"/>
      <c r="NOX39" s="126"/>
      <c r="NOY39" s="126"/>
      <c r="NOZ39" s="128"/>
      <c r="NPA39" s="130"/>
      <c r="NPB39" s="132"/>
      <c r="NPC39" s="133" t="s">
        <v>48</v>
      </c>
      <c r="NPD39" s="134"/>
      <c r="NPE39" s="135"/>
      <c r="NPF39" s="126"/>
      <c r="NPG39" s="126"/>
      <c r="NPH39" s="128"/>
      <c r="NPI39" s="130"/>
      <c r="NPJ39" s="132"/>
      <c r="NPK39" s="133" t="s">
        <v>48</v>
      </c>
      <c r="NPL39" s="134"/>
      <c r="NPM39" s="135"/>
      <c r="NPN39" s="126"/>
      <c r="NPO39" s="126"/>
      <c r="NPP39" s="128"/>
      <c r="NPQ39" s="130"/>
      <c r="NPR39" s="132"/>
      <c r="NPS39" s="133" t="s">
        <v>48</v>
      </c>
      <c r="NPT39" s="134"/>
      <c r="NPU39" s="135"/>
      <c r="NPV39" s="126"/>
      <c r="NPW39" s="126"/>
      <c r="NPX39" s="128"/>
      <c r="NPY39" s="130"/>
      <c r="NPZ39" s="132"/>
      <c r="NQA39" s="133" t="s">
        <v>48</v>
      </c>
      <c r="NQB39" s="134"/>
      <c r="NQC39" s="135"/>
      <c r="NQD39" s="126"/>
      <c r="NQE39" s="126"/>
      <c r="NQF39" s="128"/>
      <c r="NQG39" s="130"/>
      <c r="NQH39" s="132"/>
      <c r="NQI39" s="133" t="s">
        <v>48</v>
      </c>
      <c r="NQJ39" s="134"/>
      <c r="NQK39" s="135"/>
      <c r="NQL39" s="126"/>
      <c r="NQM39" s="126"/>
      <c r="NQN39" s="128"/>
      <c r="NQO39" s="130"/>
      <c r="NQP39" s="132"/>
      <c r="NQQ39" s="133" t="s">
        <v>48</v>
      </c>
      <c r="NQR39" s="134"/>
      <c r="NQS39" s="135"/>
      <c r="NQT39" s="126"/>
      <c r="NQU39" s="126"/>
      <c r="NQV39" s="128"/>
      <c r="NQW39" s="130"/>
      <c r="NQX39" s="132"/>
      <c r="NQY39" s="133" t="s">
        <v>48</v>
      </c>
      <c r="NQZ39" s="134"/>
      <c r="NRA39" s="135"/>
      <c r="NRB39" s="126"/>
      <c r="NRC39" s="126"/>
      <c r="NRD39" s="128"/>
      <c r="NRE39" s="130"/>
      <c r="NRF39" s="132"/>
      <c r="NRG39" s="133" t="s">
        <v>48</v>
      </c>
      <c r="NRH39" s="134"/>
      <c r="NRI39" s="135"/>
      <c r="NRJ39" s="126"/>
      <c r="NRK39" s="126"/>
      <c r="NRL39" s="128"/>
      <c r="NRM39" s="130"/>
      <c r="NRN39" s="132"/>
      <c r="NRO39" s="133" t="s">
        <v>48</v>
      </c>
      <c r="NRP39" s="134"/>
      <c r="NRQ39" s="135"/>
      <c r="NRR39" s="126"/>
      <c r="NRS39" s="126"/>
      <c r="NRT39" s="128"/>
      <c r="NRU39" s="130"/>
      <c r="NRV39" s="132"/>
      <c r="NRW39" s="133" t="s">
        <v>48</v>
      </c>
      <c r="NRX39" s="134"/>
      <c r="NRY39" s="135"/>
      <c r="NRZ39" s="126"/>
      <c r="NSA39" s="126"/>
      <c r="NSB39" s="128"/>
      <c r="NSC39" s="130"/>
      <c r="NSD39" s="132"/>
      <c r="NSE39" s="133" t="s">
        <v>48</v>
      </c>
      <c r="NSF39" s="134"/>
      <c r="NSG39" s="135"/>
      <c r="NSH39" s="126"/>
      <c r="NSI39" s="126"/>
      <c r="NSJ39" s="128"/>
      <c r="NSK39" s="130"/>
      <c r="NSL39" s="132"/>
      <c r="NSM39" s="133" t="s">
        <v>48</v>
      </c>
      <c r="NSN39" s="134"/>
      <c r="NSO39" s="135"/>
      <c r="NSP39" s="126"/>
      <c r="NSQ39" s="126"/>
      <c r="NSR39" s="128"/>
      <c r="NSS39" s="130"/>
      <c r="NST39" s="132"/>
      <c r="NSU39" s="133" t="s">
        <v>48</v>
      </c>
      <c r="NSV39" s="134"/>
      <c r="NSW39" s="135"/>
      <c r="NSX39" s="126"/>
      <c r="NSY39" s="126"/>
      <c r="NSZ39" s="128"/>
      <c r="NTA39" s="130"/>
      <c r="NTB39" s="132"/>
      <c r="NTC39" s="133" t="s">
        <v>48</v>
      </c>
      <c r="NTD39" s="134"/>
      <c r="NTE39" s="135"/>
      <c r="NTF39" s="126"/>
      <c r="NTG39" s="126"/>
      <c r="NTH39" s="128"/>
      <c r="NTI39" s="130"/>
      <c r="NTJ39" s="132"/>
      <c r="NTK39" s="133" t="s">
        <v>48</v>
      </c>
      <c r="NTL39" s="134"/>
      <c r="NTM39" s="135"/>
      <c r="NTN39" s="126"/>
      <c r="NTO39" s="126"/>
      <c r="NTP39" s="128"/>
      <c r="NTQ39" s="130"/>
      <c r="NTR39" s="132"/>
      <c r="NTS39" s="133" t="s">
        <v>48</v>
      </c>
      <c r="NTT39" s="134"/>
      <c r="NTU39" s="135"/>
      <c r="NTV39" s="126"/>
      <c r="NTW39" s="126"/>
      <c r="NTX39" s="128"/>
      <c r="NTY39" s="130"/>
      <c r="NTZ39" s="132"/>
      <c r="NUA39" s="133" t="s">
        <v>48</v>
      </c>
      <c r="NUB39" s="134"/>
      <c r="NUC39" s="135"/>
      <c r="NUD39" s="126"/>
      <c r="NUE39" s="126"/>
      <c r="NUF39" s="128"/>
      <c r="NUG39" s="130"/>
      <c r="NUH39" s="132"/>
      <c r="NUI39" s="133" t="s">
        <v>48</v>
      </c>
      <c r="NUJ39" s="134"/>
      <c r="NUK39" s="135"/>
      <c r="NUL39" s="126"/>
      <c r="NUM39" s="126"/>
      <c r="NUN39" s="128"/>
      <c r="NUO39" s="130"/>
      <c r="NUP39" s="132"/>
      <c r="NUQ39" s="133" t="s">
        <v>48</v>
      </c>
      <c r="NUR39" s="134"/>
      <c r="NUS39" s="135"/>
      <c r="NUT39" s="126"/>
      <c r="NUU39" s="126"/>
      <c r="NUV39" s="128"/>
      <c r="NUW39" s="130"/>
      <c r="NUX39" s="132"/>
      <c r="NUY39" s="133" t="s">
        <v>48</v>
      </c>
      <c r="NUZ39" s="134"/>
      <c r="NVA39" s="135"/>
      <c r="NVB39" s="126"/>
      <c r="NVC39" s="126"/>
      <c r="NVD39" s="128"/>
      <c r="NVE39" s="130"/>
      <c r="NVF39" s="132"/>
      <c r="NVG39" s="133" t="s">
        <v>48</v>
      </c>
      <c r="NVH39" s="134"/>
      <c r="NVI39" s="135"/>
      <c r="NVJ39" s="126"/>
      <c r="NVK39" s="126"/>
      <c r="NVL39" s="128"/>
      <c r="NVM39" s="130"/>
      <c r="NVN39" s="132"/>
      <c r="NVO39" s="133" t="s">
        <v>48</v>
      </c>
      <c r="NVP39" s="134"/>
      <c r="NVQ39" s="135"/>
      <c r="NVR39" s="126"/>
      <c r="NVS39" s="126"/>
      <c r="NVT39" s="128"/>
      <c r="NVU39" s="130"/>
      <c r="NVV39" s="132"/>
      <c r="NVW39" s="133" t="s">
        <v>48</v>
      </c>
      <c r="NVX39" s="134"/>
      <c r="NVY39" s="135"/>
      <c r="NVZ39" s="126"/>
      <c r="NWA39" s="126"/>
      <c r="NWB39" s="128"/>
      <c r="NWC39" s="130"/>
      <c r="NWD39" s="132"/>
      <c r="NWE39" s="133" t="s">
        <v>48</v>
      </c>
      <c r="NWF39" s="134"/>
      <c r="NWG39" s="135"/>
      <c r="NWH39" s="126"/>
      <c r="NWI39" s="126"/>
      <c r="NWJ39" s="128"/>
      <c r="NWK39" s="130"/>
      <c r="NWL39" s="132"/>
      <c r="NWM39" s="133" t="s">
        <v>48</v>
      </c>
      <c r="NWN39" s="134"/>
      <c r="NWO39" s="135"/>
      <c r="NWP39" s="126"/>
      <c r="NWQ39" s="126"/>
      <c r="NWR39" s="128"/>
      <c r="NWS39" s="130"/>
      <c r="NWT39" s="132"/>
      <c r="NWU39" s="133" t="s">
        <v>48</v>
      </c>
      <c r="NWV39" s="134"/>
      <c r="NWW39" s="135"/>
      <c r="NWX39" s="126"/>
      <c r="NWY39" s="126"/>
      <c r="NWZ39" s="128"/>
      <c r="NXA39" s="130"/>
      <c r="NXB39" s="132"/>
      <c r="NXC39" s="133" t="s">
        <v>48</v>
      </c>
      <c r="NXD39" s="134"/>
      <c r="NXE39" s="135"/>
      <c r="NXF39" s="126"/>
      <c r="NXG39" s="126"/>
      <c r="NXH39" s="128"/>
      <c r="NXI39" s="130"/>
      <c r="NXJ39" s="132"/>
      <c r="NXK39" s="133" t="s">
        <v>48</v>
      </c>
      <c r="NXL39" s="134"/>
      <c r="NXM39" s="135"/>
      <c r="NXN39" s="126"/>
      <c r="NXO39" s="126"/>
      <c r="NXP39" s="128"/>
      <c r="NXQ39" s="130"/>
      <c r="NXR39" s="132"/>
      <c r="NXS39" s="133" t="s">
        <v>48</v>
      </c>
      <c r="NXT39" s="134"/>
      <c r="NXU39" s="135"/>
      <c r="NXV39" s="126"/>
      <c r="NXW39" s="126"/>
      <c r="NXX39" s="128"/>
      <c r="NXY39" s="130"/>
      <c r="NXZ39" s="132"/>
      <c r="NYA39" s="133" t="s">
        <v>48</v>
      </c>
      <c r="NYB39" s="134"/>
      <c r="NYC39" s="135"/>
      <c r="NYD39" s="126"/>
      <c r="NYE39" s="126"/>
      <c r="NYF39" s="128"/>
      <c r="NYG39" s="130"/>
      <c r="NYH39" s="132"/>
      <c r="NYI39" s="133" t="s">
        <v>48</v>
      </c>
      <c r="NYJ39" s="134"/>
      <c r="NYK39" s="135"/>
      <c r="NYL39" s="126"/>
      <c r="NYM39" s="126"/>
      <c r="NYN39" s="128"/>
      <c r="NYO39" s="130"/>
      <c r="NYP39" s="132"/>
      <c r="NYQ39" s="133" t="s">
        <v>48</v>
      </c>
      <c r="NYR39" s="134"/>
      <c r="NYS39" s="135"/>
      <c r="NYT39" s="126"/>
      <c r="NYU39" s="126"/>
      <c r="NYV39" s="128"/>
      <c r="NYW39" s="130"/>
      <c r="NYX39" s="132"/>
      <c r="NYY39" s="133" t="s">
        <v>48</v>
      </c>
      <c r="NYZ39" s="134"/>
      <c r="NZA39" s="135"/>
      <c r="NZB39" s="126"/>
      <c r="NZC39" s="126"/>
      <c r="NZD39" s="128"/>
      <c r="NZE39" s="130"/>
      <c r="NZF39" s="132"/>
      <c r="NZG39" s="133" t="s">
        <v>48</v>
      </c>
      <c r="NZH39" s="134"/>
      <c r="NZI39" s="135"/>
      <c r="NZJ39" s="126"/>
      <c r="NZK39" s="126"/>
      <c r="NZL39" s="128"/>
      <c r="NZM39" s="130"/>
      <c r="NZN39" s="132"/>
      <c r="NZO39" s="133" t="s">
        <v>48</v>
      </c>
      <c r="NZP39" s="134"/>
      <c r="NZQ39" s="135"/>
      <c r="NZR39" s="126"/>
      <c r="NZS39" s="126"/>
      <c r="NZT39" s="128"/>
      <c r="NZU39" s="130"/>
      <c r="NZV39" s="132"/>
      <c r="NZW39" s="133" t="s">
        <v>48</v>
      </c>
      <c r="NZX39" s="134"/>
      <c r="NZY39" s="135"/>
      <c r="NZZ39" s="126"/>
      <c r="OAA39" s="126"/>
      <c r="OAB39" s="128"/>
      <c r="OAC39" s="130"/>
      <c r="OAD39" s="132"/>
      <c r="OAE39" s="133" t="s">
        <v>48</v>
      </c>
      <c r="OAF39" s="134"/>
      <c r="OAG39" s="135"/>
      <c r="OAH39" s="126"/>
      <c r="OAI39" s="126"/>
      <c r="OAJ39" s="128"/>
      <c r="OAK39" s="130"/>
      <c r="OAL39" s="132"/>
      <c r="OAM39" s="133" t="s">
        <v>48</v>
      </c>
      <c r="OAN39" s="134"/>
      <c r="OAO39" s="135"/>
      <c r="OAP39" s="126"/>
      <c r="OAQ39" s="126"/>
      <c r="OAR39" s="128"/>
      <c r="OAS39" s="130"/>
      <c r="OAT39" s="132"/>
      <c r="OAU39" s="133" t="s">
        <v>48</v>
      </c>
      <c r="OAV39" s="134"/>
      <c r="OAW39" s="135"/>
      <c r="OAX39" s="126"/>
      <c r="OAY39" s="126"/>
      <c r="OAZ39" s="128"/>
      <c r="OBA39" s="130"/>
      <c r="OBB39" s="132"/>
      <c r="OBC39" s="133" t="s">
        <v>48</v>
      </c>
      <c r="OBD39" s="134"/>
      <c r="OBE39" s="135"/>
      <c r="OBF39" s="126"/>
      <c r="OBG39" s="126"/>
      <c r="OBH39" s="128"/>
      <c r="OBI39" s="130"/>
      <c r="OBJ39" s="132"/>
      <c r="OBK39" s="133" t="s">
        <v>48</v>
      </c>
      <c r="OBL39" s="134"/>
      <c r="OBM39" s="135"/>
      <c r="OBN39" s="126"/>
      <c r="OBO39" s="126"/>
      <c r="OBP39" s="128"/>
      <c r="OBQ39" s="130"/>
      <c r="OBR39" s="132"/>
      <c r="OBS39" s="133" t="s">
        <v>48</v>
      </c>
      <c r="OBT39" s="134"/>
      <c r="OBU39" s="135"/>
      <c r="OBV39" s="126"/>
      <c r="OBW39" s="126"/>
      <c r="OBX39" s="128"/>
      <c r="OBY39" s="130"/>
      <c r="OBZ39" s="132"/>
      <c r="OCA39" s="133" t="s">
        <v>48</v>
      </c>
      <c r="OCB39" s="134"/>
      <c r="OCC39" s="135"/>
      <c r="OCD39" s="126"/>
      <c r="OCE39" s="126"/>
      <c r="OCF39" s="128"/>
      <c r="OCG39" s="130"/>
      <c r="OCH39" s="132"/>
      <c r="OCI39" s="133" t="s">
        <v>48</v>
      </c>
      <c r="OCJ39" s="134"/>
      <c r="OCK39" s="135"/>
      <c r="OCL39" s="126"/>
      <c r="OCM39" s="126"/>
      <c r="OCN39" s="128"/>
      <c r="OCO39" s="130"/>
      <c r="OCP39" s="132"/>
      <c r="OCQ39" s="133" t="s">
        <v>48</v>
      </c>
      <c r="OCR39" s="134"/>
      <c r="OCS39" s="135"/>
      <c r="OCT39" s="126"/>
      <c r="OCU39" s="126"/>
      <c r="OCV39" s="128"/>
      <c r="OCW39" s="130"/>
      <c r="OCX39" s="132"/>
      <c r="OCY39" s="133" t="s">
        <v>48</v>
      </c>
      <c r="OCZ39" s="134"/>
      <c r="ODA39" s="135"/>
      <c r="ODB39" s="126"/>
      <c r="ODC39" s="126"/>
      <c r="ODD39" s="128"/>
      <c r="ODE39" s="130"/>
      <c r="ODF39" s="132"/>
      <c r="ODG39" s="133" t="s">
        <v>48</v>
      </c>
      <c r="ODH39" s="134"/>
      <c r="ODI39" s="135"/>
      <c r="ODJ39" s="126"/>
      <c r="ODK39" s="126"/>
      <c r="ODL39" s="128"/>
      <c r="ODM39" s="130"/>
      <c r="ODN39" s="132"/>
      <c r="ODO39" s="133" t="s">
        <v>48</v>
      </c>
      <c r="ODP39" s="134"/>
      <c r="ODQ39" s="135"/>
      <c r="ODR39" s="126"/>
      <c r="ODS39" s="126"/>
      <c r="ODT39" s="128"/>
      <c r="ODU39" s="130"/>
      <c r="ODV39" s="132"/>
      <c r="ODW39" s="133" t="s">
        <v>48</v>
      </c>
      <c r="ODX39" s="134"/>
      <c r="ODY39" s="135"/>
      <c r="ODZ39" s="126"/>
      <c r="OEA39" s="126"/>
      <c r="OEB39" s="128"/>
      <c r="OEC39" s="130"/>
      <c r="OED39" s="132"/>
      <c r="OEE39" s="133" t="s">
        <v>48</v>
      </c>
      <c r="OEF39" s="134"/>
      <c r="OEG39" s="135"/>
      <c r="OEH39" s="126"/>
      <c r="OEI39" s="126"/>
      <c r="OEJ39" s="128"/>
      <c r="OEK39" s="130"/>
      <c r="OEL39" s="132"/>
      <c r="OEM39" s="133" t="s">
        <v>48</v>
      </c>
      <c r="OEN39" s="134"/>
      <c r="OEO39" s="135"/>
      <c r="OEP39" s="126"/>
      <c r="OEQ39" s="126"/>
      <c r="OER39" s="128"/>
      <c r="OES39" s="130"/>
      <c r="OET39" s="132"/>
      <c r="OEU39" s="133" t="s">
        <v>48</v>
      </c>
      <c r="OEV39" s="134"/>
      <c r="OEW39" s="135"/>
      <c r="OEX39" s="126"/>
      <c r="OEY39" s="126"/>
      <c r="OEZ39" s="128"/>
      <c r="OFA39" s="130"/>
      <c r="OFB39" s="132"/>
      <c r="OFC39" s="133" t="s">
        <v>48</v>
      </c>
      <c r="OFD39" s="134"/>
      <c r="OFE39" s="135"/>
      <c r="OFF39" s="126"/>
      <c r="OFG39" s="126"/>
      <c r="OFH39" s="128"/>
      <c r="OFI39" s="130"/>
      <c r="OFJ39" s="132"/>
      <c r="OFK39" s="133" t="s">
        <v>48</v>
      </c>
      <c r="OFL39" s="134"/>
      <c r="OFM39" s="135"/>
      <c r="OFN39" s="126"/>
      <c r="OFO39" s="126"/>
      <c r="OFP39" s="128"/>
      <c r="OFQ39" s="130"/>
      <c r="OFR39" s="132"/>
      <c r="OFS39" s="133" t="s">
        <v>48</v>
      </c>
      <c r="OFT39" s="134"/>
      <c r="OFU39" s="135"/>
      <c r="OFV39" s="126"/>
      <c r="OFW39" s="126"/>
      <c r="OFX39" s="128"/>
      <c r="OFY39" s="130"/>
      <c r="OFZ39" s="132"/>
      <c r="OGA39" s="133" t="s">
        <v>48</v>
      </c>
      <c r="OGB39" s="134"/>
      <c r="OGC39" s="135"/>
      <c r="OGD39" s="126"/>
      <c r="OGE39" s="126"/>
      <c r="OGF39" s="128"/>
      <c r="OGG39" s="130"/>
      <c r="OGH39" s="132"/>
      <c r="OGI39" s="133" t="s">
        <v>48</v>
      </c>
      <c r="OGJ39" s="134"/>
      <c r="OGK39" s="135"/>
      <c r="OGL39" s="126"/>
      <c r="OGM39" s="126"/>
      <c r="OGN39" s="128"/>
      <c r="OGO39" s="130"/>
      <c r="OGP39" s="132"/>
      <c r="OGQ39" s="133" t="s">
        <v>48</v>
      </c>
      <c r="OGR39" s="134"/>
      <c r="OGS39" s="135"/>
      <c r="OGT39" s="126"/>
      <c r="OGU39" s="126"/>
      <c r="OGV39" s="128"/>
      <c r="OGW39" s="130"/>
      <c r="OGX39" s="132"/>
      <c r="OGY39" s="133" t="s">
        <v>48</v>
      </c>
      <c r="OGZ39" s="134"/>
      <c r="OHA39" s="135"/>
      <c r="OHB39" s="126"/>
      <c r="OHC39" s="126"/>
      <c r="OHD39" s="128"/>
      <c r="OHE39" s="130"/>
      <c r="OHF39" s="132"/>
      <c r="OHG39" s="133" t="s">
        <v>48</v>
      </c>
      <c r="OHH39" s="134"/>
      <c r="OHI39" s="135"/>
      <c r="OHJ39" s="126"/>
      <c r="OHK39" s="126"/>
      <c r="OHL39" s="128"/>
      <c r="OHM39" s="130"/>
      <c r="OHN39" s="132"/>
      <c r="OHO39" s="133" t="s">
        <v>48</v>
      </c>
      <c r="OHP39" s="134"/>
      <c r="OHQ39" s="135"/>
      <c r="OHR39" s="126"/>
      <c r="OHS39" s="126"/>
      <c r="OHT39" s="128"/>
      <c r="OHU39" s="130"/>
      <c r="OHV39" s="132"/>
      <c r="OHW39" s="133" t="s">
        <v>48</v>
      </c>
      <c r="OHX39" s="134"/>
      <c r="OHY39" s="135"/>
      <c r="OHZ39" s="126"/>
      <c r="OIA39" s="126"/>
      <c r="OIB39" s="128"/>
      <c r="OIC39" s="130"/>
      <c r="OID39" s="132"/>
      <c r="OIE39" s="133" t="s">
        <v>48</v>
      </c>
      <c r="OIF39" s="134"/>
      <c r="OIG39" s="135"/>
      <c r="OIH39" s="126"/>
      <c r="OII39" s="126"/>
      <c r="OIJ39" s="128"/>
      <c r="OIK39" s="130"/>
      <c r="OIL39" s="132"/>
      <c r="OIM39" s="133" t="s">
        <v>48</v>
      </c>
      <c r="OIN39" s="134"/>
      <c r="OIO39" s="135"/>
      <c r="OIP39" s="126"/>
      <c r="OIQ39" s="126"/>
      <c r="OIR39" s="128"/>
      <c r="OIS39" s="130"/>
      <c r="OIT39" s="132"/>
      <c r="OIU39" s="133" t="s">
        <v>48</v>
      </c>
      <c r="OIV39" s="134"/>
      <c r="OIW39" s="135"/>
      <c r="OIX39" s="126"/>
      <c r="OIY39" s="126"/>
      <c r="OIZ39" s="128"/>
      <c r="OJA39" s="130"/>
      <c r="OJB39" s="132"/>
      <c r="OJC39" s="133" t="s">
        <v>48</v>
      </c>
      <c r="OJD39" s="134"/>
      <c r="OJE39" s="135"/>
      <c r="OJF39" s="126"/>
      <c r="OJG39" s="126"/>
      <c r="OJH39" s="128"/>
      <c r="OJI39" s="130"/>
      <c r="OJJ39" s="132"/>
      <c r="OJK39" s="133" t="s">
        <v>48</v>
      </c>
      <c r="OJL39" s="134"/>
      <c r="OJM39" s="135"/>
      <c r="OJN39" s="126"/>
      <c r="OJO39" s="126"/>
      <c r="OJP39" s="128"/>
      <c r="OJQ39" s="130"/>
      <c r="OJR39" s="132"/>
      <c r="OJS39" s="133" t="s">
        <v>48</v>
      </c>
      <c r="OJT39" s="134"/>
      <c r="OJU39" s="135"/>
      <c r="OJV39" s="126"/>
      <c r="OJW39" s="126"/>
      <c r="OJX39" s="128"/>
      <c r="OJY39" s="130"/>
      <c r="OJZ39" s="132"/>
      <c r="OKA39" s="133" t="s">
        <v>48</v>
      </c>
      <c r="OKB39" s="134"/>
      <c r="OKC39" s="135"/>
      <c r="OKD39" s="126"/>
      <c r="OKE39" s="126"/>
      <c r="OKF39" s="128"/>
      <c r="OKG39" s="130"/>
      <c r="OKH39" s="132"/>
      <c r="OKI39" s="133" t="s">
        <v>48</v>
      </c>
      <c r="OKJ39" s="134"/>
      <c r="OKK39" s="135"/>
      <c r="OKL39" s="126"/>
      <c r="OKM39" s="126"/>
      <c r="OKN39" s="128"/>
      <c r="OKO39" s="130"/>
      <c r="OKP39" s="132"/>
      <c r="OKQ39" s="133" t="s">
        <v>48</v>
      </c>
      <c r="OKR39" s="134"/>
      <c r="OKS39" s="135"/>
      <c r="OKT39" s="126"/>
      <c r="OKU39" s="126"/>
      <c r="OKV39" s="128"/>
      <c r="OKW39" s="130"/>
      <c r="OKX39" s="132"/>
      <c r="OKY39" s="133" t="s">
        <v>48</v>
      </c>
      <c r="OKZ39" s="134"/>
      <c r="OLA39" s="135"/>
      <c r="OLB39" s="126"/>
      <c r="OLC39" s="126"/>
      <c r="OLD39" s="128"/>
      <c r="OLE39" s="130"/>
      <c r="OLF39" s="132"/>
      <c r="OLG39" s="133" t="s">
        <v>48</v>
      </c>
      <c r="OLH39" s="134"/>
      <c r="OLI39" s="135"/>
      <c r="OLJ39" s="126"/>
      <c r="OLK39" s="126"/>
      <c r="OLL39" s="128"/>
      <c r="OLM39" s="130"/>
      <c r="OLN39" s="132"/>
      <c r="OLO39" s="133" t="s">
        <v>48</v>
      </c>
      <c r="OLP39" s="134"/>
      <c r="OLQ39" s="135"/>
      <c r="OLR39" s="126"/>
      <c r="OLS39" s="126"/>
      <c r="OLT39" s="128"/>
      <c r="OLU39" s="130"/>
      <c r="OLV39" s="132"/>
      <c r="OLW39" s="133" t="s">
        <v>48</v>
      </c>
      <c r="OLX39" s="134"/>
      <c r="OLY39" s="135"/>
      <c r="OLZ39" s="126"/>
      <c r="OMA39" s="126"/>
      <c r="OMB39" s="128"/>
      <c r="OMC39" s="130"/>
      <c r="OMD39" s="132"/>
      <c r="OME39" s="133" t="s">
        <v>48</v>
      </c>
      <c r="OMF39" s="134"/>
      <c r="OMG39" s="135"/>
      <c r="OMH39" s="126"/>
      <c r="OMI39" s="126"/>
      <c r="OMJ39" s="128"/>
      <c r="OMK39" s="130"/>
      <c r="OML39" s="132"/>
      <c r="OMM39" s="133" t="s">
        <v>48</v>
      </c>
      <c r="OMN39" s="134"/>
      <c r="OMO39" s="135"/>
      <c r="OMP39" s="126"/>
      <c r="OMQ39" s="126"/>
      <c r="OMR39" s="128"/>
      <c r="OMS39" s="130"/>
      <c r="OMT39" s="132"/>
      <c r="OMU39" s="133" t="s">
        <v>48</v>
      </c>
      <c r="OMV39" s="134"/>
      <c r="OMW39" s="135"/>
      <c r="OMX39" s="126"/>
      <c r="OMY39" s="126"/>
      <c r="OMZ39" s="128"/>
      <c r="ONA39" s="130"/>
      <c r="ONB39" s="132"/>
      <c r="ONC39" s="133" t="s">
        <v>48</v>
      </c>
      <c r="OND39" s="134"/>
      <c r="ONE39" s="135"/>
      <c r="ONF39" s="126"/>
      <c r="ONG39" s="126"/>
      <c r="ONH39" s="128"/>
      <c r="ONI39" s="130"/>
      <c r="ONJ39" s="132"/>
      <c r="ONK39" s="133" t="s">
        <v>48</v>
      </c>
      <c r="ONL39" s="134"/>
      <c r="ONM39" s="135"/>
      <c r="ONN39" s="126"/>
      <c r="ONO39" s="126"/>
      <c r="ONP39" s="128"/>
      <c r="ONQ39" s="130"/>
      <c r="ONR39" s="132"/>
      <c r="ONS39" s="133" t="s">
        <v>48</v>
      </c>
      <c r="ONT39" s="134"/>
      <c r="ONU39" s="135"/>
      <c r="ONV39" s="126"/>
      <c r="ONW39" s="126"/>
      <c r="ONX39" s="128"/>
      <c r="ONY39" s="130"/>
      <c r="ONZ39" s="132"/>
      <c r="OOA39" s="133" t="s">
        <v>48</v>
      </c>
      <c r="OOB39" s="134"/>
      <c r="OOC39" s="135"/>
      <c r="OOD39" s="126"/>
      <c r="OOE39" s="126"/>
      <c r="OOF39" s="128"/>
      <c r="OOG39" s="130"/>
      <c r="OOH39" s="132"/>
      <c r="OOI39" s="133" t="s">
        <v>48</v>
      </c>
      <c r="OOJ39" s="134"/>
      <c r="OOK39" s="135"/>
      <c r="OOL39" s="126"/>
      <c r="OOM39" s="126"/>
      <c r="OON39" s="128"/>
      <c r="OOO39" s="130"/>
      <c r="OOP39" s="132"/>
      <c r="OOQ39" s="133" t="s">
        <v>48</v>
      </c>
      <c r="OOR39" s="134"/>
      <c r="OOS39" s="135"/>
      <c r="OOT39" s="126"/>
      <c r="OOU39" s="126"/>
      <c r="OOV39" s="128"/>
      <c r="OOW39" s="130"/>
      <c r="OOX39" s="132"/>
      <c r="OOY39" s="133" t="s">
        <v>48</v>
      </c>
      <c r="OOZ39" s="134"/>
      <c r="OPA39" s="135"/>
      <c r="OPB39" s="126"/>
      <c r="OPC39" s="126"/>
      <c r="OPD39" s="128"/>
      <c r="OPE39" s="130"/>
      <c r="OPF39" s="132"/>
      <c r="OPG39" s="133" t="s">
        <v>48</v>
      </c>
      <c r="OPH39" s="134"/>
      <c r="OPI39" s="135"/>
      <c r="OPJ39" s="126"/>
      <c r="OPK39" s="126"/>
      <c r="OPL39" s="128"/>
      <c r="OPM39" s="130"/>
      <c r="OPN39" s="132"/>
      <c r="OPO39" s="133" t="s">
        <v>48</v>
      </c>
      <c r="OPP39" s="134"/>
      <c r="OPQ39" s="135"/>
      <c r="OPR39" s="126"/>
      <c r="OPS39" s="126"/>
      <c r="OPT39" s="128"/>
      <c r="OPU39" s="130"/>
      <c r="OPV39" s="132"/>
      <c r="OPW39" s="133" t="s">
        <v>48</v>
      </c>
      <c r="OPX39" s="134"/>
      <c r="OPY39" s="135"/>
      <c r="OPZ39" s="126"/>
      <c r="OQA39" s="126"/>
      <c r="OQB39" s="128"/>
      <c r="OQC39" s="130"/>
      <c r="OQD39" s="132"/>
      <c r="OQE39" s="133" t="s">
        <v>48</v>
      </c>
      <c r="OQF39" s="134"/>
      <c r="OQG39" s="135"/>
      <c r="OQH39" s="126"/>
      <c r="OQI39" s="126"/>
      <c r="OQJ39" s="128"/>
      <c r="OQK39" s="130"/>
      <c r="OQL39" s="132"/>
      <c r="OQM39" s="133" t="s">
        <v>48</v>
      </c>
      <c r="OQN39" s="134"/>
      <c r="OQO39" s="135"/>
      <c r="OQP39" s="126"/>
      <c r="OQQ39" s="126"/>
      <c r="OQR39" s="128"/>
      <c r="OQS39" s="130"/>
      <c r="OQT39" s="132"/>
      <c r="OQU39" s="133" t="s">
        <v>48</v>
      </c>
      <c r="OQV39" s="134"/>
      <c r="OQW39" s="135"/>
      <c r="OQX39" s="126"/>
      <c r="OQY39" s="126"/>
      <c r="OQZ39" s="128"/>
      <c r="ORA39" s="130"/>
      <c r="ORB39" s="132"/>
      <c r="ORC39" s="133" t="s">
        <v>48</v>
      </c>
      <c r="ORD39" s="134"/>
      <c r="ORE39" s="135"/>
      <c r="ORF39" s="126"/>
      <c r="ORG39" s="126"/>
      <c r="ORH39" s="128"/>
      <c r="ORI39" s="130"/>
      <c r="ORJ39" s="132"/>
      <c r="ORK39" s="133" t="s">
        <v>48</v>
      </c>
      <c r="ORL39" s="134"/>
      <c r="ORM39" s="135"/>
      <c r="ORN39" s="126"/>
      <c r="ORO39" s="126"/>
      <c r="ORP39" s="128"/>
      <c r="ORQ39" s="130"/>
      <c r="ORR39" s="132"/>
      <c r="ORS39" s="133" t="s">
        <v>48</v>
      </c>
      <c r="ORT39" s="134"/>
      <c r="ORU39" s="135"/>
      <c r="ORV39" s="126"/>
      <c r="ORW39" s="126"/>
      <c r="ORX39" s="128"/>
      <c r="ORY39" s="130"/>
      <c r="ORZ39" s="132"/>
      <c r="OSA39" s="133" t="s">
        <v>48</v>
      </c>
      <c r="OSB39" s="134"/>
      <c r="OSC39" s="135"/>
      <c r="OSD39" s="126"/>
      <c r="OSE39" s="126"/>
      <c r="OSF39" s="128"/>
      <c r="OSG39" s="130"/>
      <c r="OSH39" s="132"/>
      <c r="OSI39" s="133" t="s">
        <v>48</v>
      </c>
      <c r="OSJ39" s="134"/>
      <c r="OSK39" s="135"/>
      <c r="OSL39" s="126"/>
      <c r="OSM39" s="126"/>
      <c r="OSN39" s="128"/>
      <c r="OSO39" s="130"/>
      <c r="OSP39" s="132"/>
      <c r="OSQ39" s="133" t="s">
        <v>48</v>
      </c>
      <c r="OSR39" s="134"/>
      <c r="OSS39" s="135"/>
      <c r="OST39" s="126"/>
      <c r="OSU39" s="126"/>
      <c r="OSV39" s="128"/>
      <c r="OSW39" s="130"/>
      <c r="OSX39" s="132"/>
      <c r="OSY39" s="133" t="s">
        <v>48</v>
      </c>
      <c r="OSZ39" s="134"/>
      <c r="OTA39" s="135"/>
      <c r="OTB39" s="126"/>
      <c r="OTC39" s="126"/>
      <c r="OTD39" s="128"/>
      <c r="OTE39" s="130"/>
      <c r="OTF39" s="132"/>
      <c r="OTG39" s="133" t="s">
        <v>48</v>
      </c>
      <c r="OTH39" s="134"/>
      <c r="OTI39" s="135"/>
      <c r="OTJ39" s="126"/>
      <c r="OTK39" s="126"/>
      <c r="OTL39" s="128"/>
      <c r="OTM39" s="130"/>
      <c r="OTN39" s="132"/>
      <c r="OTO39" s="133" t="s">
        <v>48</v>
      </c>
      <c r="OTP39" s="134"/>
      <c r="OTQ39" s="135"/>
      <c r="OTR39" s="126"/>
      <c r="OTS39" s="126"/>
      <c r="OTT39" s="128"/>
      <c r="OTU39" s="130"/>
      <c r="OTV39" s="132"/>
      <c r="OTW39" s="133" t="s">
        <v>48</v>
      </c>
      <c r="OTX39" s="134"/>
      <c r="OTY39" s="135"/>
      <c r="OTZ39" s="126"/>
      <c r="OUA39" s="126"/>
      <c r="OUB39" s="128"/>
      <c r="OUC39" s="130"/>
      <c r="OUD39" s="132"/>
      <c r="OUE39" s="133" t="s">
        <v>48</v>
      </c>
      <c r="OUF39" s="134"/>
      <c r="OUG39" s="135"/>
      <c r="OUH39" s="126"/>
      <c r="OUI39" s="126"/>
      <c r="OUJ39" s="128"/>
      <c r="OUK39" s="130"/>
      <c r="OUL39" s="132"/>
      <c r="OUM39" s="133" t="s">
        <v>48</v>
      </c>
      <c r="OUN39" s="134"/>
      <c r="OUO39" s="135"/>
      <c r="OUP39" s="126"/>
      <c r="OUQ39" s="126"/>
      <c r="OUR39" s="128"/>
      <c r="OUS39" s="130"/>
      <c r="OUT39" s="132"/>
      <c r="OUU39" s="133" t="s">
        <v>48</v>
      </c>
      <c r="OUV39" s="134"/>
      <c r="OUW39" s="135"/>
      <c r="OUX39" s="126"/>
      <c r="OUY39" s="126"/>
      <c r="OUZ39" s="128"/>
      <c r="OVA39" s="130"/>
      <c r="OVB39" s="132"/>
      <c r="OVC39" s="133" t="s">
        <v>48</v>
      </c>
      <c r="OVD39" s="134"/>
      <c r="OVE39" s="135"/>
      <c r="OVF39" s="126"/>
      <c r="OVG39" s="126"/>
      <c r="OVH39" s="128"/>
      <c r="OVI39" s="130"/>
      <c r="OVJ39" s="132"/>
      <c r="OVK39" s="133" t="s">
        <v>48</v>
      </c>
      <c r="OVL39" s="134"/>
      <c r="OVM39" s="135"/>
      <c r="OVN39" s="126"/>
      <c r="OVO39" s="126"/>
      <c r="OVP39" s="128"/>
      <c r="OVQ39" s="130"/>
      <c r="OVR39" s="132"/>
      <c r="OVS39" s="133" t="s">
        <v>48</v>
      </c>
      <c r="OVT39" s="134"/>
      <c r="OVU39" s="135"/>
      <c r="OVV39" s="126"/>
      <c r="OVW39" s="126"/>
      <c r="OVX39" s="128"/>
      <c r="OVY39" s="130"/>
      <c r="OVZ39" s="132"/>
      <c r="OWA39" s="133" t="s">
        <v>48</v>
      </c>
      <c r="OWB39" s="134"/>
      <c r="OWC39" s="135"/>
      <c r="OWD39" s="126"/>
      <c r="OWE39" s="126"/>
      <c r="OWF39" s="128"/>
      <c r="OWG39" s="130"/>
      <c r="OWH39" s="132"/>
      <c r="OWI39" s="133" t="s">
        <v>48</v>
      </c>
      <c r="OWJ39" s="134"/>
      <c r="OWK39" s="135"/>
      <c r="OWL39" s="126"/>
      <c r="OWM39" s="126"/>
      <c r="OWN39" s="128"/>
      <c r="OWO39" s="130"/>
      <c r="OWP39" s="132"/>
      <c r="OWQ39" s="133" t="s">
        <v>48</v>
      </c>
      <c r="OWR39" s="134"/>
      <c r="OWS39" s="135"/>
      <c r="OWT39" s="126"/>
      <c r="OWU39" s="126"/>
      <c r="OWV39" s="128"/>
      <c r="OWW39" s="130"/>
      <c r="OWX39" s="132"/>
      <c r="OWY39" s="133" t="s">
        <v>48</v>
      </c>
      <c r="OWZ39" s="134"/>
      <c r="OXA39" s="135"/>
      <c r="OXB39" s="126"/>
      <c r="OXC39" s="126"/>
      <c r="OXD39" s="128"/>
      <c r="OXE39" s="130"/>
      <c r="OXF39" s="132"/>
      <c r="OXG39" s="133" t="s">
        <v>48</v>
      </c>
      <c r="OXH39" s="134"/>
      <c r="OXI39" s="135"/>
      <c r="OXJ39" s="126"/>
      <c r="OXK39" s="126"/>
      <c r="OXL39" s="128"/>
      <c r="OXM39" s="130"/>
      <c r="OXN39" s="132"/>
      <c r="OXO39" s="133" t="s">
        <v>48</v>
      </c>
      <c r="OXP39" s="134"/>
      <c r="OXQ39" s="135"/>
      <c r="OXR39" s="126"/>
      <c r="OXS39" s="126"/>
      <c r="OXT39" s="128"/>
      <c r="OXU39" s="130"/>
      <c r="OXV39" s="132"/>
      <c r="OXW39" s="133" t="s">
        <v>48</v>
      </c>
      <c r="OXX39" s="134"/>
      <c r="OXY39" s="135"/>
      <c r="OXZ39" s="126"/>
      <c r="OYA39" s="126"/>
      <c r="OYB39" s="128"/>
      <c r="OYC39" s="130"/>
      <c r="OYD39" s="132"/>
      <c r="OYE39" s="133" t="s">
        <v>48</v>
      </c>
      <c r="OYF39" s="134"/>
      <c r="OYG39" s="135"/>
      <c r="OYH39" s="126"/>
      <c r="OYI39" s="126"/>
      <c r="OYJ39" s="128"/>
      <c r="OYK39" s="130"/>
      <c r="OYL39" s="132"/>
      <c r="OYM39" s="133" t="s">
        <v>48</v>
      </c>
      <c r="OYN39" s="134"/>
      <c r="OYO39" s="135"/>
      <c r="OYP39" s="126"/>
      <c r="OYQ39" s="126"/>
      <c r="OYR39" s="128"/>
      <c r="OYS39" s="130"/>
      <c r="OYT39" s="132"/>
      <c r="OYU39" s="133" t="s">
        <v>48</v>
      </c>
      <c r="OYV39" s="134"/>
      <c r="OYW39" s="135"/>
      <c r="OYX39" s="126"/>
      <c r="OYY39" s="126"/>
      <c r="OYZ39" s="128"/>
      <c r="OZA39" s="130"/>
      <c r="OZB39" s="132"/>
      <c r="OZC39" s="133" t="s">
        <v>48</v>
      </c>
      <c r="OZD39" s="134"/>
      <c r="OZE39" s="135"/>
      <c r="OZF39" s="126"/>
      <c r="OZG39" s="126"/>
      <c r="OZH39" s="128"/>
      <c r="OZI39" s="130"/>
      <c r="OZJ39" s="132"/>
      <c r="OZK39" s="133" t="s">
        <v>48</v>
      </c>
      <c r="OZL39" s="134"/>
      <c r="OZM39" s="135"/>
      <c r="OZN39" s="126"/>
      <c r="OZO39" s="126"/>
      <c r="OZP39" s="128"/>
      <c r="OZQ39" s="130"/>
      <c r="OZR39" s="132"/>
      <c r="OZS39" s="133" t="s">
        <v>48</v>
      </c>
      <c r="OZT39" s="134"/>
      <c r="OZU39" s="135"/>
      <c r="OZV39" s="126"/>
      <c r="OZW39" s="126"/>
      <c r="OZX39" s="128"/>
      <c r="OZY39" s="130"/>
      <c r="OZZ39" s="132"/>
      <c r="PAA39" s="133" t="s">
        <v>48</v>
      </c>
      <c r="PAB39" s="134"/>
      <c r="PAC39" s="135"/>
      <c r="PAD39" s="126"/>
      <c r="PAE39" s="126"/>
      <c r="PAF39" s="128"/>
      <c r="PAG39" s="130"/>
      <c r="PAH39" s="132"/>
      <c r="PAI39" s="133" t="s">
        <v>48</v>
      </c>
      <c r="PAJ39" s="134"/>
      <c r="PAK39" s="135"/>
      <c r="PAL39" s="126"/>
      <c r="PAM39" s="126"/>
      <c r="PAN39" s="128"/>
      <c r="PAO39" s="130"/>
      <c r="PAP39" s="132"/>
      <c r="PAQ39" s="133" t="s">
        <v>48</v>
      </c>
      <c r="PAR39" s="134"/>
      <c r="PAS39" s="135"/>
      <c r="PAT39" s="126"/>
      <c r="PAU39" s="126"/>
      <c r="PAV39" s="128"/>
      <c r="PAW39" s="130"/>
      <c r="PAX39" s="132"/>
      <c r="PAY39" s="133" t="s">
        <v>48</v>
      </c>
      <c r="PAZ39" s="134"/>
      <c r="PBA39" s="135"/>
      <c r="PBB39" s="126"/>
      <c r="PBC39" s="126"/>
      <c r="PBD39" s="128"/>
      <c r="PBE39" s="130"/>
      <c r="PBF39" s="132"/>
      <c r="PBG39" s="133" t="s">
        <v>48</v>
      </c>
      <c r="PBH39" s="134"/>
      <c r="PBI39" s="135"/>
      <c r="PBJ39" s="126"/>
      <c r="PBK39" s="126"/>
      <c r="PBL39" s="128"/>
      <c r="PBM39" s="130"/>
      <c r="PBN39" s="132"/>
      <c r="PBO39" s="133" t="s">
        <v>48</v>
      </c>
      <c r="PBP39" s="134"/>
      <c r="PBQ39" s="135"/>
      <c r="PBR39" s="126"/>
      <c r="PBS39" s="126"/>
      <c r="PBT39" s="128"/>
      <c r="PBU39" s="130"/>
      <c r="PBV39" s="132"/>
      <c r="PBW39" s="133" t="s">
        <v>48</v>
      </c>
      <c r="PBX39" s="134"/>
      <c r="PBY39" s="135"/>
      <c r="PBZ39" s="126"/>
      <c r="PCA39" s="126"/>
      <c r="PCB39" s="128"/>
      <c r="PCC39" s="130"/>
      <c r="PCD39" s="132"/>
      <c r="PCE39" s="133" t="s">
        <v>48</v>
      </c>
      <c r="PCF39" s="134"/>
      <c r="PCG39" s="135"/>
      <c r="PCH39" s="126"/>
      <c r="PCI39" s="126"/>
      <c r="PCJ39" s="128"/>
      <c r="PCK39" s="130"/>
      <c r="PCL39" s="132"/>
      <c r="PCM39" s="133" t="s">
        <v>48</v>
      </c>
      <c r="PCN39" s="134"/>
      <c r="PCO39" s="135"/>
      <c r="PCP39" s="126"/>
      <c r="PCQ39" s="126"/>
      <c r="PCR39" s="128"/>
      <c r="PCS39" s="130"/>
      <c r="PCT39" s="132"/>
      <c r="PCU39" s="133" t="s">
        <v>48</v>
      </c>
      <c r="PCV39" s="134"/>
      <c r="PCW39" s="135"/>
      <c r="PCX39" s="126"/>
      <c r="PCY39" s="126"/>
      <c r="PCZ39" s="128"/>
      <c r="PDA39" s="130"/>
      <c r="PDB39" s="132"/>
      <c r="PDC39" s="133" t="s">
        <v>48</v>
      </c>
      <c r="PDD39" s="134"/>
      <c r="PDE39" s="135"/>
      <c r="PDF39" s="126"/>
      <c r="PDG39" s="126"/>
      <c r="PDH39" s="128"/>
      <c r="PDI39" s="130"/>
      <c r="PDJ39" s="132"/>
      <c r="PDK39" s="133" t="s">
        <v>48</v>
      </c>
      <c r="PDL39" s="134"/>
      <c r="PDM39" s="135"/>
      <c r="PDN39" s="126"/>
      <c r="PDO39" s="126"/>
      <c r="PDP39" s="128"/>
      <c r="PDQ39" s="130"/>
      <c r="PDR39" s="132"/>
      <c r="PDS39" s="133" t="s">
        <v>48</v>
      </c>
      <c r="PDT39" s="134"/>
      <c r="PDU39" s="135"/>
      <c r="PDV39" s="126"/>
      <c r="PDW39" s="126"/>
      <c r="PDX39" s="128"/>
      <c r="PDY39" s="130"/>
      <c r="PDZ39" s="132"/>
      <c r="PEA39" s="133" t="s">
        <v>48</v>
      </c>
      <c r="PEB39" s="134"/>
      <c r="PEC39" s="135"/>
      <c r="PED39" s="126"/>
      <c r="PEE39" s="126"/>
      <c r="PEF39" s="128"/>
      <c r="PEG39" s="130"/>
      <c r="PEH39" s="132"/>
      <c r="PEI39" s="133" t="s">
        <v>48</v>
      </c>
      <c r="PEJ39" s="134"/>
      <c r="PEK39" s="135"/>
      <c r="PEL39" s="126"/>
      <c r="PEM39" s="126"/>
      <c r="PEN39" s="128"/>
      <c r="PEO39" s="130"/>
      <c r="PEP39" s="132"/>
      <c r="PEQ39" s="133" t="s">
        <v>48</v>
      </c>
      <c r="PER39" s="134"/>
      <c r="PES39" s="135"/>
      <c r="PET39" s="126"/>
      <c r="PEU39" s="126"/>
      <c r="PEV39" s="128"/>
      <c r="PEW39" s="130"/>
      <c r="PEX39" s="132"/>
      <c r="PEY39" s="133" t="s">
        <v>48</v>
      </c>
      <c r="PEZ39" s="134"/>
      <c r="PFA39" s="135"/>
      <c r="PFB39" s="126"/>
      <c r="PFC39" s="126"/>
      <c r="PFD39" s="128"/>
      <c r="PFE39" s="130"/>
      <c r="PFF39" s="132"/>
      <c r="PFG39" s="133" t="s">
        <v>48</v>
      </c>
      <c r="PFH39" s="134"/>
      <c r="PFI39" s="135"/>
      <c r="PFJ39" s="126"/>
      <c r="PFK39" s="126"/>
      <c r="PFL39" s="128"/>
      <c r="PFM39" s="130"/>
      <c r="PFN39" s="132"/>
      <c r="PFO39" s="133" t="s">
        <v>48</v>
      </c>
      <c r="PFP39" s="134"/>
      <c r="PFQ39" s="135"/>
      <c r="PFR39" s="126"/>
      <c r="PFS39" s="126"/>
      <c r="PFT39" s="128"/>
      <c r="PFU39" s="130"/>
      <c r="PFV39" s="132"/>
      <c r="PFW39" s="133" t="s">
        <v>48</v>
      </c>
      <c r="PFX39" s="134"/>
      <c r="PFY39" s="135"/>
      <c r="PFZ39" s="126"/>
      <c r="PGA39" s="126"/>
      <c r="PGB39" s="128"/>
      <c r="PGC39" s="130"/>
      <c r="PGD39" s="132"/>
      <c r="PGE39" s="133" t="s">
        <v>48</v>
      </c>
      <c r="PGF39" s="134"/>
      <c r="PGG39" s="135"/>
      <c r="PGH39" s="126"/>
      <c r="PGI39" s="126"/>
      <c r="PGJ39" s="128"/>
      <c r="PGK39" s="130"/>
      <c r="PGL39" s="132"/>
      <c r="PGM39" s="133" t="s">
        <v>48</v>
      </c>
      <c r="PGN39" s="134"/>
      <c r="PGO39" s="135"/>
      <c r="PGP39" s="126"/>
      <c r="PGQ39" s="126"/>
      <c r="PGR39" s="128"/>
      <c r="PGS39" s="130"/>
      <c r="PGT39" s="132"/>
      <c r="PGU39" s="133" t="s">
        <v>48</v>
      </c>
      <c r="PGV39" s="134"/>
      <c r="PGW39" s="135"/>
      <c r="PGX39" s="126"/>
      <c r="PGY39" s="126"/>
      <c r="PGZ39" s="128"/>
      <c r="PHA39" s="130"/>
      <c r="PHB39" s="132"/>
      <c r="PHC39" s="133" t="s">
        <v>48</v>
      </c>
      <c r="PHD39" s="134"/>
      <c r="PHE39" s="135"/>
      <c r="PHF39" s="126"/>
      <c r="PHG39" s="126"/>
      <c r="PHH39" s="128"/>
      <c r="PHI39" s="130"/>
      <c r="PHJ39" s="132"/>
      <c r="PHK39" s="133" t="s">
        <v>48</v>
      </c>
      <c r="PHL39" s="134"/>
      <c r="PHM39" s="135"/>
      <c r="PHN39" s="126"/>
      <c r="PHO39" s="126"/>
      <c r="PHP39" s="128"/>
      <c r="PHQ39" s="130"/>
      <c r="PHR39" s="132"/>
      <c r="PHS39" s="133" t="s">
        <v>48</v>
      </c>
      <c r="PHT39" s="134"/>
      <c r="PHU39" s="135"/>
      <c r="PHV39" s="126"/>
      <c r="PHW39" s="126"/>
      <c r="PHX39" s="128"/>
      <c r="PHY39" s="130"/>
      <c r="PHZ39" s="132"/>
      <c r="PIA39" s="133" t="s">
        <v>48</v>
      </c>
      <c r="PIB39" s="134"/>
      <c r="PIC39" s="135"/>
      <c r="PID39" s="126"/>
      <c r="PIE39" s="126"/>
      <c r="PIF39" s="128"/>
      <c r="PIG39" s="130"/>
      <c r="PIH39" s="132"/>
      <c r="PII39" s="133" t="s">
        <v>48</v>
      </c>
      <c r="PIJ39" s="134"/>
      <c r="PIK39" s="135"/>
      <c r="PIL39" s="126"/>
      <c r="PIM39" s="126"/>
      <c r="PIN39" s="128"/>
      <c r="PIO39" s="130"/>
      <c r="PIP39" s="132"/>
      <c r="PIQ39" s="133" t="s">
        <v>48</v>
      </c>
      <c r="PIR39" s="134"/>
      <c r="PIS39" s="135"/>
      <c r="PIT39" s="126"/>
      <c r="PIU39" s="126"/>
      <c r="PIV39" s="128"/>
      <c r="PIW39" s="130"/>
      <c r="PIX39" s="132"/>
      <c r="PIY39" s="133" t="s">
        <v>48</v>
      </c>
      <c r="PIZ39" s="134"/>
      <c r="PJA39" s="135"/>
      <c r="PJB39" s="126"/>
      <c r="PJC39" s="126"/>
      <c r="PJD39" s="128"/>
      <c r="PJE39" s="130"/>
      <c r="PJF39" s="132"/>
      <c r="PJG39" s="133" t="s">
        <v>48</v>
      </c>
      <c r="PJH39" s="134"/>
      <c r="PJI39" s="135"/>
      <c r="PJJ39" s="126"/>
      <c r="PJK39" s="126"/>
      <c r="PJL39" s="128"/>
      <c r="PJM39" s="130"/>
      <c r="PJN39" s="132"/>
      <c r="PJO39" s="133" t="s">
        <v>48</v>
      </c>
      <c r="PJP39" s="134"/>
      <c r="PJQ39" s="135"/>
      <c r="PJR39" s="126"/>
      <c r="PJS39" s="126"/>
      <c r="PJT39" s="128"/>
      <c r="PJU39" s="130"/>
      <c r="PJV39" s="132"/>
      <c r="PJW39" s="133" t="s">
        <v>48</v>
      </c>
      <c r="PJX39" s="134"/>
      <c r="PJY39" s="135"/>
      <c r="PJZ39" s="126"/>
      <c r="PKA39" s="126"/>
      <c r="PKB39" s="128"/>
      <c r="PKC39" s="130"/>
      <c r="PKD39" s="132"/>
      <c r="PKE39" s="133" t="s">
        <v>48</v>
      </c>
      <c r="PKF39" s="134"/>
      <c r="PKG39" s="135"/>
      <c r="PKH39" s="126"/>
      <c r="PKI39" s="126"/>
      <c r="PKJ39" s="128"/>
      <c r="PKK39" s="130"/>
      <c r="PKL39" s="132"/>
      <c r="PKM39" s="133" t="s">
        <v>48</v>
      </c>
      <c r="PKN39" s="134"/>
      <c r="PKO39" s="135"/>
      <c r="PKP39" s="126"/>
      <c r="PKQ39" s="126"/>
      <c r="PKR39" s="128"/>
      <c r="PKS39" s="130"/>
      <c r="PKT39" s="132"/>
      <c r="PKU39" s="133" t="s">
        <v>48</v>
      </c>
      <c r="PKV39" s="134"/>
      <c r="PKW39" s="135"/>
      <c r="PKX39" s="126"/>
      <c r="PKY39" s="126"/>
      <c r="PKZ39" s="128"/>
      <c r="PLA39" s="130"/>
      <c r="PLB39" s="132"/>
      <c r="PLC39" s="133" t="s">
        <v>48</v>
      </c>
      <c r="PLD39" s="134"/>
      <c r="PLE39" s="135"/>
      <c r="PLF39" s="126"/>
      <c r="PLG39" s="126"/>
      <c r="PLH39" s="128"/>
      <c r="PLI39" s="130"/>
      <c r="PLJ39" s="132"/>
      <c r="PLK39" s="133" t="s">
        <v>48</v>
      </c>
      <c r="PLL39" s="134"/>
      <c r="PLM39" s="135"/>
      <c r="PLN39" s="126"/>
      <c r="PLO39" s="126"/>
      <c r="PLP39" s="128"/>
      <c r="PLQ39" s="130"/>
      <c r="PLR39" s="132"/>
      <c r="PLS39" s="133" t="s">
        <v>48</v>
      </c>
      <c r="PLT39" s="134"/>
      <c r="PLU39" s="135"/>
      <c r="PLV39" s="126"/>
      <c r="PLW39" s="126"/>
      <c r="PLX39" s="128"/>
      <c r="PLY39" s="130"/>
      <c r="PLZ39" s="132"/>
      <c r="PMA39" s="133" t="s">
        <v>48</v>
      </c>
      <c r="PMB39" s="134"/>
      <c r="PMC39" s="135"/>
      <c r="PMD39" s="126"/>
      <c r="PME39" s="126"/>
      <c r="PMF39" s="128"/>
      <c r="PMG39" s="130"/>
      <c r="PMH39" s="132"/>
      <c r="PMI39" s="133" t="s">
        <v>48</v>
      </c>
      <c r="PMJ39" s="134"/>
      <c r="PMK39" s="135"/>
      <c r="PML39" s="126"/>
      <c r="PMM39" s="126"/>
      <c r="PMN39" s="128"/>
      <c r="PMO39" s="130"/>
      <c r="PMP39" s="132"/>
      <c r="PMQ39" s="133" t="s">
        <v>48</v>
      </c>
      <c r="PMR39" s="134"/>
      <c r="PMS39" s="135"/>
      <c r="PMT39" s="126"/>
      <c r="PMU39" s="126"/>
      <c r="PMV39" s="128"/>
      <c r="PMW39" s="130"/>
      <c r="PMX39" s="132"/>
      <c r="PMY39" s="133" t="s">
        <v>48</v>
      </c>
      <c r="PMZ39" s="134"/>
      <c r="PNA39" s="135"/>
      <c r="PNB39" s="126"/>
      <c r="PNC39" s="126"/>
      <c r="PND39" s="128"/>
      <c r="PNE39" s="130"/>
      <c r="PNF39" s="132"/>
      <c r="PNG39" s="133" t="s">
        <v>48</v>
      </c>
      <c r="PNH39" s="134"/>
      <c r="PNI39" s="135"/>
      <c r="PNJ39" s="126"/>
      <c r="PNK39" s="126"/>
      <c r="PNL39" s="128"/>
      <c r="PNM39" s="130"/>
      <c r="PNN39" s="132"/>
      <c r="PNO39" s="133" t="s">
        <v>48</v>
      </c>
      <c r="PNP39" s="134"/>
      <c r="PNQ39" s="135"/>
      <c r="PNR39" s="126"/>
      <c r="PNS39" s="126"/>
      <c r="PNT39" s="128"/>
      <c r="PNU39" s="130"/>
      <c r="PNV39" s="132"/>
      <c r="PNW39" s="133" t="s">
        <v>48</v>
      </c>
      <c r="PNX39" s="134"/>
      <c r="PNY39" s="135"/>
      <c r="PNZ39" s="126"/>
      <c r="POA39" s="126"/>
      <c r="POB39" s="128"/>
      <c r="POC39" s="130"/>
      <c r="POD39" s="132"/>
      <c r="POE39" s="133" t="s">
        <v>48</v>
      </c>
      <c r="POF39" s="134"/>
      <c r="POG39" s="135"/>
      <c r="POH39" s="126"/>
      <c r="POI39" s="126"/>
      <c r="POJ39" s="128"/>
      <c r="POK39" s="130"/>
      <c r="POL39" s="132"/>
      <c r="POM39" s="133" t="s">
        <v>48</v>
      </c>
      <c r="PON39" s="134"/>
      <c r="POO39" s="135"/>
      <c r="POP39" s="126"/>
      <c r="POQ39" s="126"/>
      <c r="POR39" s="128"/>
      <c r="POS39" s="130"/>
      <c r="POT39" s="132"/>
      <c r="POU39" s="133" t="s">
        <v>48</v>
      </c>
      <c r="POV39" s="134"/>
      <c r="POW39" s="135"/>
      <c r="POX39" s="126"/>
      <c r="POY39" s="126"/>
      <c r="POZ39" s="128"/>
      <c r="PPA39" s="130"/>
      <c r="PPB39" s="132"/>
      <c r="PPC39" s="133" t="s">
        <v>48</v>
      </c>
      <c r="PPD39" s="134"/>
      <c r="PPE39" s="135"/>
      <c r="PPF39" s="126"/>
      <c r="PPG39" s="126"/>
      <c r="PPH39" s="128"/>
      <c r="PPI39" s="130"/>
      <c r="PPJ39" s="132"/>
      <c r="PPK39" s="133" t="s">
        <v>48</v>
      </c>
      <c r="PPL39" s="134"/>
      <c r="PPM39" s="135"/>
      <c r="PPN39" s="126"/>
      <c r="PPO39" s="126"/>
      <c r="PPP39" s="128"/>
      <c r="PPQ39" s="130"/>
      <c r="PPR39" s="132"/>
      <c r="PPS39" s="133" t="s">
        <v>48</v>
      </c>
      <c r="PPT39" s="134"/>
      <c r="PPU39" s="135"/>
      <c r="PPV39" s="126"/>
      <c r="PPW39" s="126"/>
      <c r="PPX39" s="128"/>
      <c r="PPY39" s="130"/>
      <c r="PPZ39" s="132"/>
      <c r="PQA39" s="133" t="s">
        <v>48</v>
      </c>
      <c r="PQB39" s="134"/>
      <c r="PQC39" s="135"/>
      <c r="PQD39" s="126"/>
      <c r="PQE39" s="126"/>
      <c r="PQF39" s="128"/>
      <c r="PQG39" s="130"/>
      <c r="PQH39" s="132"/>
      <c r="PQI39" s="133" t="s">
        <v>48</v>
      </c>
      <c r="PQJ39" s="134"/>
      <c r="PQK39" s="135"/>
      <c r="PQL39" s="126"/>
      <c r="PQM39" s="126"/>
      <c r="PQN39" s="128"/>
      <c r="PQO39" s="130"/>
      <c r="PQP39" s="132"/>
      <c r="PQQ39" s="133" t="s">
        <v>48</v>
      </c>
      <c r="PQR39" s="134"/>
      <c r="PQS39" s="135"/>
      <c r="PQT39" s="126"/>
      <c r="PQU39" s="126"/>
      <c r="PQV39" s="128"/>
      <c r="PQW39" s="130"/>
      <c r="PQX39" s="132"/>
      <c r="PQY39" s="133" t="s">
        <v>48</v>
      </c>
      <c r="PQZ39" s="134"/>
      <c r="PRA39" s="135"/>
      <c r="PRB39" s="126"/>
      <c r="PRC39" s="126"/>
      <c r="PRD39" s="128"/>
      <c r="PRE39" s="130"/>
      <c r="PRF39" s="132"/>
      <c r="PRG39" s="133" t="s">
        <v>48</v>
      </c>
      <c r="PRH39" s="134"/>
      <c r="PRI39" s="135"/>
      <c r="PRJ39" s="126"/>
      <c r="PRK39" s="126"/>
      <c r="PRL39" s="128"/>
      <c r="PRM39" s="130"/>
      <c r="PRN39" s="132"/>
      <c r="PRO39" s="133" t="s">
        <v>48</v>
      </c>
      <c r="PRP39" s="134"/>
      <c r="PRQ39" s="135"/>
      <c r="PRR39" s="126"/>
      <c r="PRS39" s="126"/>
      <c r="PRT39" s="128"/>
      <c r="PRU39" s="130"/>
      <c r="PRV39" s="132"/>
      <c r="PRW39" s="133" t="s">
        <v>48</v>
      </c>
      <c r="PRX39" s="134"/>
      <c r="PRY39" s="135"/>
      <c r="PRZ39" s="126"/>
      <c r="PSA39" s="126"/>
      <c r="PSB39" s="128"/>
      <c r="PSC39" s="130"/>
      <c r="PSD39" s="132"/>
      <c r="PSE39" s="133" t="s">
        <v>48</v>
      </c>
      <c r="PSF39" s="134"/>
      <c r="PSG39" s="135"/>
      <c r="PSH39" s="126"/>
      <c r="PSI39" s="126"/>
      <c r="PSJ39" s="128"/>
      <c r="PSK39" s="130"/>
      <c r="PSL39" s="132"/>
      <c r="PSM39" s="133" t="s">
        <v>48</v>
      </c>
      <c r="PSN39" s="134"/>
      <c r="PSO39" s="135"/>
      <c r="PSP39" s="126"/>
      <c r="PSQ39" s="126"/>
      <c r="PSR39" s="128"/>
      <c r="PSS39" s="130"/>
      <c r="PST39" s="132"/>
      <c r="PSU39" s="133" t="s">
        <v>48</v>
      </c>
      <c r="PSV39" s="134"/>
      <c r="PSW39" s="135"/>
      <c r="PSX39" s="126"/>
      <c r="PSY39" s="126"/>
      <c r="PSZ39" s="128"/>
      <c r="PTA39" s="130"/>
      <c r="PTB39" s="132"/>
      <c r="PTC39" s="133" t="s">
        <v>48</v>
      </c>
      <c r="PTD39" s="134"/>
      <c r="PTE39" s="135"/>
      <c r="PTF39" s="126"/>
      <c r="PTG39" s="126"/>
      <c r="PTH39" s="128"/>
      <c r="PTI39" s="130"/>
      <c r="PTJ39" s="132"/>
      <c r="PTK39" s="133" t="s">
        <v>48</v>
      </c>
      <c r="PTL39" s="134"/>
      <c r="PTM39" s="135"/>
      <c r="PTN39" s="126"/>
      <c r="PTO39" s="126"/>
      <c r="PTP39" s="128"/>
      <c r="PTQ39" s="130"/>
      <c r="PTR39" s="132"/>
      <c r="PTS39" s="133" t="s">
        <v>48</v>
      </c>
      <c r="PTT39" s="134"/>
      <c r="PTU39" s="135"/>
      <c r="PTV39" s="126"/>
      <c r="PTW39" s="126"/>
      <c r="PTX39" s="128"/>
      <c r="PTY39" s="130"/>
      <c r="PTZ39" s="132"/>
      <c r="PUA39" s="133" t="s">
        <v>48</v>
      </c>
      <c r="PUB39" s="134"/>
      <c r="PUC39" s="135"/>
      <c r="PUD39" s="126"/>
      <c r="PUE39" s="126"/>
      <c r="PUF39" s="128"/>
      <c r="PUG39" s="130"/>
      <c r="PUH39" s="132"/>
      <c r="PUI39" s="133" t="s">
        <v>48</v>
      </c>
      <c r="PUJ39" s="134"/>
      <c r="PUK39" s="135"/>
      <c r="PUL39" s="126"/>
      <c r="PUM39" s="126"/>
      <c r="PUN39" s="128"/>
      <c r="PUO39" s="130"/>
      <c r="PUP39" s="132"/>
      <c r="PUQ39" s="133" t="s">
        <v>48</v>
      </c>
      <c r="PUR39" s="134"/>
      <c r="PUS39" s="135"/>
      <c r="PUT39" s="126"/>
      <c r="PUU39" s="126"/>
      <c r="PUV39" s="128"/>
      <c r="PUW39" s="130"/>
      <c r="PUX39" s="132"/>
      <c r="PUY39" s="133" t="s">
        <v>48</v>
      </c>
      <c r="PUZ39" s="134"/>
      <c r="PVA39" s="135"/>
      <c r="PVB39" s="126"/>
      <c r="PVC39" s="126"/>
      <c r="PVD39" s="128"/>
      <c r="PVE39" s="130"/>
      <c r="PVF39" s="132"/>
      <c r="PVG39" s="133" t="s">
        <v>48</v>
      </c>
      <c r="PVH39" s="134"/>
      <c r="PVI39" s="135"/>
      <c r="PVJ39" s="126"/>
      <c r="PVK39" s="126"/>
      <c r="PVL39" s="128"/>
      <c r="PVM39" s="130"/>
      <c r="PVN39" s="132"/>
      <c r="PVO39" s="133" t="s">
        <v>48</v>
      </c>
      <c r="PVP39" s="134"/>
      <c r="PVQ39" s="135"/>
      <c r="PVR39" s="126"/>
      <c r="PVS39" s="126"/>
      <c r="PVT39" s="128"/>
      <c r="PVU39" s="130"/>
      <c r="PVV39" s="132"/>
      <c r="PVW39" s="133" t="s">
        <v>48</v>
      </c>
      <c r="PVX39" s="134"/>
      <c r="PVY39" s="135"/>
      <c r="PVZ39" s="126"/>
      <c r="PWA39" s="126"/>
      <c r="PWB39" s="128"/>
      <c r="PWC39" s="130"/>
      <c r="PWD39" s="132"/>
      <c r="PWE39" s="133" t="s">
        <v>48</v>
      </c>
      <c r="PWF39" s="134"/>
      <c r="PWG39" s="135"/>
      <c r="PWH39" s="126"/>
      <c r="PWI39" s="126"/>
      <c r="PWJ39" s="128"/>
      <c r="PWK39" s="130"/>
      <c r="PWL39" s="132"/>
      <c r="PWM39" s="133" t="s">
        <v>48</v>
      </c>
      <c r="PWN39" s="134"/>
      <c r="PWO39" s="135"/>
      <c r="PWP39" s="126"/>
      <c r="PWQ39" s="126"/>
      <c r="PWR39" s="128"/>
      <c r="PWS39" s="130"/>
      <c r="PWT39" s="132"/>
      <c r="PWU39" s="133" t="s">
        <v>48</v>
      </c>
      <c r="PWV39" s="134"/>
      <c r="PWW39" s="135"/>
      <c r="PWX39" s="126"/>
      <c r="PWY39" s="126"/>
      <c r="PWZ39" s="128"/>
      <c r="PXA39" s="130"/>
      <c r="PXB39" s="132"/>
      <c r="PXC39" s="133" t="s">
        <v>48</v>
      </c>
      <c r="PXD39" s="134"/>
      <c r="PXE39" s="135"/>
      <c r="PXF39" s="126"/>
      <c r="PXG39" s="126"/>
      <c r="PXH39" s="128"/>
      <c r="PXI39" s="130"/>
      <c r="PXJ39" s="132"/>
      <c r="PXK39" s="133" t="s">
        <v>48</v>
      </c>
      <c r="PXL39" s="134"/>
      <c r="PXM39" s="135"/>
      <c r="PXN39" s="126"/>
      <c r="PXO39" s="126"/>
      <c r="PXP39" s="128"/>
      <c r="PXQ39" s="130"/>
      <c r="PXR39" s="132"/>
      <c r="PXS39" s="133" t="s">
        <v>48</v>
      </c>
      <c r="PXT39" s="134"/>
      <c r="PXU39" s="135"/>
      <c r="PXV39" s="126"/>
      <c r="PXW39" s="126"/>
      <c r="PXX39" s="128"/>
      <c r="PXY39" s="130"/>
      <c r="PXZ39" s="132"/>
      <c r="PYA39" s="133" t="s">
        <v>48</v>
      </c>
      <c r="PYB39" s="134"/>
      <c r="PYC39" s="135"/>
      <c r="PYD39" s="126"/>
      <c r="PYE39" s="126"/>
      <c r="PYF39" s="128"/>
      <c r="PYG39" s="130"/>
      <c r="PYH39" s="132"/>
      <c r="PYI39" s="133" t="s">
        <v>48</v>
      </c>
      <c r="PYJ39" s="134"/>
      <c r="PYK39" s="135"/>
      <c r="PYL39" s="126"/>
      <c r="PYM39" s="126"/>
      <c r="PYN39" s="128"/>
      <c r="PYO39" s="130"/>
      <c r="PYP39" s="132"/>
      <c r="PYQ39" s="133" t="s">
        <v>48</v>
      </c>
      <c r="PYR39" s="134"/>
      <c r="PYS39" s="135"/>
      <c r="PYT39" s="126"/>
      <c r="PYU39" s="126"/>
      <c r="PYV39" s="128"/>
      <c r="PYW39" s="130"/>
      <c r="PYX39" s="132"/>
      <c r="PYY39" s="133" t="s">
        <v>48</v>
      </c>
      <c r="PYZ39" s="134"/>
      <c r="PZA39" s="135"/>
      <c r="PZB39" s="126"/>
      <c r="PZC39" s="126"/>
      <c r="PZD39" s="128"/>
      <c r="PZE39" s="130"/>
      <c r="PZF39" s="132"/>
      <c r="PZG39" s="133" t="s">
        <v>48</v>
      </c>
      <c r="PZH39" s="134"/>
      <c r="PZI39" s="135"/>
      <c r="PZJ39" s="126"/>
      <c r="PZK39" s="126"/>
      <c r="PZL39" s="128"/>
      <c r="PZM39" s="130"/>
      <c r="PZN39" s="132"/>
      <c r="PZO39" s="133" t="s">
        <v>48</v>
      </c>
      <c r="PZP39" s="134"/>
      <c r="PZQ39" s="135"/>
      <c r="PZR39" s="126"/>
      <c r="PZS39" s="126"/>
      <c r="PZT39" s="128"/>
      <c r="PZU39" s="130"/>
      <c r="PZV39" s="132"/>
      <c r="PZW39" s="133" t="s">
        <v>48</v>
      </c>
      <c r="PZX39" s="134"/>
      <c r="PZY39" s="135"/>
      <c r="PZZ39" s="126"/>
      <c r="QAA39" s="126"/>
      <c r="QAB39" s="128"/>
      <c r="QAC39" s="130"/>
      <c r="QAD39" s="132"/>
      <c r="QAE39" s="133" t="s">
        <v>48</v>
      </c>
      <c r="QAF39" s="134"/>
      <c r="QAG39" s="135"/>
      <c r="QAH39" s="126"/>
      <c r="QAI39" s="126"/>
      <c r="QAJ39" s="128"/>
      <c r="QAK39" s="130"/>
      <c r="QAL39" s="132"/>
      <c r="QAM39" s="133" t="s">
        <v>48</v>
      </c>
      <c r="QAN39" s="134"/>
      <c r="QAO39" s="135"/>
      <c r="QAP39" s="126"/>
      <c r="QAQ39" s="126"/>
      <c r="QAR39" s="128"/>
      <c r="QAS39" s="130"/>
      <c r="QAT39" s="132"/>
      <c r="QAU39" s="133" t="s">
        <v>48</v>
      </c>
      <c r="QAV39" s="134"/>
      <c r="QAW39" s="135"/>
      <c r="QAX39" s="126"/>
      <c r="QAY39" s="126"/>
      <c r="QAZ39" s="128"/>
      <c r="QBA39" s="130"/>
      <c r="QBB39" s="132"/>
      <c r="QBC39" s="133" t="s">
        <v>48</v>
      </c>
      <c r="QBD39" s="134"/>
      <c r="QBE39" s="135"/>
      <c r="QBF39" s="126"/>
      <c r="QBG39" s="126"/>
      <c r="QBH39" s="128"/>
      <c r="QBI39" s="130"/>
      <c r="QBJ39" s="132"/>
      <c r="QBK39" s="133" t="s">
        <v>48</v>
      </c>
      <c r="QBL39" s="134"/>
      <c r="QBM39" s="135"/>
      <c r="QBN39" s="126"/>
      <c r="QBO39" s="126"/>
      <c r="QBP39" s="128"/>
      <c r="QBQ39" s="130"/>
      <c r="QBR39" s="132"/>
      <c r="QBS39" s="133" t="s">
        <v>48</v>
      </c>
      <c r="QBT39" s="134"/>
      <c r="QBU39" s="135"/>
      <c r="QBV39" s="126"/>
      <c r="QBW39" s="126"/>
      <c r="QBX39" s="128"/>
      <c r="QBY39" s="130"/>
      <c r="QBZ39" s="132"/>
      <c r="QCA39" s="133" t="s">
        <v>48</v>
      </c>
      <c r="QCB39" s="134"/>
      <c r="QCC39" s="135"/>
      <c r="QCD39" s="126"/>
      <c r="QCE39" s="126"/>
      <c r="QCF39" s="128"/>
      <c r="QCG39" s="130"/>
      <c r="QCH39" s="132"/>
      <c r="QCI39" s="133" t="s">
        <v>48</v>
      </c>
      <c r="QCJ39" s="134"/>
      <c r="QCK39" s="135"/>
      <c r="QCL39" s="126"/>
      <c r="QCM39" s="126"/>
      <c r="QCN39" s="128"/>
      <c r="QCO39" s="130"/>
      <c r="QCP39" s="132"/>
      <c r="QCQ39" s="133" t="s">
        <v>48</v>
      </c>
      <c r="QCR39" s="134"/>
      <c r="QCS39" s="135"/>
      <c r="QCT39" s="126"/>
      <c r="QCU39" s="126"/>
      <c r="QCV39" s="128"/>
      <c r="QCW39" s="130"/>
      <c r="QCX39" s="132"/>
      <c r="QCY39" s="133" t="s">
        <v>48</v>
      </c>
      <c r="QCZ39" s="134"/>
      <c r="QDA39" s="135"/>
      <c r="QDB39" s="126"/>
      <c r="QDC39" s="126"/>
      <c r="QDD39" s="128"/>
      <c r="QDE39" s="130"/>
      <c r="QDF39" s="132"/>
      <c r="QDG39" s="133" t="s">
        <v>48</v>
      </c>
      <c r="QDH39" s="134"/>
      <c r="QDI39" s="135"/>
      <c r="QDJ39" s="126"/>
      <c r="QDK39" s="126"/>
      <c r="QDL39" s="128"/>
      <c r="QDM39" s="130"/>
      <c r="QDN39" s="132"/>
      <c r="QDO39" s="133" t="s">
        <v>48</v>
      </c>
      <c r="QDP39" s="134"/>
      <c r="QDQ39" s="135"/>
      <c r="QDR39" s="126"/>
      <c r="QDS39" s="126"/>
      <c r="QDT39" s="128"/>
      <c r="QDU39" s="130"/>
      <c r="QDV39" s="132"/>
      <c r="QDW39" s="133" t="s">
        <v>48</v>
      </c>
      <c r="QDX39" s="134"/>
      <c r="QDY39" s="135"/>
      <c r="QDZ39" s="126"/>
      <c r="QEA39" s="126"/>
      <c r="QEB39" s="128"/>
      <c r="QEC39" s="130"/>
      <c r="QED39" s="132"/>
      <c r="QEE39" s="133" t="s">
        <v>48</v>
      </c>
      <c r="QEF39" s="134"/>
      <c r="QEG39" s="135"/>
      <c r="QEH39" s="126"/>
      <c r="QEI39" s="126"/>
      <c r="QEJ39" s="128"/>
      <c r="QEK39" s="130"/>
      <c r="QEL39" s="132"/>
      <c r="QEM39" s="133" t="s">
        <v>48</v>
      </c>
      <c r="QEN39" s="134"/>
      <c r="QEO39" s="135"/>
      <c r="QEP39" s="126"/>
      <c r="QEQ39" s="126"/>
      <c r="QER39" s="128"/>
      <c r="QES39" s="130"/>
      <c r="QET39" s="132"/>
      <c r="QEU39" s="133" t="s">
        <v>48</v>
      </c>
      <c r="QEV39" s="134"/>
      <c r="QEW39" s="135"/>
      <c r="QEX39" s="126"/>
      <c r="QEY39" s="126"/>
      <c r="QEZ39" s="128"/>
      <c r="QFA39" s="130"/>
      <c r="QFB39" s="132"/>
      <c r="QFC39" s="133" t="s">
        <v>48</v>
      </c>
      <c r="QFD39" s="134"/>
      <c r="QFE39" s="135"/>
      <c r="QFF39" s="126"/>
      <c r="QFG39" s="126"/>
      <c r="QFH39" s="128"/>
      <c r="QFI39" s="130"/>
      <c r="QFJ39" s="132"/>
      <c r="QFK39" s="133" t="s">
        <v>48</v>
      </c>
      <c r="QFL39" s="134"/>
      <c r="QFM39" s="135"/>
      <c r="QFN39" s="126"/>
      <c r="QFO39" s="126"/>
      <c r="QFP39" s="128"/>
      <c r="QFQ39" s="130"/>
      <c r="QFR39" s="132"/>
      <c r="QFS39" s="133" t="s">
        <v>48</v>
      </c>
      <c r="QFT39" s="134"/>
      <c r="QFU39" s="135"/>
      <c r="QFV39" s="126"/>
      <c r="QFW39" s="126"/>
      <c r="QFX39" s="128"/>
      <c r="QFY39" s="130"/>
      <c r="QFZ39" s="132"/>
      <c r="QGA39" s="133" t="s">
        <v>48</v>
      </c>
      <c r="QGB39" s="134"/>
      <c r="QGC39" s="135"/>
      <c r="QGD39" s="126"/>
      <c r="QGE39" s="126"/>
      <c r="QGF39" s="128"/>
      <c r="QGG39" s="130"/>
      <c r="QGH39" s="132"/>
      <c r="QGI39" s="133" t="s">
        <v>48</v>
      </c>
      <c r="QGJ39" s="134"/>
      <c r="QGK39" s="135"/>
      <c r="QGL39" s="126"/>
      <c r="QGM39" s="126"/>
      <c r="QGN39" s="128"/>
      <c r="QGO39" s="130"/>
      <c r="QGP39" s="132"/>
      <c r="QGQ39" s="133" t="s">
        <v>48</v>
      </c>
      <c r="QGR39" s="134"/>
      <c r="QGS39" s="135"/>
      <c r="QGT39" s="126"/>
      <c r="QGU39" s="126"/>
      <c r="QGV39" s="128"/>
      <c r="QGW39" s="130"/>
      <c r="QGX39" s="132"/>
      <c r="QGY39" s="133" t="s">
        <v>48</v>
      </c>
      <c r="QGZ39" s="134"/>
      <c r="QHA39" s="135"/>
      <c r="QHB39" s="126"/>
      <c r="QHC39" s="126"/>
      <c r="QHD39" s="128"/>
      <c r="QHE39" s="130"/>
      <c r="QHF39" s="132"/>
      <c r="QHG39" s="133" t="s">
        <v>48</v>
      </c>
      <c r="QHH39" s="134"/>
      <c r="QHI39" s="135"/>
      <c r="QHJ39" s="126"/>
      <c r="QHK39" s="126"/>
      <c r="QHL39" s="128"/>
      <c r="QHM39" s="130"/>
      <c r="QHN39" s="132"/>
      <c r="QHO39" s="133" t="s">
        <v>48</v>
      </c>
      <c r="QHP39" s="134"/>
      <c r="QHQ39" s="135"/>
      <c r="QHR39" s="126"/>
      <c r="QHS39" s="126"/>
      <c r="QHT39" s="128"/>
      <c r="QHU39" s="130"/>
      <c r="QHV39" s="132"/>
      <c r="QHW39" s="133" t="s">
        <v>48</v>
      </c>
      <c r="QHX39" s="134"/>
      <c r="QHY39" s="135"/>
      <c r="QHZ39" s="126"/>
      <c r="QIA39" s="126"/>
      <c r="QIB39" s="128"/>
      <c r="QIC39" s="130"/>
      <c r="QID39" s="132"/>
      <c r="QIE39" s="133" t="s">
        <v>48</v>
      </c>
      <c r="QIF39" s="134"/>
      <c r="QIG39" s="135"/>
      <c r="QIH39" s="126"/>
      <c r="QII39" s="126"/>
      <c r="QIJ39" s="128"/>
      <c r="QIK39" s="130"/>
      <c r="QIL39" s="132"/>
      <c r="QIM39" s="133" t="s">
        <v>48</v>
      </c>
      <c r="QIN39" s="134"/>
      <c r="QIO39" s="135"/>
      <c r="QIP39" s="126"/>
      <c r="QIQ39" s="126"/>
      <c r="QIR39" s="128"/>
      <c r="QIS39" s="130"/>
      <c r="QIT39" s="132"/>
      <c r="QIU39" s="133" t="s">
        <v>48</v>
      </c>
      <c r="QIV39" s="134"/>
      <c r="QIW39" s="135"/>
      <c r="QIX39" s="126"/>
      <c r="QIY39" s="126"/>
      <c r="QIZ39" s="128"/>
      <c r="QJA39" s="130"/>
      <c r="QJB39" s="132"/>
      <c r="QJC39" s="133" t="s">
        <v>48</v>
      </c>
      <c r="QJD39" s="134"/>
      <c r="QJE39" s="135"/>
      <c r="QJF39" s="126"/>
      <c r="QJG39" s="126"/>
      <c r="QJH39" s="128"/>
      <c r="QJI39" s="130"/>
      <c r="QJJ39" s="132"/>
      <c r="QJK39" s="133" t="s">
        <v>48</v>
      </c>
      <c r="QJL39" s="134"/>
      <c r="QJM39" s="135"/>
      <c r="QJN39" s="126"/>
      <c r="QJO39" s="126"/>
      <c r="QJP39" s="128"/>
      <c r="QJQ39" s="130"/>
      <c r="QJR39" s="132"/>
      <c r="QJS39" s="133" t="s">
        <v>48</v>
      </c>
      <c r="QJT39" s="134"/>
      <c r="QJU39" s="135"/>
      <c r="QJV39" s="126"/>
      <c r="QJW39" s="126"/>
      <c r="QJX39" s="128"/>
      <c r="QJY39" s="130"/>
      <c r="QJZ39" s="132"/>
      <c r="QKA39" s="133" t="s">
        <v>48</v>
      </c>
      <c r="QKB39" s="134"/>
      <c r="QKC39" s="135"/>
      <c r="QKD39" s="126"/>
      <c r="QKE39" s="126"/>
      <c r="QKF39" s="128"/>
      <c r="QKG39" s="130"/>
      <c r="QKH39" s="132"/>
      <c r="QKI39" s="133" t="s">
        <v>48</v>
      </c>
      <c r="QKJ39" s="134"/>
      <c r="QKK39" s="135"/>
      <c r="QKL39" s="126"/>
      <c r="QKM39" s="126"/>
      <c r="QKN39" s="128"/>
      <c r="QKO39" s="130"/>
      <c r="QKP39" s="132"/>
      <c r="QKQ39" s="133" t="s">
        <v>48</v>
      </c>
      <c r="QKR39" s="134"/>
      <c r="QKS39" s="135"/>
      <c r="QKT39" s="126"/>
      <c r="QKU39" s="126"/>
      <c r="QKV39" s="128"/>
      <c r="QKW39" s="130"/>
      <c r="QKX39" s="132"/>
      <c r="QKY39" s="133" t="s">
        <v>48</v>
      </c>
      <c r="QKZ39" s="134"/>
      <c r="QLA39" s="135"/>
      <c r="QLB39" s="126"/>
      <c r="QLC39" s="126"/>
      <c r="QLD39" s="128"/>
      <c r="QLE39" s="130"/>
      <c r="QLF39" s="132"/>
      <c r="QLG39" s="133" t="s">
        <v>48</v>
      </c>
      <c r="QLH39" s="134"/>
      <c r="QLI39" s="135"/>
      <c r="QLJ39" s="126"/>
      <c r="QLK39" s="126"/>
      <c r="QLL39" s="128"/>
      <c r="QLM39" s="130"/>
      <c r="QLN39" s="132"/>
      <c r="QLO39" s="133" t="s">
        <v>48</v>
      </c>
      <c r="QLP39" s="134"/>
      <c r="QLQ39" s="135"/>
      <c r="QLR39" s="126"/>
      <c r="QLS39" s="126"/>
      <c r="QLT39" s="128"/>
      <c r="QLU39" s="130"/>
      <c r="QLV39" s="132"/>
      <c r="QLW39" s="133" t="s">
        <v>48</v>
      </c>
      <c r="QLX39" s="134"/>
      <c r="QLY39" s="135"/>
      <c r="QLZ39" s="126"/>
      <c r="QMA39" s="126"/>
      <c r="QMB39" s="128"/>
      <c r="QMC39" s="130"/>
      <c r="QMD39" s="132"/>
      <c r="QME39" s="133" t="s">
        <v>48</v>
      </c>
      <c r="QMF39" s="134"/>
      <c r="QMG39" s="135"/>
      <c r="QMH39" s="126"/>
      <c r="QMI39" s="126"/>
      <c r="QMJ39" s="128"/>
      <c r="QMK39" s="130"/>
      <c r="QML39" s="132"/>
      <c r="QMM39" s="133" t="s">
        <v>48</v>
      </c>
      <c r="QMN39" s="134"/>
      <c r="QMO39" s="135"/>
      <c r="QMP39" s="126"/>
      <c r="QMQ39" s="126"/>
      <c r="QMR39" s="128"/>
      <c r="QMS39" s="130"/>
      <c r="QMT39" s="132"/>
      <c r="QMU39" s="133" t="s">
        <v>48</v>
      </c>
      <c r="QMV39" s="134"/>
      <c r="QMW39" s="135"/>
      <c r="QMX39" s="126"/>
      <c r="QMY39" s="126"/>
      <c r="QMZ39" s="128"/>
      <c r="QNA39" s="130"/>
      <c r="QNB39" s="132"/>
      <c r="QNC39" s="133" t="s">
        <v>48</v>
      </c>
      <c r="QND39" s="134"/>
      <c r="QNE39" s="135"/>
      <c r="QNF39" s="126"/>
      <c r="QNG39" s="126"/>
      <c r="QNH39" s="128"/>
      <c r="QNI39" s="130"/>
      <c r="QNJ39" s="132"/>
      <c r="QNK39" s="133" t="s">
        <v>48</v>
      </c>
      <c r="QNL39" s="134"/>
      <c r="QNM39" s="135"/>
      <c r="QNN39" s="126"/>
      <c r="QNO39" s="126"/>
      <c r="QNP39" s="128"/>
      <c r="QNQ39" s="130"/>
      <c r="QNR39" s="132"/>
      <c r="QNS39" s="133" t="s">
        <v>48</v>
      </c>
      <c r="QNT39" s="134"/>
      <c r="QNU39" s="135"/>
      <c r="QNV39" s="126"/>
      <c r="QNW39" s="126"/>
      <c r="QNX39" s="128"/>
      <c r="QNY39" s="130"/>
      <c r="QNZ39" s="132"/>
      <c r="QOA39" s="133" t="s">
        <v>48</v>
      </c>
      <c r="QOB39" s="134"/>
      <c r="QOC39" s="135"/>
      <c r="QOD39" s="126"/>
      <c r="QOE39" s="126"/>
      <c r="QOF39" s="128"/>
      <c r="QOG39" s="130"/>
      <c r="QOH39" s="132"/>
      <c r="QOI39" s="133" t="s">
        <v>48</v>
      </c>
      <c r="QOJ39" s="134"/>
      <c r="QOK39" s="135"/>
      <c r="QOL39" s="126"/>
      <c r="QOM39" s="126"/>
      <c r="QON39" s="128"/>
      <c r="QOO39" s="130"/>
      <c r="QOP39" s="132"/>
      <c r="QOQ39" s="133" t="s">
        <v>48</v>
      </c>
      <c r="QOR39" s="134"/>
      <c r="QOS39" s="135"/>
      <c r="QOT39" s="126"/>
      <c r="QOU39" s="126"/>
      <c r="QOV39" s="128"/>
      <c r="QOW39" s="130"/>
      <c r="QOX39" s="132"/>
      <c r="QOY39" s="133" t="s">
        <v>48</v>
      </c>
      <c r="QOZ39" s="134"/>
      <c r="QPA39" s="135"/>
      <c r="QPB39" s="126"/>
      <c r="QPC39" s="126"/>
      <c r="QPD39" s="128"/>
      <c r="QPE39" s="130"/>
      <c r="QPF39" s="132"/>
      <c r="QPG39" s="133" t="s">
        <v>48</v>
      </c>
      <c r="QPH39" s="134"/>
      <c r="QPI39" s="135"/>
      <c r="QPJ39" s="126"/>
      <c r="QPK39" s="126"/>
      <c r="QPL39" s="128"/>
      <c r="QPM39" s="130"/>
      <c r="QPN39" s="132"/>
      <c r="QPO39" s="133" t="s">
        <v>48</v>
      </c>
      <c r="QPP39" s="134"/>
      <c r="QPQ39" s="135"/>
      <c r="QPR39" s="126"/>
      <c r="QPS39" s="126"/>
      <c r="QPT39" s="128"/>
      <c r="QPU39" s="130"/>
      <c r="QPV39" s="132"/>
      <c r="QPW39" s="133" t="s">
        <v>48</v>
      </c>
      <c r="QPX39" s="134"/>
      <c r="QPY39" s="135"/>
      <c r="QPZ39" s="126"/>
      <c r="QQA39" s="126"/>
      <c r="QQB39" s="128"/>
      <c r="QQC39" s="130"/>
      <c r="QQD39" s="132"/>
      <c r="QQE39" s="133" t="s">
        <v>48</v>
      </c>
      <c r="QQF39" s="134"/>
      <c r="QQG39" s="135"/>
      <c r="QQH39" s="126"/>
      <c r="QQI39" s="126"/>
      <c r="QQJ39" s="128"/>
      <c r="QQK39" s="130"/>
      <c r="QQL39" s="132"/>
      <c r="QQM39" s="133" t="s">
        <v>48</v>
      </c>
      <c r="QQN39" s="134"/>
      <c r="QQO39" s="135"/>
      <c r="QQP39" s="126"/>
      <c r="QQQ39" s="126"/>
      <c r="QQR39" s="128"/>
      <c r="QQS39" s="130"/>
      <c r="QQT39" s="132"/>
      <c r="QQU39" s="133" t="s">
        <v>48</v>
      </c>
      <c r="QQV39" s="134"/>
      <c r="QQW39" s="135"/>
      <c r="QQX39" s="126"/>
      <c r="QQY39" s="126"/>
      <c r="QQZ39" s="128"/>
      <c r="QRA39" s="130"/>
      <c r="QRB39" s="132"/>
      <c r="QRC39" s="133" t="s">
        <v>48</v>
      </c>
      <c r="QRD39" s="134"/>
      <c r="QRE39" s="135"/>
      <c r="QRF39" s="126"/>
      <c r="QRG39" s="126"/>
      <c r="QRH39" s="128"/>
      <c r="QRI39" s="130"/>
      <c r="QRJ39" s="132"/>
      <c r="QRK39" s="133" t="s">
        <v>48</v>
      </c>
      <c r="QRL39" s="134"/>
      <c r="QRM39" s="135"/>
      <c r="QRN39" s="126"/>
      <c r="QRO39" s="126"/>
      <c r="QRP39" s="128"/>
      <c r="QRQ39" s="130"/>
      <c r="QRR39" s="132"/>
      <c r="QRS39" s="133" t="s">
        <v>48</v>
      </c>
      <c r="QRT39" s="134"/>
      <c r="QRU39" s="135"/>
      <c r="QRV39" s="126"/>
      <c r="QRW39" s="126"/>
      <c r="QRX39" s="128"/>
      <c r="QRY39" s="130"/>
      <c r="QRZ39" s="132"/>
      <c r="QSA39" s="133" t="s">
        <v>48</v>
      </c>
      <c r="QSB39" s="134"/>
      <c r="QSC39" s="135"/>
      <c r="QSD39" s="126"/>
      <c r="QSE39" s="126"/>
      <c r="QSF39" s="128"/>
      <c r="QSG39" s="130"/>
      <c r="QSH39" s="132"/>
      <c r="QSI39" s="133" t="s">
        <v>48</v>
      </c>
      <c r="QSJ39" s="134"/>
      <c r="QSK39" s="135"/>
      <c r="QSL39" s="126"/>
      <c r="QSM39" s="126"/>
      <c r="QSN39" s="128"/>
      <c r="QSO39" s="130"/>
      <c r="QSP39" s="132"/>
      <c r="QSQ39" s="133" t="s">
        <v>48</v>
      </c>
      <c r="QSR39" s="134"/>
      <c r="QSS39" s="135"/>
      <c r="QST39" s="126"/>
      <c r="QSU39" s="126"/>
      <c r="QSV39" s="128"/>
      <c r="QSW39" s="130"/>
      <c r="QSX39" s="132"/>
      <c r="QSY39" s="133" t="s">
        <v>48</v>
      </c>
      <c r="QSZ39" s="134"/>
      <c r="QTA39" s="135"/>
      <c r="QTB39" s="126"/>
      <c r="QTC39" s="126"/>
      <c r="QTD39" s="128"/>
      <c r="QTE39" s="130"/>
      <c r="QTF39" s="132"/>
      <c r="QTG39" s="133" t="s">
        <v>48</v>
      </c>
      <c r="QTH39" s="134"/>
      <c r="QTI39" s="135"/>
      <c r="QTJ39" s="126"/>
      <c r="QTK39" s="126"/>
      <c r="QTL39" s="128"/>
      <c r="QTM39" s="130"/>
      <c r="QTN39" s="132"/>
      <c r="QTO39" s="133" t="s">
        <v>48</v>
      </c>
      <c r="QTP39" s="134"/>
      <c r="QTQ39" s="135"/>
      <c r="QTR39" s="126"/>
      <c r="QTS39" s="126"/>
      <c r="QTT39" s="128"/>
      <c r="QTU39" s="130"/>
      <c r="QTV39" s="132"/>
      <c r="QTW39" s="133" t="s">
        <v>48</v>
      </c>
      <c r="QTX39" s="134"/>
      <c r="QTY39" s="135"/>
      <c r="QTZ39" s="126"/>
      <c r="QUA39" s="126"/>
      <c r="QUB39" s="128"/>
      <c r="QUC39" s="130"/>
      <c r="QUD39" s="132"/>
      <c r="QUE39" s="133" t="s">
        <v>48</v>
      </c>
      <c r="QUF39" s="134"/>
      <c r="QUG39" s="135"/>
      <c r="QUH39" s="126"/>
      <c r="QUI39" s="126"/>
      <c r="QUJ39" s="128"/>
      <c r="QUK39" s="130"/>
      <c r="QUL39" s="132"/>
      <c r="QUM39" s="133" t="s">
        <v>48</v>
      </c>
      <c r="QUN39" s="134"/>
      <c r="QUO39" s="135"/>
      <c r="QUP39" s="126"/>
      <c r="QUQ39" s="126"/>
      <c r="QUR39" s="128"/>
      <c r="QUS39" s="130"/>
      <c r="QUT39" s="132"/>
      <c r="QUU39" s="133" t="s">
        <v>48</v>
      </c>
      <c r="QUV39" s="134"/>
      <c r="QUW39" s="135"/>
      <c r="QUX39" s="126"/>
      <c r="QUY39" s="126"/>
      <c r="QUZ39" s="128"/>
      <c r="QVA39" s="130"/>
      <c r="QVB39" s="132"/>
      <c r="QVC39" s="133" t="s">
        <v>48</v>
      </c>
      <c r="QVD39" s="134"/>
      <c r="QVE39" s="135"/>
      <c r="QVF39" s="126"/>
      <c r="QVG39" s="126"/>
      <c r="QVH39" s="128"/>
      <c r="QVI39" s="130"/>
      <c r="QVJ39" s="132"/>
      <c r="QVK39" s="133" t="s">
        <v>48</v>
      </c>
      <c r="QVL39" s="134"/>
      <c r="QVM39" s="135"/>
      <c r="QVN39" s="126"/>
      <c r="QVO39" s="126"/>
      <c r="QVP39" s="128"/>
      <c r="QVQ39" s="130"/>
      <c r="QVR39" s="132"/>
      <c r="QVS39" s="133" t="s">
        <v>48</v>
      </c>
      <c r="QVT39" s="134"/>
      <c r="QVU39" s="135"/>
      <c r="QVV39" s="126"/>
      <c r="QVW39" s="126"/>
      <c r="QVX39" s="128"/>
      <c r="QVY39" s="130"/>
      <c r="QVZ39" s="132"/>
      <c r="QWA39" s="133" t="s">
        <v>48</v>
      </c>
      <c r="QWB39" s="134"/>
      <c r="QWC39" s="135"/>
      <c r="QWD39" s="126"/>
      <c r="QWE39" s="126"/>
      <c r="QWF39" s="128"/>
      <c r="QWG39" s="130"/>
      <c r="QWH39" s="132"/>
      <c r="QWI39" s="133" t="s">
        <v>48</v>
      </c>
      <c r="QWJ39" s="134"/>
      <c r="QWK39" s="135"/>
      <c r="QWL39" s="126"/>
      <c r="QWM39" s="126"/>
      <c r="QWN39" s="128"/>
      <c r="QWO39" s="130"/>
      <c r="QWP39" s="132"/>
      <c r="QWQ39" s="133" t="s">
        <v>48</v>
      </c>
      <c r="QWR39" s="134"/>
      <c r="QWS39" s="135"/>
      <c r="QWT39" s="126"/>
      <c r="QWU39" s="126"/>
      <c r="QWV39" s="128"/>
      <c r="QWW39" s="130"/>
      <c r="QWX39" s="132"/>
      <c r="QWY39" s="133" t="s">
        <v>48</v>
      </c>
      <c r="QWZ39" s="134"/>
      <c r="QXA39" s="135"/>
      <c r="QXB39" s="126"/>
      <c r="QXC39" s="126"/>
      <c r="QXD39" s="128"/>
      <c r="QXE39" s="130"/>
      <c r="QXF39" s="132"/>
      <c r="QXG39" s="133" t="s">
        <v>48</v>
      </c>
      <c r="QXH39" s="134"/>
      <c r="QXI39" s="135"/>
      <c r="QXJ39" s="126"/>
      <c r="QXK39" s="126"/>
      <c r="QXL39" s="128"/>
      <c r="QXM39" s="130"/>
      <c r="QXN39" s="132"/>
      <c r="QXO39" s="133" t="s">
        <v>48</v>
      </c>
      <c r="QXP39" s="134"/>
      <c r="QXQ39" s="135"/>
      <c r="QXR39" s="126"/>
      <c r="QXS39" s="126"/>
      <c r="QXT39" s="128"/>
      <c r="QXU39" s="130"/>
      <c r="QXV39" s="132"/>
      <c r="QXW39" s="133" t="s">
        <v>48</v>
      </c>
      <c r="QXX39" s="134"/>
      <c r="QXY39" s="135"/>
      <c r="QXZ39" s="126"/>
      <c r="QYA39" s="126"/>
      <c r="QYB39" s="128"/>
      <c r="QYC39" s="130"/>
      <c r="QYD39" s="132"/>
      <c r="QYE39" s="133" t="s">
        <v>48</v>
      </c>
      <c r="QYF39" s="134"/>
      <c r="QYG39" s="135"/>
      <c r="QYH39" s="126"/>
      <c r="QYI39" s="126"/>
      <c r="QYJ39" s="128"/>
      <c r="QYK39" s="130"/>
      <c r="QYL39" s="132"/>
      <c r="QYM39" s="133" t="s">
        <v>48</v>
      </c>
      <c r="QYN39" s="134"/>
      <c r="QYO39" s="135"/>
      <c r="QYP39" s="126"/>
      <c r="QYQ39" s="126"/>
      <c r="QYR39" s="128"/>
      <c r="QYS39" s="130"/>
      <c r="QYT39" s="132"/>
      <c r="QYU39" s="133" t="s">
        <v>48</v>
      </c>
      <c r="QYV39" s="134"/>
      <c r="QYW39" s="135"/>
      <c r="QYX39" s="126"/>
      <c r="QYY39" s="126"/>
      <c r="QYZ39" s="128"/>
      <c r="QZA39" s="130"/>
      <c r="QZB39" s="132"/>
      <c r="QZC39" s="133" t="s">
        <v>48</v>
      </c>
      <c r="QZD39" s="134"/>
      <c r="QZE39" s="135"/>
      <c r="QZF39" s="126"/>
      <c r="QZG39" s="126"/>
      <c r="QZH39" s="128"/>
      <c r="QZI39" s="130"/>
      <c r="QZJ39" s="132"/>
      <c r="QZK39" s="133" t="s">
        <v>48</v>
      </c>
      <c r="QZL39" s="134"/>
      <c r="QZM39" s="135"/>
      <c r="QZN39" s="126"/>
      <c r="QZO39" s="126"/>
      <c r="QZP39" s="128"/>
      <c r="QZQ39" s="130"/>
      <c r="QZR39" s="132"/>
      <c r="QZS39" s="133" t="s">
        <v>48</v>
      </c>
      <c r="QZT39" s="134"/>
      <c r="QZU39" s="135"/>
      <c r="QZV39" s="126"/>
      <c r="QZW39" s="126"/>
      <c r="QZX39" s="128"/>
      <c r="QZY39" s="130"/>
      <c r="QZZ39" s="132"/>
      <c r="RAA39" s="133" t="s">
        <v>48</v>
      </c>
      <c r="RAB39" s="134"/>
      <c r="RAC39" s="135"/>
      <c r="RAD39" s="126"/>
      <c r="RAE39" s="126"/>
      <c r="RAF39" s="128"/>
      <c r="RAG39" s="130"/>
      <c r="RAH39" s="132"/>
      <c r="RAI39" s="133" t="s">
        <v>48</v>
      </c>
      <c r="RAJ39" s="134"/>
      <c r="RAK39" s="135"/>
      <c r="RAL39" s="126"/>
      <c r="RAM39" s="126"/>
      <c r="RAN39" s="128"/>
      <c r="RAO39" s="130"/>
      <c r="RAP39" s="132"/>
      <c r="RAQ39" s="133" t="s">
        <v>48</v>
      </c>
      <c r="RAR39" s="134"/>
      <c r="RAS39" s="135"/>
      <c r="RAT39" s="126"/>
      <c r="RAU39" s="126"/>
      <c r="RAV39" s="128"/>
      <c r="RAW39" s="130"/>
      <c r="RAX39" s="132"/>
      <c r="RAY39" s="133" t="s">
        <v>48</v>
      </c>
      <c r="RAZ39" s="134"/>
      <c r="RBA39" s="135"/>
      <c r="RBB39" s="126"/>
      <c r="RBC39" s="126"/>
      <c r="RBD39" s="128"/>
      <c r="RBE39" s="130"/>
      <c r="RBF39" s="132"/>
      <c r="RBG39" s="133" t="s">
        <v>48</v>
      </c>
      <c r="RBH39" s="134"/>
      <c r="RBI39" s="135"/>
      <c r="RBJ39" s="126"/>
      <c r="RBK39" s="126"/>
      <c r="RBL39" s="128"/>
      <c r="RBM39" s="130"/>
      <c r="RBN39" s="132"/>
      <c r="RBO39" s="133" t="s">
        <v>48</v>
      </c>
      <c r="RBP39" s="134"/>
      <c r="RBQ39" s="135"/>
      <c r="RBR39" s="126"/>
      <c r="RBS39" s="126"/>
      <c r="RBT39" s="128"/>
      <c r="RBU39" s="130"/>
      <c r="RBV39" s="132"/>
      <c r="RBW39" s="133" t="s">
        <v>48</v>
      </c>
      <c r="RBX39" s="134"/>
      <c r="RBY39" s="135"/>
      <c r="RBZ39" s="126"/>
      <c r="RCA39" s="126"/>
      <c r="RCB39" s="128"/>
      <c r="RCC39" s="130"/>
      <c r="RCD39" s="132"/>
      <c r="RCE39" s="133" t="s">
        <v>48</v>
      </c>
      <c r="RCF39" s="134"/>
      <c r="RCG39" s="135"/>
      <c r="RCH39" s="126"/>
      <c r="RCI39" s="126"/>
      <c r="RCJ39" s="128"/>
      <c r="RCK39" s="130"/>
      <c r="RCL39" s="132"/>
      <c r="RCM39" s="133" t="s">
        <v>48</v>
      </c>
      <c r="RCN39" s="134"/>
      <c r="RCO39" s="135"/>
      <c r="RCP39" s="126"/>
      <c r="RCQ39" s="126"/>
      <c r="RCR39" s="128"/>
      <c r="RCS39" s="130"/>
      <c r="RCT39" s="132"/>
      <c r="RCU39" s="133" t="s">
        <v>48</v>
      </c>
      <c r="RCV39" s="134"/>
      <c r="RCW39" s="135"/>
      <c r="RCX39" s="126"/>
      <c r="RCY39" s="126"/>
      <c r="RCZ39" s="128"/>
      <c r="RDA39" s="130"/>
      <c r="RDB39" s="132"/>
      <c r="RDC39" s="133" t="s">
        <v>48</v>
      </c>
      <c r="RDD39" s="134"/>
      <c r="RDE39" s="135"/>
      <c r="RDF39" s="126"/>
      <c r="RDG39" s="126"/>
      <c r="RDH39" s="128"/>
      <c r="RDI39" s="130"/>
      <c r="RDJ39" s="132"/>
      <c r="RDK39" s="133" t="s">
        <v>48</v>
      </c>
      <c r="RDL39" s="134"/>
      <c r="RDM39" s="135"/>
      <c r="RDN39" s="126"/>
      <c r="RDO39" s="126"/>
      <c r="RDP39" s="128"/>
      <c r="RDQ39" s="130"/>
      <c r="RDR39" s="132"/>
      <c r="RDS39" s="133" t="s">
        <v>48</v>
      </c>
      <c r="RDT39" s="134"/>
      <c r="RDU39" s="135"/>
      <c r="RDV39" s="126"/>
      <c r="RDW39" s="126"/>
      <c r="RDX39" s="128"/>
      <c r="RDY39" s="130"/>
      <c r="RDZ39" s="132"/>
      <c r="REA39" s="133" t="s">
        <v>48</v>
      </c>
      <c r="REB39" s="134"/>
      <c r="REC39" s="135"/>
      <c r="RED39" s="126"/>
      <c r="REE39" s="126"/>
      <c r="REF39" s="128"/>
      <c r="REG39" s="130"/>
      <c r="REH39" s="132"/>
      <c r="REI39" s="133" t="s">
        <v>48</v>
      </c>
      <c r="REJ39" s="134"/>
      <c r="REK39" s="135"/>
      <c r="REL39" s="126"/>
      <c r="REM39" s="126"/>
      <c r="REN39" s="128"/>
      <c r="REO39" s="130"/>
      <c r="REP39" s="132"/>
      <c r="REQ39" s="133" t="s">
        <v>48</v>
      </c>
      <c r="RER39" s="134"/>
      <c r="RES39" s="135"/>
      <c r="RET39" s="126"/>
      <c r="REU39" s="126"/>
      <c r="REV39" s="128"/>
      <c r="REW39" s="130"/>
      <c r="REX39" s="132"/>
      <c r="REY39" s="133" t="s">
        <v>48</v>
      </c>
      <c r="REZ39" s="134"/>
      <c r="RFA39" s="135"/>
      <c r="RFB39" s="126"/>
      <c r="RFC39" s="126"/>
      <c r="RFD39" s="128"/>
      <c r="RFE39" s="130"/>
      <c r="RFF39" s="132"/>
      <c r="RFG39" s="133" t="s">
        <v>48</v>
      </c>
      <c r="RFH39" s="134"/>
      <c r="RFI39" s="135"/>
      <c r="RFJ39" s="126"/>
      <c r="RFK39" s="126"/>
      <c r="RFL39" s="128"/>
      <c r="RFM39" s="130"/>
      <c r="RFN39" s="132"/>
      <c r="RFO39" s="133" t="s">
        <v>48</v>
      </c>
      <c r="RFP39" s="134"/>
      <c r="RFQ39" s="135"/>
      <c r="RFR39" s="126"/>
      <c r="RFS39" s="126"/>
      <c r="RFT39" s="128"/>
      <c r="RFU39" s="130"/>
      <c r="RFV39" s="132"/>
      <c r="RFW39" s="133" t="s">
        <v>48</v>
      </c>
      <c r="RFX39" s="134"/>
      <c r="RFY39" s="135"/>
      <c r="RFZ39" s="126"/>
      <c r="RGA39" s="126"/>
      <c r="RGB39" s="128"/>
      <c r="RGC39" s="130"/>
      <c r="RGD39" s="132"/>
      <c r="RGE39" s="133" t="s">
        <v>48</v>
      </c>
      <c r="RGF39" s="134"/>
      <c r="RGG39" s="135"/>
      <c r="RGH39" s="126"/>
      <c r="RGI39" s="126"/>
      <c r="RGJ39" s="128"/>
      <c r="RGK39" s="130"/>
      <c r="RGL39" s="132"/>
      <c r="RGM39" s="133" t="s">
        <v>48</v>
      </c>
      <c r="RGN39" s="134"/>
      <c r="RGO39" s="135"/>
      <c r="RGP39" s="126"/>
      <c r="RGQ39" s="126"/>
      <c r="RGR39" s="128"/>
      <c r="RGS39" s="130"/>
      <c r="RGT39" s="132"/>
      <c r="RGU39" s="133" t="s">
        <v>48</v>
      </c>
      <c r="RGV39" s="134"/>
      <c r="RGW39" s="135"/>
      <c r="RGX39" s="126"/>
      <c r="RGY39" s="126"/>
      <c r="RGZ39" s="128"/>
      <c r="RHA39" s="130"/>
      <c r="RHB39" s="132"/>
      <c r="RHC39" s="133" t="s">
        <v>48</v>
      </c>
      <c r="RHD39" s="134"/>
      <c r="RHE39" s="135"/>
      <c r="RHF39" s="126"/>
      <c r="RHG39" s="126"/>
      <c r="RHH39" s="128"/>
      <c r="RHI39" s="130"/>
      <c r="RHJ39" s="132"/>
      <c r="RHK39" s="133" t="s">
        <v>48</v>
      </c>
      <c r="RHL39" s="134"/>
      <c r="RHM39" s="135"/>
      <c r="RHN39" s="126"/>
      <c r="RHO39" s="126"/>
      <c r="RHP39" s="128"/>
      <c r="RHQ39" s="130"/>
      <c r="RHR39" s="132"/>
      <c r="RHS39" s="133" t="s">
        <v>48</v>
      </c>
      <c r="RHT39" s="134"/>
      <c r="RHU39" s="135"/>
      <c r="RHV39" s="126"/>
      <c r="RHW39" s="126"/>
      <c r="RHX39" s="128"/>
      <c r="RHY39" s="130"/>
      <c r="RHZ39" s="132"/>
      <c r="RIA39" s="133" t="s">
        <v>48</v>
      </c>
      <c r="RIB39" s="134"/>
      <c r="RIC39" s="135"/>
      <c r="RID39" s="126"/>
      <c r="RIE39" s="126"/>
      <c r="RIF39" s="128"/>
      <c r="RIG39" s="130"/>
      <c r="RIH39" s="132"/>
      <c r="RII39" s="133" t="s">
        <v>48</v>
      </c>
      <c r="RIJ39" s="134"/>
      <c r="RIK39" s="135"/>
      <c r="RIL39" s="126"/>
      <c r="RIM39" s="126"/>
      <c r="RIN39" s="128"/>
      <c r="RIO39" s="130"/>
      <c r="RIP39" s="132"/>
      <c r="RIQ39" s="133" t="s">
        <v>48</v>
      </c>
      <c r="RIR39" s="134"/>
      <c r="RIS39" s="135"/>
      <c r="RIT39" s="126"/>
      <c r="RIU39" s="126"/>
      <c r="RIV39" s="128"/>
      <c r="RIW39" s="130"/>
      <c r="RIX39" s="132"/>
      <c r="RIY39" s="133" t="s">
        <v>48</v>
      </c>
      <c r="RIZ39" s="134"/>
      <c r="RJA39" s="135"/>
      <c r="RJB39" s="126"/>
      <c r="RJC39" s="126"/>
      <c r="RJD39" s="128"/>
      <c r="RJE39" s="130"/>
      <c r="RJF39" s="132"/>
      <c r="RJG39" s="133" t="s">
        <v>48</v>
      </c>
      <c r="RJH39" s="134"/>
      <c r="RJI39" s="135"/>
      <c r="RJJ39" s="126"/>
      <c r="RJK39" s="126"/>
      <c r="RJL39" s="128"/>
      <c r="RJM39" s="130"/>
      <c r="RJN39" s="132"/>
      <c r="RJO39" s="133" t="s">
        <v>48</v>
      </c>
      <c r="RJP39" s="134"/>
      <c r="RJQ39" s="135"/>
      <c r="RJR39" s="126"/>
      <c r="RJS39" s="126"/>
      <c r="RJT39" s="128"/>
      <c r="RJU39" s="130"/>
      <c r="RJV39" s="132"/>
      <c r="RJW39" s="133" t="s">
        <v>48</v>
      </c>
      <c r="RJX39" s="134"/>
      <c r="RJY39" s="135"/>
      <c r="RJZ39" s="126"/>
      <c r="RKA39" s="126"/>
      <c r="RKB39" s="128"/>
      <c r="RKC39" s="130"/>
      <c r="RKD39" s="132"/>
      <c r="RKE39" s="133" t="s">
        <v>48</v>
      </c>
      <c r="RKF39" s="134"/>
      <c r="RKG39" s="135"/>
      <c r="RKH39" s="126"/>
      <c r="RKI39" s="126"/>
      <c r="RKJ39" s="128"/>
      <c r="RKK39" s="130"/>
      <c r="RKL39" s="132"/>
      <c r="RKM39" s="133" t="s">
        <v>48</v>
      </c>
      <c r="RKN39" s="134"/>
      <c r="RKO39" s="135"/>
      <c r="RKP39" s="126"/>
      <c r="RKQ39" s="126"/>
      <c r="RKR39" s="128"/>
      <c r="RKS39" s="130"/>
      <c r="RKT39" s="132"/>
      <c r="RKU39" s="133" t="s">
        <v>48</v>
      </c>
      <c r="RKV39" s="134"/>
      <c r="RKW39" s="135"/>
      <c r="RKX39" s="126"/>
      <c r="RKY39" s="126"/>
      <c r="RKZ39" s="128"/>
      <c r="RLA39" s="130"/>
      <c r="RLB39" s="132"/>
      <c r="RLC39" s="133" t="s">
        <v>48</v>
      </c>
      <c r="RLD39" s="134"/>
      <c r="RLE39" s="135"/>
      <c r="RLF39" s="126"/>
      <c r="RLG39" s="126"/>
      <c r="RLH39" s="128"/>
      <c r="RLI39" s="130"/>
      <c r="RLJ39" s="132"/>
      <c r="RLK39" s="133" t="s">
        <v>48</v>
      </c>
      <c r="RLL39" s="134"/>
      <c r="RLM39" s="135"/>
      <c r="RLN39" s="126"/>
      <c r="RLO39" s="126"/>
      <c r="RLP39" s="128"/>
      <c r="RLQ39" s="130"/>
      <c r="RLR39" s="132"/>
      <c r="RLS39" s="133" t="s">
        <v>48</v>
      </c>
      <c r="RLT39" s="134"/>
      <c r="RLU39" s="135"/>
      <c r="RLV39" s="126"/>
      <c r="RLW39" s="126"/>
      <c r="RLX39" s="128"/>
      <c r="RLY39" s="130"/>
      <c r="RLZ39" s="132"/>
      <c r="RMA39" s="133" t="s">
        <v>48</v>
      </c>
      <c r="RMB39" s="134"/>
      <c r="RMC39" s="135"/>
      <c r="RMD39" s="126"/>
      <c r="RME39" s="126"/>
      <c r="RMF39" s="128"/>
      <c r="RMG39" s="130"/>
      <c r="RMH39" s="132"/>
      <c r="RMI39" s="133" t="s">
        <v>48</v>
      </c>
      <c r="RMJ39" s="134"/>
      <c r="RMK39" s="135"/>
      <c r="RML39" s="126"/>
      <c r="RMM39" s="126"/>
      <c r="RMN39" s="128"/>
      <c r="RMO39" s="130"/>
      <c r="RMP39" s="132"/>
      <c r="RMQ39" s="133" t="s">
        <v>48</v>
      </c>
      <c r="RMR39" s="134"/>
      <c r="RMS39" s="135"/>
      <c r="RMT39" s="126"/>
      <c r="RMU39" s="126"/>
      <c r="RMV39" s="128"/>
      <c r="RMW39" s="130"/>
      <c r="RMX39" s="132"/>
      <c r="RMY39" s="133" t="s">
        <v>48</v>
      </c>
      <c r="RMZ39" s="134"/>
      <c r="RNA39" s="135"/>
      <c r="RNB39" s="126"/>
      <c r="RNC39" s="126"/>
      <c r="RND39" s="128"/>
      <c r="RNE39" s="130"/>
      <c r="RNF39" s="132"/>
      <c r="RNG39" s="133" t="s">
        <v>48</v>
      </c>
      <c r="RNH39" s="134"/>
      <c r="RNI39" s="135"/>
      <c r="RNJ39" s="126"/>
      <c r="RNK39" s="126"/>
      <c r="RNL39" s="128"/>
      <c r="RNM39" s="130"/>
      <c r="RNN39" s="132"/>
      <c r="RNO39" s="133" t="s">
        <v>48</v>
      </c>
      <c r="RNP39" s="134"/>
      <c r="RNQ39" s="135"/>
      <c r="RNR39" s="126"/>
      <c r="RNS39" s="126"/>
      <c r="RNT39" s="128"/>
      <c r="RNU39" s="130"/>
      <c r="RNV39" s="132"/>
      <c r="RNW39" s="133" t="s">
        <v>48</v>
      </c>
      <c r="RNX39" s="134"/>
      <c r="RNY39" s="135"/>
      <c r="RNZ39" s="126"/>
      <c r="ROA39" s="126"/>
      <c r="ROB39" s="128"/>
      <c r="ROC39" s="130"/>
      <c r="ROD39" s="132"/>
      <c r="ROE39" s="133" t="s">
        <v>48</v>
      </c>
      <c r="ROF39" s="134"/>
      <c r="ROG39" s="135"/>
      <c r="ROH39" s="126"/>
      <c r="ROI39" s="126"/>
      <c r="ROJ39" s="128"/>
      <c r="ROK39" s="130"/>
      <c r="ROL39" s="132"/>
      <c r="ROM39" s="133" t="s">
        <v>48</v>
      </c>
      <c r="RON39" s="134"/>
      <c r="ROO39" s="135"/>
      <c r="ROP39" s="126"/>
      <c r="ROQ39" s="126"/>
      <c r="ROR39" s="128"/>
      <c r="ROS39" s="130"/>
      <c r="ROT39" s="132"/>
      <c r="ROU39" s="133" t="s">
        <v>48</v>
      </c>
      <c r="ROV39" s="134"/>
      <c r="ROW39" s="135"/>
      <c r="ROX39" s="126"/>
      <c r="ROY39" s="126"/>
      <c r="ROZ39" s="128"/>
      <c r="RPA39" s="130"/>
      <c r="RPB39" s="132"/>
      <c r="RPC39" s="133" t="s">
        <v>48</v>
      </c>
      <c r="RPD39" s="134"/>
      <c r="RPE39" s="135"/>
      <c r="RPF39" s="126"/>
      <c r="RPG39" s="126"/>
      <c r="RPH39" s="128"/>
      <c r="RPI39" s="130"/>
      <c r="RPJ39" s="132"/>
      <c r="RPK39" s="133" t="s">
        <v>48</v>
      </c>
      <c r="RPL39" s="134"/>
      <c r="RPM39" s="135"/>
      <c r="RPN39" s="126"/>
      <c r="RPO39" s="126"/>
      <c r="RPP39" s="128"/>
      <c r="RPQ39" s="130"/>
      <c r="RPR39" s="132"/>
      <c r="RPS39" s="133" t="s">
        <v>48</v>
      </c>
      <c r="RPT39" s="134"/>
      <c r="RPU39" s="135"/>
      <c r="RPV39" s="126"/>
      <c r="RPW39" s="126"/>
      <c r="RPX39" s="128"/>
      <c r="RPY39" s="130"/>
      <c r="RPZ39" s="132"/>
      <c r="RQA39" s="133" t="s">
        <v>48</v>
      </c>
      <c r="RQB39" s="134"/>
      <c r="RQC39" s="135"/>
      <c r="RQD39" s="126"/>
      <c r="RQE39" s="126"/>
      <c r="RQF39" s="128"/>
      <c r="RQG39" s="130"/>
      <c r="RQH39" s="132"/>
      <c r="RQI39" s="133" t="s">
        <v>48</v>
      </c>
      <c r="RQJ39" s="134"/>
      <c r="RQK39" s="135"/>
      <c r="RQL39" s="126"/>
      <c r="RQM39" s="126"/>
      <c r="RQN39" s="128"/>
      <c r="RQO39" s="130"/>
      <c r="RQP39" s="132"/>
      <c r="RQQ39" s="133" t="s">
        <v>48</v>
      </c>
      <c r="RQR39" s="134"/>
      <c r="RQS39" s="135"/>
      <c r="RQT39" s="126"/>
      <c r="RQU39" s="126"/>
      <c r="RQV39" s="128"/>
      <c r="RQW39" s="130"/>
      <c r="RQX39" s="132"/>
      <c r="RQY39" s="133" t="s">
        <v>48</v>
      </c>
      <c r="RQZ39" s="134"/>
      <c r="RRA39" s="135"/>
      <c r="RRB39" s="126"/>
      <c r="RRC39" s="126"/>
      <c r="RRD39" s="128"/>
      <c r="RRE39" s="130"/>
      <c r="RRF39" s="132"/>
      <c r="RRG39" s="133" t="s">
        <v>48</v>
      </c>
      <c r="RRH39" s="134"/>
      <c r="RRI39" s="135"/>
      <c r="RRJ39" s="126"/>
      <c r="RRK39" s="126"/>
      <c r="RRL39" s="128"/>
      <c r="RRM39" s="130"/>
      <c r="RRN39" s="132"/>
      <c r="RRO39" s="133" t="s">
        <v>48</v>
      </c>
      <c r="RRP39" s="134"/>
      <c r="RRQ39" s="135"/>
      <c r="RRR39" s="126"/>
      <c r="RRS39" s="126"/>
      <c r="RRT39" s="128"/>
      <c r="RRU39" s="130"/>
      <c r="RRV39" s="132"/>
      <c r="RRW39" s="133" t="s">
        <v>48</v>
      </c>
      <c r="RRX39" s="134"/>
      <c r="RRY39" s="135"/>
      <c r="RRZ39" s="126"/>
      <c r="RSA39" s="126"/>
      <c r="RSB39" s="128"/>
      <c r="RSC39" s="130"/>
      <c r="RSD39" s="132"/>
      <c r="RSE39" s="133" t="s">
        <v>48</v>
      </c>
      <c r="RSF39" s="134"/>
      <c r="RSG39" s="135"/>
      <c r="RSH39" s="126"/>
      <c r="RSI39" s="126"/>
      <c r="RSJ39" s="128"/>
      <c r="RSK39" s="130"/>
      <c r="RSL39" s="132"/>
      <c r="RSM39" s="133" t="s">
        <v>48</v>
      </c>
      <c r="RSN39" s="134"/>
      <c r="RSO39" s="135"/>
      <c r="RSP39" s="126"/>
      <c r="RSQ39" s="126"/>
      <c r="RSR39" s="128"/>
      <c r="RSS39" s="130"/>
      <c r="RST39" s="132"/>
      <c r="RSU39" s="133" t="s">
        <v>48</v>
      </c>
      <c r="RSV39" s="134"/>
      <c r="RSW39" s="135"/>
      <c r="RSX39" s="126"/>
      <c r="RSY39" s="126"/>
      <c r="RSZ39" s="128"/>
      <c r="RTA39" s="130"/>
      <c r="RTB39" s="132"/>
      <c r="RTC39" s="133" t="s">
        <v>48</v>
      </c>
      <c r="RTD39" s="134"/>
      <c r="RTE39" s="135"/>
      <c r="RTF39" s="126"/>
      <c r="RTG39" s="126"/>
      <c r="RTH39" s="128"/>
      <c r="RTI39" s="130"/>
      <c r="RTJ39" s="132"/>
      <c r="RTK39" s="133" t="s">
        <v>48</v>
      </c>
      <c r="RTL39" s="134"/>
      <c r="RTM39" s="135"/>
      <c r="RTN39" s="126"/>
      <c r="RTO39" s="126"/>
      <c r="RTP39" s="128"/>
      <c r="RTQ39" s="130"/>
      <c r="RTR39" s="132"/>
      <c r="RTS39" s="133" t="s">
        <v>48</v>
      </c>
      <c r="RTT39" s="134"/>
      <c r="RTU39" s="135"/>
      <c r="RTV39" s="126"/>
      <c r="RTW39" s="126"/>
      <c r="RTX39" s="128"/>
      <c r="RTY39" s="130"/>
      <c r="RTZ39" s="132"/>
      <c r="RUA39" s="133" t="s">
        <v>48</v>
      </c>
      <c r="RUB39" s="134"/>
      <c r="RUC39" s="135"/>
      <c r="RUD39" s="126"/>
      <c r="RUE39" s="126"/>
      <c r="RUF39" s="128"/>
      <c r="RUG39" s="130"/>
      <c r="RUH39" s="132"/>
      <c r="RUI39" s="133" t="s">
        <v>48</v>
      </c>
      <c r="RUJ39" s="134"/>
      <c r="RUK39" s="135"/>
      <c r="RUL39" s="126"/>
      <c r="RUM39" s="126"/>
      <c r="RUN39" s="128"/>
      <c r="RUO39" s="130"/>
      <c r="RUP39" s="132"/>
      <c r="RUQ39" s="133" t="s">
        <v>48</v>
      </c>
      <c r="RUR39" s="134"/>
      <c r="RUS39" s="135"/>
      <c r="RUT39" s="126"/>
      <c r="RUU39" s="126"/>
      <c r="RUV39" s="128"/>
      <c r="RUW39" s="130"/>
      <c r="RUX39" s="132"/>
      <c r="RUY39" s="133" t="s">
        <v>48</v>
      </c>
      <c r="RUZ39" s="134"/>
      <c r="RVA39" s="135"/>
      <c r="RVB39" s="126"/>
      <c r="RVC39" s="126"/>
      <c r="RVD39" s="128"/>
      <c r="RVE39" s="130"/>
      <c r="RVF39" s="132"/>
      <c r="RVG39" s="133" t="s">
        <v>48</v>
      </c>
      <c r="RVH39" s="134"/>
      <c r="RVI39" s="135"/>
      <c r="RVJ39" s="126"/>
      <c r="RVK39" s="126"/>
      <c r="RVL39" s="128"/>
      <c r="RVM39" s="130"/>
      <c r="RVN39" s="132"/>
      <c r="RVO39" s="133" t="s">
        <v>48</v>
      </c>
      <c r="RVP39" s="134"/>
      <c r="RVQ39" s="135"/>
      <c r="RVR39" s="126"/>
      <c r="RVS39" s="126"/>
      <c r="RVT39" s="128"/>
      <c r="RVU39" s="130"/>
      <c r="RVV39" s="132"/>
      <c r="RVW39" s="133" t="s">
        <v>48</v>
      </c>
      <c r="RVX39" s="134"/>
      <c r="RVY39" s="135"/>
      <c r="RVZ39" s="126"/>
      <c r="RWA39" s="126"/>
      <c r="RWB39" s="128"/>
      <c r="RWC39" s="130"/>
      <c r="RWD39" s="132"/>
      <c r="RWE39" s="133" t="s">
        <v>48</v>
      </c>
      <c r="RWF39" s="134"/>
      <c r="RWG39" s="135"/>
      <c r="RWH39" s="126"/>
      <c r="RWI39" s="126"/>
      <c r="RWJ39" s="128"/>
      <c r="RWK39" s="130"/>
      <c r="RWL39" s="132"/>
      <c r="RWM39" s="133" t="s">
        <v>48</v>
      </c>
      <c r="RWN39" s="134"/>
      <c r="RWO39" s="135"/>
      <c r="RWP39" s="126"/>
      <c r="RWQ39" s="126"/>
      <c r="RWR39" s="128"/>
      <c r="RWS39" s="130"/>
      <c r="RWT39" s="132"/>
      <c r="RWU39" s="133" t="s">
        <v>48</v>
      </c>
      <c r="RWV39" s="134"/>
      <c r="RWW39" s="135"/>
      <c r="RWX39" s="126"/>
      <c r="RWY39" s="126"/>
      <c r="RWZ39" s="128"/>
      <c r="RXA39" s="130"/>
      <c r="RXB39" s="132"/>
      <c r="RXC39" s="133" t="s">
        <v>48</v>
      </c>
      <c r="RXD39" s="134"/>
      <c r="RXE39" s="135"/>
      <c r="RXF39" s="126"/>
      <c r="RXG39" s="126"/>
      <c r="RXH39" s="128"/>
      <c r="RXI39" s="130"/>
      <c r="RXJ39" s="132"/>
      <c r="RXK39" s="133" t="s">
        <v>48</v>
      </c>
      <c r="RXL39" s="134"/>
      <c r="RXM39" s="135"/>
      <c r="RXN39" s="126"/>
      <c r="RXO39" s="126"/>
      <c r="RXP39" s="128"/>
      <c r="RXQ39" s="130"/>
      <c r="RXR39" s="132"/>
      <c r="RXS39" s="133" t="s">
        <v>48</v>
      </c>
      <c r="RXT39" s="134"/>
      <c r="RXU39" s="135"/>
      <c r="RXV39" s="126"/>
      <c r="RXW39" s="126"/>
      <c r="RXX39" s="128"/>
      <c r="RXY39" s="130"/>
      <c r="RXZ39" s="132"/>
      <c r="RYA39" s="133" t="s">
        <v>48</v>
      </c>
      <c r="RYB39" s="134"/>
      <c r="RYC39" s="135"/>
      <c r="RYD39" s="126"/>
      <c r="RYE39" s="126"/>
      <c r="RYF39" s="128"/>
      <c r="RYG39" s="130"/>
      <c r="RYH39" s="132"/>
      <c r="RYI39" s="133" t="s">
        <v>48</v>
      </c>
      <c r="RYJ39" s="134"/>
      <c r="RYK39" s="135"/>
      <c r="RYL39" s="126"/>
      <c r="RYM39" s="126"/>
      <c r="RYN39" s="128"/>
      <c r="RYO39" s="130"/>
      <c r="RYP39" s="132"/>
      <c r="RYQ39" s="133" t="s">
        <v>48</v>
      </c>
      <c r="RYR39" s="134"/>
      <c r="RYS39" s="135"/>
      <c r="RYT39" s="126"/>
      <c r="RYU39" s="126"/>
      <c r="RYV39" s="128"/>
      <c r="RYW39" s="130"/>
      <c r="RYX39" s="132"/>
      <c r="RYY39" s="133" t="s">
        <v>48</v>
      </c>
      <c r="RYZ39" s="134"/>
      <c r="RZA39" s="135"/>
      <c r="RZB39" s="126"/>
      <c r="RZC39" s="126"/>
      <c r="RZD39" s="128"/>
      <c r="RZE39" s="130"/>
      <c r="RZF39" s="132"/>
      <c r="RZG39" s="133" t="s">
        <v>48</v>
      </c>
      <c r="RZH39" s="134"/>
      <c r="RZI39" s="135"/>
      <c r="RZJ39" s="126"/>
      <c r="RZK39" s="126"/>
      <c r="RZL39" s="128"/>
      <c r="RZM39" s="130"/>
      <c r="RZN39" s="132"/>
      <c r="RZO39" s="133" t="s">
        <v>48</v>
      </c>
      <c r="RZP39" s="134"/>
      <c r="RZQ39" s="135"/>
      <c r="RZR39" s="126"/>
      <c r="RZS39" s="126"/>
      <c r="RZT39" s="128"/>
      <c r="RZU39" s="130"/>
      <c r="RZV39" s="132"/>
      <c r="RZW39" s="133" t="s">
        <v>48</v>
      </c>
      <c r="RZX39" s="134"/>
      <c r="RZY39" s="135"/>
      <c r="RZZ39" s="126"/>
      <c r="SAA39" s="126"/>
      <c r="SAB39" s="128"/>
      <c r="SAC39" s="130"/>
      <c r="SAD39" s="132"/>
      <c r="SAE39" s="133" t="s">
        <v>48</v>
      </c>
      <c r="SAF39" s="134"/>
      <c r="SAG39" s="135"/>
      <c r="SAH39" s="126"/>
      <c r="SAI39" s="126"/>
      <c r="SAJ39" s="128"/>
      <c r="SAK39" s="130"/>
      <c r="SAL39" s="132"/>
      <c r="SAM39" s="133" t="s">
        <v>48</v>
      </c>
      <c r="SAN39" s="134"/>
      <c r="SAO39" s="135"/>
      <c r="SAP39" s="126"/>
      <c r="SAQ39" s="126"/>
      <c r="SAR39" s="128"/>
      <c r="SAS39" s="130"/>
      <c r="SAT39" s="132"/>
      <c r="SAU39" s="133" t="s">
        <v>48</v>
      </c>
      <c r="SAV39" s="134"/>
      <c r="SAW39" s="135"/>
      <c r="SAX39" s="126"/>
      <c r="SAY39" s="126"/>
      <c r="SAZ39" s="128"/>
      <c r="SBA39" s="130"/>
      <c r="SBB39" s="132"/>
      <c r="SBC39" s="133" t="s">
        <v>48</v>
      </c>
      <c r="SBD39" s="134"/>
      <c r="SBE39" s="135"/>
      <c r="SBF39" s="126"/>
      <c r="SBG39" s="126"/>
      <c r="SBH39" s="128"/>
      <c r="SBI39" s="130"/>
      <c r="SBJ39" s="132"/>
      <c r="SBK39" s="133" t="s">
        <v>48</v>
      </c>
      <c r="SBL39" s="134"/>
      <c r="SBM39" s="135"/>
      <c r="SBN39" s="126"/>
      <c r="SBO39" s="126"/>
      <c r="SBP39" s="128"/>
      <c r="SBQ39" s="130"/>
      <c r="SBR39" s="132"/>
      <c r="SBS39" s="133" t="s">
        <v>48</v>
      </c>
      <c r="SBT39" s="134"/>
      <c r="SBU39" s="135"/>
      <c r="SBV39" s="126"/>
      <c r="SBW39" s="126"/>
      <c r="SBX39" s="128"/>
      <c r="SBY39" s="130"/>
      <c r="SBZ39" s="132"/>
      <c r="SCA39" s="133" t="s">
        <v>48</v>
      </c>
      <c r="SCB39" s="134"/>
      <c r="SCC39" s="135"/>
      <c r="SCD39" s="126"/>
      <c r="SCE39" s="126"/>
      <c r="SCF39" s="128"/>
      <c r="SCG39" s="130"/>
      <c r="SCH39" s="132"/>
      <c r="SCI39" s="133" t="s">
        <v>48</v>
      </c>
      <c r="SCJ39" s="134"/>
      <c r="SCK39" s="135"/>
      <c r="SCL39" s="126"/>
      <c r="SCM39" s="126"/>
      <c r="SCN39" s="128"/>
      <c r="SCO39" s="130"/>
      <c r="SCP39" s="132"/>
      <c r="SCQ39" s="133" t="s">
        <v>48</v>
      </c>
      <c r="SCR39" s="134"/>
      <c r="SCS39" s="135"/>
      <c r="SCT39" s="126"/>
      <c r="SCU39" s="126"/>
      <c r="SCV39" s="128"/>
      <c r="SCW39" s="130"/>
      <c r="SCX39" s="132"/>
      <c r="SCY39" s="133" t="s">
        <v>48</v>
      </c>
      <c r="SCZ39" s="134"/>
      <c r="SDA39" s="135"/>
      <c r="SDB39" s="126"/>
      <c r="SDC39" s="126"/>
      <c r="SDD39" s="128"/>
      <c r="SDE39" s="130"/>
      <c r="SDF39" s="132"/>
      <c r="SDG39" s="133" t="s">
        <v>48</v>
      </c>
      <c r="SDH39" s="134"/>
      <c r="SDI39" s="135"/>
      <c r="SDJ39" s="126"/>
      <c r="SDK39" s="126"/>
      <c r="SDL39" s="128"/>
      <c r="SDM39" s="130"/>
      <c r="SDN39" s="132"/>
      <c r="SDO39" s="133" t="s">
        <v>48</v>
      </c>
      <c r="SDP39" s="134"/>
      <c r="SDQ39" s="135"/>
      <c r="SDR39" s="126"/>
      <c r="SDS39" s="126"/>
      <c r="SDT39" s="128"/>
      <c r="SDU39" s="130"/>
      <c r="SDV39" s="132"/>
      <c r="SDW39" s="133" t="s">
        <v>48</v>
      </c>
      <c r="SDX39" s="134"/>
      <c r="SDY39" s="135"/>
      <c r="SDZ39" s="126"/>
      <c r="SEA39" s="126"/>
      <c r="SEB39" s="128"/>
      <c r="SEC39" s="130"/>
      <c r="SED39" s="132"/>
      <c r="SEE39" s="133" t="s">
        <v>48</v>
      </c>
      <c r="SEF39" s="134"/>
      <c r="SEG39" s="135"/>
      <c r="SEH39" s="126"/>
      <c r="SEI39" s="126"/>
      <c r="SEJ39" s="128"/>
      <c r="SEK39" s="130"/>
      <c r="SEL39" s="132"/>
      <c r="SEM39" s="133" t="s">
        <v>48</v>
      </c>
      <c r="SEN39" s="134"/>
      <c r="SEO39" s="135"/>
      <c r="SEP39" s="126"/>
      <c r="SEQ39" s="126"/>
      <c r="SER39" s="128"/>
      <c r="SES39" s="130"/>
      <c r="SET39" s="132"/>
      <c r="SEU39" s="133" t="s">
        <v>48</v>
      </c>
      <c r="SEV39" s="134"/>
      <c r="SEW39" s="135"/>
      <c r="SEX39" s="126"/>
      <c r="SEY39" s="126"/>
      <c r="SEZ39" s="128"/>
      <c r="SFA39" s="130"/>
      <c r="SFB39" s="132"/>
      <c r="SFC39" s="133" t="s">
        <v>48</v>
      </c>
      <c r="SFD39" s="134"/>
      <c r="SFE39" s="135"/>
      <c r="SFF39" s="126"/>
      <c r="SFG39" s="126"/>
      <c r="SFH39" s="128"/>
      <c r="SFI39" s="130"/>
      <c r="SFJ39" s="132"/>
      <c r="SFK39" s="133" t="s">
        <v>48</v>
      </c>
      <c r="SFL39" s="134"/>
      <c r="SFM39" s="135"/>
      <c r="SFN39" s="126"/>
      <c r="SFO39" s="126"/>
      <c r="SFP39" s="128"/>
      <c r="SFQ39" s="130"/>
      <c r="SFR39" s="132"/>
      <c r="SFS39" s="133" t="s">
        <v>48</v>
      </c>
      <c r="SFT39" s="134"/>
      <c r="SFU39" s="135"/>
      <c r="SFV39" s="126"/>
      <c r="SFW39" s="126"/>
      <c r="SFX39" s="128"/>
      <c r="SFY39" s="130"/>
      <c r="SFZ39" s="132"/>
      <c r="SGA39" s="133" t="s">
        <v>48</v>
      </c>
      <c r="SGB39" s="134"/>
      <c r="SGC39" s="135"/>
      <c r="SGD39" s="126"/>
      <c r="SGE39" s="126"/>
      <c r="SGF39" s="128"/>
      <c r="SGG39" s="130"/>
      <c r="SGH39" s="132"/>
      <c r="SGI39" s="133" t="s">
        <v>48</v>
      </c>
      <c r="SGJ39" s="134"/>
      <c r="SGK39" s="135"/>
      <c r="SGL39" s="126"/>
      <c r="SGM39" s="126"/>
      <c r="SGN39" s="128"/>
      <c r="SGO39" s="130"/>
      <c r="SGP39" s="132"/>
      <c r="SGQ39" s="133" t="s">
        <v>48</v>
      </c>
      <c r="SGR39" s="134"/>
      <c r="SGS39" s="135"/>
      <c r="SGT39" s="126"/>
      <c r="SGU39" s="126"/>
      <c r="SGV39" s="128"/>
      <c r="SGW39" s="130"/>
      <c r="SGX39" s="132"/>
      <c r="SGY39" s="133" t="s">
        <v>48</v>
      </c>
      <c r="SGZ39" s="134"/>
      <c r="SHA39" s="135"/>
      <c r="SHB39" s="126"/>
      <c r="SHC39" s="126"/>
      <c r="SHD39" s="128"/>
      <c r="SHE39" s="130"/>
      <c r="SHF39" s="132"/>
      <c r="SHG39" s="133" t="s">
        <v>48</v>
      </c>
      <c r="SHH39" s="134"/>
      <c r="SHI39" s="135"/>
      <c r="SHJ39" s="126"/>
      <c r="SHK39" s="126"/>
      <c r="SHL39" s="128"/>
      <c r="SHM39" s="130"/>
      <c r="SHN39" s="132"/>
      <c r="SHO39" s="133" t="s">
        <v>48</v>
      </c>
      <c r="SHP39" s="134"/>
      <c r="SHQ39" s="135"/>
      <c r="SHR39" s="126"/>
      <c r="SHS39" s="126"/>
      <c r="SHT39" s="128"/>
      <c r="SHU39" s="130"/>
      <c r="SHV39" s="132"/>
      <c r="SHW39" s="133" t="s">
        <v>48</v>
      </c>
      <c r="SHX39" s="134"/>
      <c r="SHY39" s="135"/>
      <c r="SHZ39" s="126"/>
      <c r="SIA39" s="126"/>
      <c r="SIB39" s="128"/>
      <c r="SIC39" s="130"/>
      <c r="SID39" s="132"/>
      <c r="SIE39" s="133" t="s">
        <v>48</v>
      </c>
      <c r="SIF39" s="134"/>
      <c r="SIG39" s="135"/>
      <c r="SIH39" s="126"/>
      <c r="SII39" s="126"/>
      <c r="SIJ39" s="128"/>
      <c r="SIK39" s="130"/>
      <c r="SIL39" s="132"/>
      <c r="SIM39" s="133" t="s">
        <v>48</v>
      </c>
      <c r="SIN39" s="134"/>
      <c r="SIO39" s="135"/>
      <c r="SIP39" s="126"/>
      <c r="SIQ39" s="126"/>
      <c r="SIR39" s="128"/>
      <c r="SIS39" s="130"/>
      <c r="SIT39" s="132"/>
      <c r="SIU39" s="133" t="s">
        <v>48</v>
      </c>
      <c r="SIV39" s="134"/>
      <c r="SIW39" s="135"/>
      <c r="SIX39" s="126"/>
      <c r="SIY39" s="126"/>
      <c r="SIZ39" s="128"/>
      <c r="SJA39" s="130"/>
      <c r="SJB39" s="132"/>
      <c r="SJC39" s="133" t="s">
        <v>48</v>
      </c>
      <c r="SJD39" s="134"/>
      <c r="SJE39" s="135"/>
      <c r="SJF39" s="126"/>
      <c r="SJG39" s="126"/>
      <c r="SJH39" s="128"/>
      <c r="SJI39" s="130"/>
      <c r="SJJ39" s="132"/>
      <c r="SJK39" s="133" t="s">
        <v>48</v>
      </c>
      <c r="SJL39" s="134"/>
      <c r="SJM39" s="135"/>
      <c r="SJN39" s="126"/>
      <c r="SJO39" s="126"/>
      <c r="SJP39" s="128"/>
      <c r="SJQ39" s="130"/>
      <c r="SJR39" s="132"/>
      <c r="SJS39" s="133" t="s">
        <v>48</v>
      </c>
      <c r="SJT39" s="134"/>
      <c r="SJU39" s="135"/>
      <c r="SJV39" s="126"/>
      <c r="SJW39" s="126"/>
      <c r="SJX39" s="128"/>
      <c r="SJY39" s="130"/>
      <c r="SJZ39" s="132"/>
      <c r="SKA39" s="133" t="s">
        <v>48</v>
      </c>
      <c r="SKB39" s="134"/>
      <c r="SKC39" s="135"/>
      <c r="SKD39" s="126"/>
      <c r="SKE39" s="126"/>
      <c r="SKF39" s="128"/>
      <c r="SKG39" s="130"/>
      <c r="SKH39" s="132"/>
      <c r="SKI39" s="133" t="s">
        <v>48</v>
      </c>
      <c r="SKJ39" s="134"/>
      <c r="SKK39" s="135"/>
      <c r="SKL39" s="126"/>
      <c r="SKM39" s="126"/>
      <c r="SKN39" s="128"/>
      <c r="SKO39" s="130"/>
      <c r="SKP39" s="132"/>
      <c r="SKQ39" s="133" t="s">
        <v>48</v>
      </c>
      <c r="SKR39" s="134"/>
      <c r="SKS39" s="135"/>
      <c r="SKT39" s="126"/>
      <c r="SKU39" s="126"/>
      <c r="SKV39" s="128"/>
      <c r="SKW39" s="130"/>
      <c r="SKX39" s="132"/>
      <c r="SKY39" s="133" t="s">
        <v>48</v>
      </c>
      <c r="SKZ39" s="134"/>
      <c r="SLA39" s="135"/>
      <c r="SLB39" s="126"/>
      <c r="SLC39" s="126"/>
      <c r="SLD39" s="128"/>
      <c r="SLE39" s="130"/>
      <c r="SLF39" s="132"/>
      <c r="SLG39" s="133" t="s">
        <v>48</v>
      </c>
      <c r="SLH39" s="134"/>
      <c r="SLI39" s="135"/>
      <c r="SLJ39" s="126"/>
      <c r="SLK39" s="126"/>
      <c r="SLL39" s="128"/>
      <c r="SLM39" s="130"/>
      <c r="SLN39" s="132"/>
      <c r="SLO39" s="133" t="s">
        <v>48</v>
      </c>
      <c r="SLP39" s="134"/>
      <c r="SLQ39" s="135"/>
      <c r="SLR39" s="126"/>
      <c r="SLS39" s="126"/>
      <c r="SLT39" s="128"/>
      <c r="SLU39" s="130"/>
      <c r="SLV39" s="132"/>
      <c r="SLW39" s="133" t="s">
        <v>48</v>
      </c>
      <c r="SLX39" s="134"/>
      <c r="SLY39" s="135"/>
      <c r="SLZ39" s="126"/>
      <c r="SMA39" s="126"/>
      <c r="SMB39" s="128"/>
      <c r="SMC39" s="130"/>
      <c r="SMD39" s="132"/>
      <c r="SME39" s="133" t="s">
        <v>48</v>
      </c>
      <c r="SMF39" s="134"/>
      <c r="SMG39" s="135"/>
      <c r="SMH39" s="126"/>
      <c r="SMI39" s="126"/>
      <c r="SMJ39" s="128"/>
      <c r="SMK39" s="130"/>
      <c r="SML39" s="132"/>
      <c r="SMM39" s="133" t="s">
        <v>48</v>
      </c>
      <c r="SMN39" s="134"/>
      <c r="SMO39" s="135"/>
      <c r="SMP39" s="126"/>
      <c r="SMQ39" s="126"/>
      <c r="SMR39" s="128"/>
      <c r="SMS39" s="130"/>
      <c r="SMT39" s="132"/>
      <c r="SMU39" s="133" t="s">
        <v>48</v>
      </c>
      <c r="SMV39" s="134"/>
      <c r="SMW39" s="135"/>
      <c r="SMX39" s="126"/>
      <c r="SMY39" s="126"/>
      <c r="SMZ39" s="128"/>
      <c r="SNA39" s="130"/>
      <c r="SNB39" s="132"/>
      <c r="SNC39" s="133" t="s">
        <v>48</v>
      </c>
      <c r="SND39" s="134"/>
      <c r="SNE39" s="135"/>
      <c r="SNF39" s="126"/>
      <c r="SNG39" s="126"/>
      <c r="SNH39" s="128"/>
      <c r="SNI39" s="130"/>
      <c r="SNJ39" s="132"/>
      <c r="SNK39" s="133" t="s">
        <v>48</v>
      </c>
      <c r="SNL39" s="134"/>
      <c r="SNM39" s="135"/>
      <c r="SNN39" s="126"/>
      <c r="SNO39" s="126"/>
      <c r="SNP39" s="128"/>
      <c r="SNQ39" s="130"/>
      <c r="SNR39" s="132"/>
      <c r="SNS39" s="133" t="s">
        <v>48</v>
      </c>
      <c r="SNT39" s="134"/>
      <c r="SNU39" s="135"/>
      <c r="SNV39" s="126"/>
      <c r="SNW39" s="126"/>
      <c r="SNX39" s="128"/>
      <c r="SNY39" s="130"/>
      <c r="SNZ39" s="132"/>
      <c r="SOA39" s="133" t="s">
        <v>48</v>
      </c>
      <c r="SOB39" s="134"/>
      <c r="SOC39" s="135"/>
      <c r="SOD39" s="126"/>
      <c r="SOE39" s="126"/>
      <c r="SOF39" s="128"/>
      <c r="SOG39" s="130"/>
      <c r="SOH39" s="132"/>
      <c r="SOI39" s="133" t="s">
        <v>48</v>
      </c>
      <c r="SOJ39" s="134"/>
      <c r="SOK39" s="135"/>
      <c r="SOL39" s="126"/>
      <c r="SOM39" s="126"/>
      <c r="SON39" s="128"/>
      <c r="SOO39" s="130"/>
      <c r="SOP39" s="132"/>
      <c r="SOQ39" s="133" t="s">
        <v>48</v>
      </c>
      <c r="SOR39" s="134"/>
      <c r="SOS39" s="135"/>
      <c r="SOT39" s="126"/>
      <c r="SOU39" s="126"/>
      <c r="SOV39" s="128"/>
      <c r="SOW39" s="130"/>
      <c r="SOX39" s="132"/>
      <c r="SOY39" s="133" t="s">
        <v>48</v>
      </c>
      <c r="SOZ39" s="134"/>
      <c r="SPA39" s="135"/>
      <c r="SPB39" s="126"/>
      <c r="SPC39" s="126"/>
      <c r="SPD39" s="128"/>
      <c r="SPE39" s="130"/>
      <c r="SPF39" s="132"/>
      <c r="SPG39" s="133" t="s">
        <v>48</v>
      </c>
      <c r="SPH39" s="134"/>
      <c r="SPI39" s="135"/>
      <c r="SPJ39" s="126"/>
      <c r="SPK39" s="126"/>
      <c r="SPL39" s="128"/>
      <c r="SPM39" s="130"/>
      <c r="SPN39" s="132"/>
      <c r="SPO39" s="133" t="s">
        <v>48</v>
      </c>
      <c r="SPP39" s="134"/>
      <c r="SPQ39" s="135"/>
      <c r="SPR39" s="126"/>
      <c r="SPS39" s="126"/>
      <c r="SPT39" s="128"/>
      <c r="SPU39" s="130"/>
      <c r="SPV39" s="132"/>
      <c r="SPW39" s="133" t="s">
        <v>48</v>
      </c>
      <c r="SPX39" s="134"/>
      <c r="SPY39" s="135"/>
      <c r="SPZ39" s="126"/>
      <c r="SQA39" s="126"/>
      <c r="SQB39" s="128"/>
      <c r="SQC39" s="130"/>
      <c r="SQD39" s="132"/>
      <c r="SQE39" s="133" t="s">
        <v>48</v>
      </c>
      <c r="SQF39" s="134"/>
      <c r="SQG39" s="135"/>
      <c r="SQH39" s="126"/>
      <c r="SQI39" s="126"/>
      <c r="SQJ39" s="128"/>
      <c r="SQK39" s="130"/>
      <c r="SQL39" s="132"/>
      <c r="SQM39" s="133" t="s">
        <v>48</v>
      </c>
      <c r="SQN39" s="134"/>
      <c r="SQO39" s="135"/>
      <c r="SQP39" s="126"/>
      <c r="SQQ39" s="126"/>
      <c r="SQR39" s="128"/>
      <c r="SQS39" s="130"/>
      <c r="SQT39" s="132"/>
      <c r="SQU39" s="133" t="s">
        <v>48</v>
      </c>
      <c r="SQV39" s="134"/>
      <c r="SQW39" s="135"/>
      <c r="SQX39" s="126"/>
      <c r="SQY39" s="126"/>
      <c r="SQZ39" s="128"/>
      <c r="SRA39" s="130"/>
      <c r="SRB39" s="132"/>
      <c r="SRC39" s="133" t="s">
        <v>48</v>
      </c>
      <c r="SRD39" s="134"/>
      <c r="SRE39" s="135"/>
      <c r="SRF39" s="126"/>
      <c r="SRG39" s="126"/>
      <c r="SRH39" s="128"/>
      <c r="SRI39" s="130"/>
      <c r="SRJ39" s="132"/>
      <c r="SRK39" s="133" t="s">
        <v>48</v>
      </c>
      <c r="SRL39" s="134"/>
      <c r="SRM39" s="135"/>
      <c r="SRN39" s="126"/>
      <c r="SRO39" s="126"/>
      <c r="SRP39" s="128"/>
      <c r="SRQ39" s="130"/>
      <c r="SRR39" s="132"/>
      <c r="SRS39" s="133" t="s">
        <v>48</v>
      </c>
      <c r="SRT39" s="134"/>
      <c r="SRU39" s="135"/>
      <c r="SRV39" s="126"/>
      <c r="SRW39" s="126"/>
      <c r="SRX39" s="128"/>
      <c r="SRY39" s="130"/>
      <c r="SRZ39" s="132"/>
      <c r="SSA39" s="133" t="s">
        <v>48</v>
      </c>
      <c r="SSB39" s="134"/>
      <c r="SSC39" s="135"/>
      <c r="SSD39" s="126"/>
      <c r="SSE39" s="126"/>
      <c r="SSF39" s="128"/>
      <c r="SSG39" s="130"/>
      <c r="SSH39" s="132"/>
      <c r="SSI39" s="133" t="s">
        <v>48</v>
      </c>
      <c r="SSJ39" s="134"/>
      <c r="SSK39" s="135"/>
      <c r="SSL39" s="126"/>
      <c r="SSM39" s="126"/>
      <c r="SSN39" s="128"/>
      <c r="SSO39" s="130"/>
      <c r="SSP39" s="132"/>
      <c r="SSQ39" s="133" t="s">
        <v>48</v>
      </c>
      <c r="SSR39" s="134"/>
      <c r="SSS39" s="135"/>
      <c r="SST39" s="126"/>
      <c r="SSU39" s="126"/>
      <c r="SSV39" s="128"/>
      <c r="SSW39" s="130"/>
      <c r="SSX39" s="132"/>
      <c r="SSY39" s="133" t="s">
        <v>48</v>
      </c>
      <c r="SSZ39" s="134"/>
      <c r="STA39" s="135"/>
      <c r="STB39" s="126"/>
      <c r="STC39" s="126"/>
      <c r="STD39" s="128"/>
      <c r="STE39" s="130"/>
      <c r="STF39" s="132"/>
      <c r="STG39" s="133" t="s">
        <v>48</v>
      </c>
      <c r="STH39" s="134"/>
      <c r="STI39" s="135"/>
      <c r="STJ39" s="126"/>
      <c r="STK39" s="126"/>
      <c r="STL39" s="128"/>
      <c r="STM39" s="130"/>
      <c r="STN39" s="132"/>
      <c r="STO39" s="133" t="s">
        <v>48</v>
      </c>
      <c r="STP39" s="134"/>
      <c r="STQ39" s="135"/>
      <c r="STR39" s="126"/>
      <c r="STS39" s="126"/>
      <c r="STT39" s="128"/>
      <c r="STU39" s="130"/>
      <c r="STV39" s="132"/>
      <c r="STW39" s="133" t="s">
        <v>48</v>
      </c>
      <c r="STX39" s="134"/>
      <c r="STY39" s="135"/>
      <c r="STZ39" s="126"/>
      <c r="SUA39" s="126"/>
      <c r="SUB39" s="128"/>
      <c r="SUC39" s="130"/>
      <c r="SUD39" s="132"/>
      <c r="SUE39" s="133" t="s">
        <v>48</v>
      </c>
      <c r="SUF39" s="134"/>
      <c r="SUG39" s="135"/>
      <c r="SUH39" s="126"/>
      <c r="SUI39" s="126"/>
      <c r="SUJ39" s="128"/>
      <c r="SUK39" s="130"/>
      <c r="SUL39" s="132"/>
      <c r="SUM39" s="133" t="s">
        <v>48</v>
      </c>
      <c r="SUN39" s="134"/>
      <c r="SUO39" s="135"/>
      <c r="SUP39" s="126"/>
      <c r="SUQ39" s="126"/>
      <c r="SUR39" s="128"/>
      <c r="SUS39" s="130"/>
      <c r="SUT39" s="132"/>
      <c r="SUU39" s="133" t="s">
        <v>48</v>
      </c>
      <c r="SUV39" s="134"/>
      <c r="SUW39" s="135"/>
      <c r="SUX39" s="126"/>
      <c r="SUY39" s="126"/>
      <c r="SUZ39" s="128"/>
      <c r="SVA39" s="130"/>
      <c r="SVB39" s="132"/>
      <c r="SVC39" s="133" t="s">
        <v>48</v>
      </c>
      <c r="SVD39" s="134"/>
      <c r="SVE39" s="135"/>
      <c r="SVF39" s="126"/>
      <c r="SVG39" s="126"/>
      <c r="SVH39" s="128"/>
      <c r="SVI39" s="130"/>
      <c r="SVJ39" s="132"/>
      <c r="SVK39" s="133" t="s">
        <v>48</v>
      </c>
      <c r="SVL39" s="134"/>
      <c r="SVM39" s="135"/>
      <c r="SVN39" s="126"/>
      <c r="SVO39" s="126"/>
      <c r="SVP39" s="128"/>
      <c r="SVQ39" s="130"/>
      <c r="SVR39" s="132"/>
      <c r="SVS39" s="133" t="s">
        <v>48</v>
      </c>
      <c r="SVT39" s="134"/>
      <c r="SVU39" s="135"/>
      <c r="SVV39" s="126"/>
      <c r="SVW39" s="126"/>
      <c r="SVX39" s="128"/>
      <c r="SVY39" s="130"/>
      <c r="SVZ39" s="132"/>
      <c r="SWA39" s="133" t="s">
        <v>48</v>
      </c>
      <c r="SWB39" s="134"/>
      <c r="SWC39" s="135"/>
      <c r="SWD39" s="126"/>
      <c r="SWE39" s="126"/>
      <c r="SWF39" s="128"/>
      <c r="SWG39" s="130"/>
      <c r="SWH39" s="132"/>
      <c r="SWI39" s="133" t="s">
        <v>48</v>
      </c>
      <c r="SWJ39" s="134"/>
      <c r="SWK39" s="135"/>
      <c r="SWL39" s="126"/>
      <c r="SWM39" s="126"/>
      <c r="SWN39" s="128"/>
      <c r="SWO39" s="130"/>
      <c r="SWP39" s="132"/>
      <c r="SWQ39" s="133" t="s">
        <v>48</v>
      </c>
      <c r="SWR39" s="134"/>
      <c r="SWS39" s="135"/>
      <c r="SWT39" s="126"/>
      <c r="SWU39" s="126"/>
      <c r="SWV39" s="128"/>
      <c r="SWW39" s="130"/>
      <c r="SWX39" s="132"/>
      <c r="SWY39" s="133" t="s">
        <v>48</v>
      </c>
      <c r="SWZ39" s="134"/>
      <c r="SXA39" s="135"/>
      <c r="SXB39" s="126"/>
      <c r="SXC39" s="126"/>
      <c r="SXD39" s="128"/>
      <c r="SXE39" s="130"/>
      <c r="SXF39" s="132"/>
      <c r="SXG39" s="133" t="s">
        <v>48</v>
      </c>
      <c r="SXH39" s="134"/>
      <c r="SXI39" s="135"/>
      <c r="SXJ39" s="126"/>
      <c r="SXK39" s="126"/>
      <c r="SXL39" s="128"/>
      <c r="SXM39" s="130"/>
      <c r="SXN39" s="132"/>
      <c r="SXO39" s="133" t="s">
        <v>48</v>
      </c>
      <c r="SXP39" s="134"/>
      <c r="SXQ39" s="135"/>
      <c r="SXR39" s="126"/>
      <c r="SXS39" s="126"/>
      <c r="SXT39" s="128"/>
      <c r="SXU39" s="130"/>
      <c r="SXV39" s="132"/>
      <c r="SXW39" s="133" t="s">
        <v>48</v>
      </c>
      <c r="SXX39" s="134"/>
      <c r="SXY39" s="135"/>
      <c r="SXZ39" s="126"/>
      <c r="SYA39" s="126"/>
      <c r="SYB39" s="128"/>
      <c r="SYC39" s="130"/>
      <c r="SYD39" s="132"/>
      <c r="SYE39" s="133" t="s">
        <v>48</v>
      </c>
      <c r="SYF39" s="134"/>
      <c r="SYG39" s="135"/>
      <c r="SYH39" s="126"/>
      <c r="SYI39" s="126"/>
      <c r="SYJ39" s="128"/>
      <c r="SYK39" s="130"/>
      <c r="SYL39" s="132"/>
      <c r="SYM39" s="133" t="s">
        <v>48</v>
      </c>
      <c r="SYN39" s="134"/>
      <c r="SYO39" s="135"/>
      <c r="SYP39" s="126"/>
      <c r="SYQ39" s="126"/>
      <c r="SYR39" s="128"/>
      <c r="SYS39" s="130"/>
      <c r="SYT39" s="132"/>
      <c r="SYU39" s="133" t="s">
        <v>48</v>
      </c>
      <c r="SYV39" s="134"/>
      <c r="SYW39" s="135"/>
      <c r="SYX39" s="126"/>
      <c r="SYY39" s="126"/>
      <c r="SYZ39" s="128"/>
      <c r="SZA39" s="130"/>
      <c r="SZB39" s="132"/>
      <c r="SZC39" s="133" t="s">
        <v>48</v>
      </c>
      <c r="SZD39" s="134"/>
      <c r="SZE39" s="135"/>
      <c r="SZF39" s="126"/>
      <c r="SZG39" s="126"/>
      <c r="SZH39" s="128"/>
      <c r="SZI39" s="130"/>
      <c r="SZJ39" s="132"/>
      <c r="SZK39" s="133" t="s">
        <v>48</v>
      </c>
      <c r="SZL39" s="134"/>
      <c r="SZM39" s="135"/>
      <c r="SZN39" s="126"/>
      <c r="SZO39" s="126"/>
      <c r="SZP39" s="128"/>
      <c r="SZQ39" s="130"/>
      <c r="SZR39" s="132"/>
      <c r="SZS39" s="133" t="s">
        <v>48</v>
      </c>
      <c r="SZT39" s="134"/>
      <c r="SZU39" s="135"/>
      <c r="SZV39" s="126"/>
      <c r="SZW39" s="126"/>
      <c r="SZX39" s="128"/>
      <c r="SZY39" s="130"/>
      <c r="SZZ39" s="132"/>
      <c r="TAA39" s="133" t="s">
        <v>48</v>
      </c>
      <c r="TAB39" s="134"/>
      <c r="TAC39" s="135"/>
      <c r="TAD39" s="126"/>
      <c r="TAE39" s="126"/>
      <c r="TAF39" s="128"/>
      <c r="TAG39" s="130"/>
      <c r="TAH39" s="132"/>
      <c r="TAI39" s="133" t="s">
        <v>48</v>
      </c>
      <c r="TAJ39" s="134"/>
      <c r="TAK39" s="135"/>
      <c r="TAL39" s="126"/>
      <c r="TAM39" s="126"/>
      <c r="TAN39" s="128"/>
      <c r="TAO39" s="130"/>
      <c r="TAP39" s="132"/>
      <c r="TAQ39" s="133" t="s">
        <v>48</v>
      </c>
      <c r="TAR39" s="134"/>
      <c r="TAS39" s="135"/>
      <c r="TAT39" s="126"/>
      <c r="TAU39" s="126"/>
      <c r="TAV39" s="128"/>
      <c r="TAW39" s="130"/>
      <c r="TAX39" s="132"/>
      <c r="TAY39" s="133" t="s">
        <v>48</v>
      </c>
      <c r="TAZ39" s="134"/>
      <c r="TBA39" s="135"/>
      <c r="TBB39" s="126"/>
      <c r="TBC39" s="126"/>
      <c r="TBD39" s="128"/>
      <c r="TBE39" s="130"/>
      <c r="TBF39" s="132"/>
      <c r="TBG39" s="133" t="s">
        <v>48</v>
      </c>
      <c r="TBH39" s="134"/>
      <c r="TBI39" s="135"/>
      <c r="TBJ39" s="126"/>
      <c r="TBK39" s="126"/>
      <c r="TBL39" s="128"/>
      <c r="TBM39" s="130"/>
      <c r="TBN39" s="132"/>
      <c r="TBO39" s="133" t="s">
        <v>48</v>
      </c>
      <c r="TBP39" s="134"/>
      <c r="TBQ39" s="135"/>
      <c r="TBR39" s="126"/>
      <c r="TBS39" s="126"/>
      <c r="TBT39" s="128"/>
      <c r="TBU39" s="130"/>
      <c r="TBV39" s="132"/>
      <c r="TBW39" s="133" t="s">
        <v>48</v>
      </c>
      <c r="TBX39" s="134"/>
      <c r="TBY39" s="135"/>
      <c r="TBZ39" s="126"/>
      <c r="TCA39" s="126"/>
      <c r="TCB39" s="128"/>
      <c r="TCC39" s="130"/>
      <c r="TCD39" s="132"/>
      <c r="TCE39" s="133" t="s">
        <v>48</v>
      </c>
      <c r="TCF39" s="134"/>
      <c r="TCG39" s="135"/>
      <c r="TCH39" s="126"/>
      <c r="TCI39" s="126"/>
      <c r="TCJ39" s="128"/>
      <c r="TCK39" s="130"/>
      <c r="TCL39" s="132"/>
      <c r="TCM39" s="133" t="s">
        <v>48</v>
      </c>
      <c r="TCN39" s="134"/>
      <c r="TCO39" s="135"/>
      <c r="TCP39" s="126"/>
      <c r="TCQ39" s="126"/>
      <c r="TCR39" s="128"/>
      <c r="TCS39" s="130"/>
      <c r="TCT39" s="132"/>
      <c r="TCU39" s="133" t="s">
        <v>48</v>
      </c>
      <c r="TCV39" s="134"/>
      <c r="TCW39" s="135"/>
      <c r="TCX39" s="126"/>
      <c r="TCY39" s="126"/>
      <c r="TCZ39" s="128"/>
      <c r="TDA39" s="130"/>
      <c r="TDB39" s="132"/>
      <c r="TDC39" s="133" t="s">
        <v>48</v>
      </c>
      <c r="TDD39" s="134"/>
      <c r="TDE39" s="135"/>
      <c r="TDF39" s="126"/>
      <c r="TDG39" s="126"/>
      <c r="TDH39" s="128"/>
      <c r="TDI39" s="130"/>
      <c r="TDJ39" s="132"/>
      <c r="TDK39" s="133" t="s">
        <v>48</v>
      </c>
      <c r="TDL39" s="134"/>
      <c r="TDM39" s="135"/>
      <c r="TDN39" s="126"/>
      <c r="TDO39" s="126"/>
      <c r="TDP39" s="128"/>
      <c r="TDQ39" s="130"/>
      <c r="TDR39" s="132"/>
      <c r="TDS39" s="133" t="s">
        <v>48</v>
      </c>
      <c r="TDT39" s="134"/>
      <c r="TDU39" s="135"/>
      <c r="TDV39" s="126"/>
      <c r="TDW39" s="126"/>
      <c r="TDX39" s="128"/>
      <c r="TDY39" s="130"/>
      <c r="TDZ39" s="132"/>
      <c r="TEA39" s="133" t="s">
        <v>48</v>
      </c>
      <c r="TEB39" s="134"/>
      <c r="TEC39" s="135"/>
      <c r="TED39" s="126"/>
      <c r="TEE39" s="126"/>
      <c r="TEF39" s="128"/>
      <c r="TEG39" s="130"/>
      <c r="TEH39" s="132"/>
      <c r="TEI39" s="133" t="s">
        <v>48</v>
      </c>
      <c r="TEJ39" s="134"/>
      <c r="TEK39" s="135"/>
      <c r="TEL39" s="126"/>
      <c r="TEM39" s="126"/>
      <c r="TEN39" s="128"/>
      <c r="TEO39" s="130"/>
      <c r="TEP39" s="132"/>
      <c r="TEQ39" s="133" t="s">
        <v>48</v>
      </c>
      <c r="TER39" s="134"/>
      <c r="TES39" s="135"/>
      <c r="TET39" s="126"/>
      <c r="TEU39" s="126"/>
      <c r="TEV39" s="128"/>
      <c r="TEW39" s="130"/>
      <c r="TEX39" s="132"/>
      <c r="TEY39" s="133" t="s">
        <v>48</v>
      </c>
      <c r="TEZ39" s="134"/>
      <c r="TFA39" s="135"/>
      <c r="TFB39" s="126"/>
      <c r="TFC39" s="126"/>
      <c r="TFD39" s="128"/>
      <c r="TFE39" s="130"/>
      <c r="TFF39" s="132"/>
      <c r="TFG39" s="133" t="s">
        <v>48</v>
      </c>
      <c r="TFH39" s="134"/>
      <c r="TFI39" s="135"/>
      <c r="TFJ39" s="126"/>
      <c r="TFK39" s="126"/>
      <c r="TFL39" s="128"/>
      <c r="TFM39" s="130"/>
      <c r="TFN39" s="132"/>
      <c r="TFO39" s="133" t="s">
        <v>48</v>
      </c>
      <c r="TFP39" s="134"/>
      <c r="TFQ39" s="135"/>
      <c r="TFR39" s="126"/>
      <c r="TFS39" s="126"/>
      <c r="TFT39" s="128"/>
      <c r="TFU39" s="130"/>
      <c r="TFV39" s="132"/>
      <c r="TFW39" s="133" t="s">
        <v>48</v>
      </c>
      <c r="TFX39" s="134"/>
      <c r="TFY39" s="135"/>
      <c r="TFZ39" s="126"/>
      <c r="TGA39" s="126"/>
      <c r="TGB39" s="128"/>
      <c r="TGC39" s="130"/>
      <c r="TGD39" s="132"/>
      <c r="TGE39" s="133" t="s">
        <v>48</v>
      </c>
      <c r="TGF39" s="134"/>
      <c r="TGG39" s="135"/>
      <c r="TGH39" s="126"/>
      <c r="TGI39" s="126"/>
      <c r="TGJ39" s="128"/>
      <c r="TGK39" s="130"/>
      <c r="TGL39" s="132"/>
      <c r="TGM39" s="133" t="s">
        <v>48</v>
      </c>
      <c r="TGN39" s="134"/>
      <c r="TGO39" s="135"/>
      <c r="TGP39" s="126"/>
      <c r="TGQ39" s="126"/>
      <c r="TGR39" s="128"/>
      <c r="TGS39" s="130"/>
      <c r="TGT39" s="132"/>
      <c r="TGU39" s="133" t="s">
        <v>48</v>
      </c>
      <c r="TGV39" s="134"/>
      <c r="TGW39" s="135"/>
      <c r="TGX39" s="126"/>
      <c r="TGY39" s="126"/>
      <c r="TGZ39" s="128"/>
      <c r="THA39" s="130"/>
      <c r="THB39" s="132"/>
      <c r="THC39" s="133" t="s">
        <v>48</v>
      </c>
      <c r="THD39" s="134"/>
      <c r="THE39" s="135"/>
      <c r="THF39" s="126"/>
      <c r="THG39" s="126"/>
      <c r="THH39" s="128"/>
      <c r="THI39" s="130"/>
      <c r="THJ39" s="132"/>
      <c r="THK39" s="133" t="s">
        <v>48</v>
      </c>
      <c r="THL39" s="134"/>
      <c r="THM39" s="135"/>
      <c r="THN39" s="126"/>
      <c r="THO39" s="126"/>
      <c r="THP39" s="128"/>
      <c r="THQ39" s="130"/>
      <c r="THR39" s="132"/>
      <c r="THS39" s="133" t="s">
        <v>48</v>
      </c>
      <c r="THT39" s="134"/>
      <c r="THU39" s="135"/>
      <c r="THV39" s="126"/>
      <c r="THW39" s="126"/>
      <c r="THX39" s="128"/>
      <c r="THY39" s="130"/>
      <c r="THZ39" s="132"/>
      <c r="TIA39" s="133" t="s">
        <v>48</v>
      </c>
      <c r="TIB39" s="134"/>
      <c r="TIC39" s="135"/>
      <c r="TID39" s="126"/>
      <c r="TIE39" s="126"/>
      <c r="TIF39" s="128"/>
      <c r="TIG39" s="130"/>
      <c r="TIH39" s="132"/>
      <c r="TII39" s="133" t="s">
        <v>48</v>
      </c>
      <c r="TIJ39" s="134"/>
      <c r="TIK39" s="135"/>
      <c r="TIL39" s="126"/>
      <c r="TIM39" s="126"/>
      <c r="TIN39" s="128"/>
      <c r="TIO39" s="130"/>
      <c r="TIP39" s="132"/>
      <c r="TIQ39" s="133" t="s">
        <v>48</v>
      </c>
      <c r="TIR39" s="134"/>
      <c r="TIS39" s="135"/>
      <c r="TIT39" s="126"/>
      <c r="TIU39" s="126"/>
      <c r="TIV39" s="128"/>
      <c r="TIW39" s="130"/>
      <c r="TIX39" s="132"/>
      <c r="TIY39" s="133" t="s">
        <v>48</v>
      </c>
      <c r="TIZ39" s="134"/>
      <c r="TJA39" s="135"/>
      <c r="TJB39" s="126"/>
      <c r="TJC39" s="126"/>
      <c r="TJD39" s="128"/>
      <c r="TJE39" s="130"/>
      <c r="TJF39" s="132"/>
      <c r="TJG39" s="133" t="s">
        <v>48</v>
      </c>
      <c r="TJH39" s="134"/>
      <c r="TJI39" s="135"/>
      <c r="TJJ39" s="126"/>
      <c r="TJK39" s="126"/>
      <c r="TJL39" s="128"/>
      <c r="TJM39" s="130"/>
      <c r="TJN39" s="132"/>
      <c r="TJO39" s="133" t="s">
        <v>48</v>
      </c>
      <c r="TJP39" s="134"/>
      <c r="TJQ39" s="135"/>
      <c r="TJR39" s="126"/>
      <c r="TJS39" s="126"/>
      <c r="TJT39" s="128"/>
      <c r="TJU39" s="130"/>
      <c r="TJV39" s="132"/>
      <c r="TJW39" s="133" t="s">
        <v>48</v>
      </c>
      <c r="TJX39" s="134"/>
      <c r="TJY39" s="135"/>
      <c r="TJZ39" s="126"/>
      <c r="TKA39" s="126"/>
      <c r="TKB39" s="128"/>
      <c r="TKC39" s="130"/>
      <c r="TKD39" s="132"/>
      <c r="TKE39" s="133" t="s">
        <v>48</v>
      </c>
      <c r="TKF39" s="134"/>
      <c r="TKG39" s="135"/>
      <c r="TKH39" s="126"/>
      <c r="TKI39" s="126"/>
      <c r="TKJ39" s="128"/>
      <c r="TKK39" s="130"/>
      <c r="TKL39" s="132"/>
      <c r="TKM39" s="133" t="s">
        <v>48</v>
      </c>
      <c r="TKN39" s="134"/>
      <c r="TKO39" s="135"/>
      <c r="TKP39" s="126"/>
      <c r="TKQ39" s="126"/>
      <c r="TKR39" s="128"/>
      <c r="TKS39" s="130"/>
      <c r="TKT39" s="132"/>
      <c r="TKU39" s="133" t="s">
        <v>48</v>
      </c>
      <c r="TKV39" s="134"/>
      <c r="TKW39" s="135"/>
      <c r="TKX39" s="126"/>
      <c r="TKY39" s="126"/>
      <c r="TKZ39" s="128"/>
      <c r="TLA39" s="130"/>
      <c r="TLB39" s="132"/>
      <c r="TLC39" s="133" t="s">
        <v>48</v>
      </c>
      <c r="TLD39" s="134"/>
      <c r="TLE39" s="135"/>
      <c r="TLF39" s="126"/>
      <c r="TLG39" s="126"/>
      <c r="TLH39" s="128"/>
      <c r="TLI39" s="130"/>
      <c r="TLJ39" s="132"/>
      <c r="TLK39" s="133" t="s">
        <v>48</v>
      </c>
      <c r="TLL39" s="134"/>
      <c r="TLM39" s="135"/>
      <c r="TLN39" s="126"/>
      <c r="TLO39" s="126"/>
      <c r="TLP39" s="128"/>
      <c r="TLQ39" s="130"/>
      <c r="TLR39" s="132"/>
      <c r="TLS39" s="133" t="s">
        <v>48</v>
      </c>
      <c r="TLT39" s="134"/>
      <c r="TLU39" s="135"/>
      <c r="TLV39" s="126"/>
      <c r="TLW39" s="126"/>
      <c r="TLX39" s="128"/>
      <c r="TLY39" s="130"/>
      <c r="TLZ39" s="132"/>
      <c r="TMA39" s="133" t="s">
        <v>48</v>
      </c>
      <c r="TMB39" s="134"/>
      <c r="TMC39" s="135"/>
      <c r="TMD39" s="126"/>
      <c r="TME39" s="126"/>
      <c r="TMF39" s="128"/>
      <c r="TMG39" s="130"/>
      <c r="TMH39" s="132"/>
      <c r="TMI39" s="133" t="s">
        <v>48</v>
      </c>
      <c r="TMJ39" s="134"/>
      <c r="TMK39" s="135"/>
      <c r="TML39" s="126"/>
      <c r="TMM39" s="126"/>
      <c r="TMN39" s="128"/>
      <c r="TMO39" s="130"/>
      <c r="TMP39" s="132"/>
      <c r="TMQ39" s="133" t="s">
        <v>48</v>
      </c>
      <c r="TMR39" s="134"/>
      <c r="TMS39" s="135"/>
      <c r="TMT39" s="126"/>
      <c r="TMU39" s="126"/>
      <c r="TMV39" s="128"/>
      <c r="TMW39" s="130"/>
      <c r="TMX39" s="132"/>
      <c r="TMY39" s="133" t="s">
        <v>48</v>
      </c>
      <c r="TMZ39" s="134"/>
      <c r="TNA39" s="135"/>
      <c r="TNB39" s="126"/>
      <c r="TNC39" s="126"/>
      <c r="TND39" s="128"/>
      <c r="TNE39" s="130"/>
      <c r="TNF39" s="132"/>
      <c r="TNG39" s="133" t="s">
        <v>48</v>
      </c>
      <c r="TNH39" s="134"/>
      <c r="TNI39" s="135"/>
      <c r="TNJ39" s="126"/>
      <c r="TNK39" s="126"/>
      <c r="TNL39" s="128"/>
      <c r="TNM39" s="130"/>
      <c r="TNN39" s="132"/>
      <c r="TNO39" s="133" t="s">
        <v>48</v>
      </c>
      <c r="TNP39" s="134"/>
      <c r="TNQ39" s="135"/>
      <c r="TNR39" s="126"/>
      <c r="TNS39" s="126"/>
      <c r="TNT39" s="128"/>
      <c r="TNU39" s="130"/>
      <c r="TNV39" s="132"/>
      <c r="TNW39" s="133" t="s">
        <v>48</v>
      </c>
      <c r="TNX39" s="134"/>
      <c r="TNY39" s="135"/>
      <c r="TNZ39" s="126"/>
      <c r="TOA39" s="126"/>
      <c r="TOB39" s="128"/>
      <c r="TOC39" s="130"/>
      <c r="TOD39" s="132"/>
      <c r="TOE39" s="133" t="s">
        <v>48</v>
      </c>
      <c r="TOF39" s="134"/>
      <c r="TOG39" s="135"/>
      <c r="TOH39" s="126"/>
      <c r="TOI39" s="126"/>
      <c r="TOJ39" s="128"/>
      <c r="TOK39" s="130"/>
      <c r="TOL39" s="132"/>
      <c r="TOM39" s="133" t="s">
        <v>48</v>
      </c>
      <c r="TON39" s="134"/>
      <c r="TOO39" s="135"/>
      <c r="TOP39" s="126"/>
      <c r="TOQ39" s="126"/>
      <c r="TOR39" s="128"/>
      <c r="TOS39" s="130"/>
      <c r="TOT39" s="132"/>
      <c r="TOU39" s="133" t="s">
        <v>48</v>
      </c>
      <c r="TOV39" s="134"/>
      <c r="TOW39" s="135"/>
      <c r="TOX39" s="126"/>
      <c r="TOY39" s="126"/>
      <c r="TOZ39" s="128"/>
      <c r="TPA39" s="130"/>
      <c r="TPB39" s="132"/>
      <c r="TPC39" s="133" t="s">
        <v>48</v>
      </c>
      <c r="TPD39" s="134"/>
      <c r="TPE39" s="135"/>
      <c r="TPF39" s="126"/>
      <c r="TPG39" s="126"/>
      <c r="TPH39" s="128"/>
      <c r="TPI39" s="130"/>
      <c r="TPJ39" s="132"/>
      <c r="TPK39" s="133" t="s">
        <v>48</v>
      </c>
      <c r="TPL39" s="134"/>
      <c r="TPM39" s="135"/>
      <c r="TPN39" s="126"/>
      <c r="TPO39" s="126"/>
      <c r="TPP39" s="128"/>
      <c r="TPQ39" s="130"/>
      <c r="TPR39" s="132"/>
      <c r="TPS39" s="133" t="s">
        <v>48</v>
      </c>
      <c r="TPT39" s="134"/>
      <c r="TPU39" s="135"/>
      <c r="TPV39" s="126"/>
      <c r="TPW39" s="126"/>
      <c r="TPX39" s="128"/>
      <c r="TPY39" s="130"/>
      <c r="TPZ39" s="132"/>
      <c r="TQA39" s="133" t="s">
        <v>48</v>
      </c>
      <c r="TQB39" s="134"/>
      <c r="TQC39" s="135"/>
      <c r="TQD39" s="126"/>
      <c r="TQE39" s="126"/>
      <c r="TQF39" s="128"/>
      <c r="TQG39" s="130"/>
      <c r="TQH39" s="132"/>
      <c r="TQI39" s="133" t="s">
        <v>48</v>
      </c>
      <c r="TQJ39" s="134"/>
      <c r="TQK39" s="135"/>
      <c r="TQL39" s="126"/>
      <c r="TQM39" s="126"/>
      <c r="TQN39" s="128"/>
      <c r="TQO39" s="130"/>
      <c r="TQP39" s="132"/>
      <c r="TQQ39" s="133" t="s">
        <v>48</v>
      </c>
      <c r="TQR39" s="134"/>
      <c r="TQS39" s="135"/>
      <c r="TQT39" s="126"/>
      <c r="TQU39" s="126"/>
      <c r="TQV39" s="128"/>
      <c r="TQW39" s="130"/>
      <c r="TQX39" s="132"/>
      <c r="TQY39" s="133" t="s">
        <v>48</v>
      </c>
      <c r="TQZ39" s="134"/>
      <c r="TRA39" s="135"/>
      <c r="TRB39" s="126"/>
      <c r="TRC39" s="126"/>
      <c r="TRD39" s="128"/>
      <c r="TRE39" s="130"/>
      <c r="TRF39" s="132"/>
      <c r="TRG39" s="133" t="s">
        <v>48</v>
      </c>
      <c r="TRH39" s="134"/>
      <c r="TRI39" s="135"/>
      <c r="TRJ39" s="126"/>
      <c r="TRK39" s="126"/>
      <c r="TRL39" s="128"/>
      <c r="TRM39" s="130"/>
      <c r="TRN39" s="132"/>
      <c r="TRO39" s="133" t="s">
        <v>48</v>
      </c>
      <c r="TRP39" s="134"/>
      <c r="TRQ39" s="135"/>
      <c r="TRR39" s="126"/>
      <c r="TRS39" s="126"/>
      <c r="TRT39" s="128"/>
      <c r="TRU39" s="130"/>
      <c r="TRV39" s="132"/>
      <c r="TRW39" s="133" t="s">
        <v>48</v>
      </c>
      <c r="TRX39" s="134"/>
      <c r="TRY39" s="135"/>
      <c r="TRZ39" s="126"/>
      <c r="TSA39" s="126"/>
      <c r="TSB39" s="128"/>
      <c r="TSC39" s="130"/>
      <c r="TSD39" s="132"/>
      <c r="TSE39" s="133" t="s">
        <v>48</v>
      </c>
      <c r="TSF39" s="134"/>
      <c r="TSG39" s="135"/>
      <c r="TSH39" s="126"/>
      <c r="TSI39" s="126"/>
      <c r="TSJ39" s="128"/>
      <c r="TSK39" s="130"/>
      <c r="TSL39" s="132"/>
      <c r="TSM39" s="133" t="s">
        <v>48</v>
      </c>
      <c r="TSN39" s="134"/>
      <c r="TSO39" s="135"/>
      <c r="TSP39" s="126"/>
      <c r="TSQ39" s="126"/>
      <c r="TSR39" s="128"/>
      <c r="TSS39" s="130"/>
      <c r="TST39" s="132"/>
      <c r="TSU39" s="133" t="s">
        <v>48</v>
      </c>
      <c r="TSV39" s="134"/>
      <c r="TSW39" s="135"/>
      <c r="TSX39" s="126"/>
      <c r="TSY39" s="126"/>
      <c r="TSZ39" s="128"/>
      <c r="TTA39" s="130"/>
      <c r="TTB39" s="132"/>
      <c r="TTC39" s="133" t="s">
        <v>48</v>
      </c>
      <c r="TTD39" s="134"/>
      <c r="TTE39" s="135"/>
      <c r="TTF39" s="126"/>
      <c r="TTG39" s="126"/>
      <c r="TTH39" s="128"/>
      <c r="TTI39" s="130"/>
      <c r="TTJ39" s="132"/>
      <c r="TTK39" s="133" t="s">
        <v>48</v>
      </c>
      <c r="TTL39" s="134"/>
      <c r="TTM39" s="135"/>
      <c r="TTN39" s="126"/>
      <c r="TTO39" s="126"/>
      <c r="TTP39" s="128"/>
      <c r="TTQ39" s="130"/>
      <c r="TTR39" s="132"/>
      <c r="TTS39" s="133" t="s">
        <v>48</v>
      </c>
      <c r="TTT39" s="134"/>
      <c r="TTU39" s="135"/>
      <c r="TTV39" s="126"/>
      <c r="TTW39" s="126"/>
      <c r="TTX39" s="128"/>
      <c r="TTY39" s="130"/>
      <c r="TTZ39" s="132"/>
      <c r="TUA39" s="133" t="s">
        <v>48</v>
      </c>
      <c r="TUB39" s="134"/>
      <c r="TUC39" s="135"/>
      <c r="TUD39" s="126"/>
      <c r="TUE39" s="126"/>
      <c r="TUF39" s="128"/>
      <c r="TUG39" s="130"/>
      <c r="TUH39" s="132"/>
      <c r="TUI39" s="133" t="s">
        <v>48</v>
      </c>
      <c r="TUJ39" s="134"/>
      <c r="TUK39" s="135"/>
      <c r="TUL39" s="126"/>
      <c r="TUM39" s="126"/>
      <c r="TUN39" s="128"/>
      <c r="TUO39" s="130"/>
      <c r="TUP39" s="132"/>
      <c r="TUQ39" s="133" t="s">
        <v>48</v>
      </c>
      <c r="TUR39" s="134"/>
      <c r="TUS39" s="135"/>
      <c r="TUT39" s="126"/>
      <c r="TUU39" s="126"/>
      <c r="TUV39" s="128"/>
      <c r="TUW39" s="130"/>
      <c r="TUX39" s="132"/>
      <c r="TUY39" s="133" t="s">
        <v>48</v>
      </c>
      <c r="TUZ39" s="134"/>
      <c r="TVA39" s="135"/>
      <c r="TVB39" s="126"/>
      <c r="TVC39" s="126"/>
      <c r="TVD39" s="128"/>
      <c r="TVE39" s="130"/>
      <c r="TVF39" s="132"/>
      <c r="TVG39" s="133" t="s">
        <v>48</v>
      </c>
      <c r="TVH39" s="134"/>
      <c r="TVI39" s="135"/>
      <c r="TVJ39" s="126"/>
      <c r="TVK39" s="126"/>
      <c r="TVL39" s="128"/>
      <c r="TVM39" s="130"/>
      <c r="TVN39" s="132"/>
      <c r="TVO39" s="133" t="s">
        <v>48</v>
      </c>
      <c r="TVP39" s="134"/>
      <c r="TVQ39" s="135"/>
      <c r="TVR39" s="126"/>
      <c r="TVS39" s="126"/>
      <c r="TVT39" s="128"/>
      <c r="TVU39" s="130"/>
      <c r="TVV39" s="132"/>
      <c r="TVW39" s="133" t="s">
        <v>48</v>
      </c>
      <c r="TVX39" s="134"/>
      <c r="TVY39" s="135"/>
      <c r="TVZ39" s="126"/>
      <c r="TWA39" s="126"/>
      <c r="TWB39" s="128"/>
      <c r="TWC39" s="130"/>
      <c r="TWD39" s="132"/>
      <c r="TWE39" s="133" t="s">
        <v>48</v>
      </c>
      <c r="TWF39" s="134"/>
      <c r="TWG39" s="135"/>
      <c r="TWH39" s="126"/>
      <c r="TWI39" s="126"/>
      <c r="TWJ39" s="128"/>
      <c r="TWK39" s="130"/>
      <c r="TWL39" s="132"/>
      <c r="TWM39" s="133" t="s">
        <v>48</v>
      </c>
      <c r="TWN39" s="134"/>
      <c r="TWO39" s="135"/>
      <c r="TWP39" s="126"/>
      <c r="TWQ39" s="126"/>
      <c r="TWR39" s="128"/>
      <c r="TWS39" s="130"/>
      <c r="TWT39" s="132"/>
      <c r="TWU39" s="133" t="s">
        <v>48</v>
      </c>
      <c r="TWV39" s="134"/>
      <c r="TWW39" s="135"/>
      <c r="TWX39" s="126"/>
      <c r="TWY39" s="126"/>
      <c r="TWZ39" s="128"/>
      <c r="TXA39" s="130"/>
      <c r="TXB39" s="132"/>
      <c r="TXC39" s="133" t="s">
        <v>48</v>
      </c>
      <c r="TXD39" s="134"/>
      <c r="TXE39" s="135"/>
      <c r="TXF39" s="126"/>
      <c r="TXG39" s="126"/>
      <c r="TXH39" s="128"/>
      <c r="TXI39" s="130"/>
      <c r="TXJ39" s="132"/>
      <c r="TXK39" s="133" t="s">
        <v>48</v>
      </c>
      <c r="TXL39" s="134"/>
      <c r="TXM39" s="135"/>
      <c r="TXN39" s="126"/>
      <c r="TXO39" s="126"/>
      <c r="TXP39" s="128"/>
      <c r="TXQ39" s="130"/>
      <c r="TXR39" s="132"/>
      <c r="TXS39" s="133" t="s">
        <v>48</v>
      </c>
      <c r="TXT39" s="134"/>
      <c r="TXU39" s="135"/>
      <c r="TXV39" s="126"/>
      <c r="TXW39" s="126"/>
      <c r="TXX39" s="128"/>
      <c r="TXY39" s="130"/>
      <c r="TXZ39" s="132"/>
      <c r="TYA39" s="133" t="s">
        <v>48</v>
      </c>
      <c r="TYB39" s="134"/>
      <c r="TYC39" s="135"/>
      <c r="TYD39" s="126"/>
      <c r="TYE39" s="126"/>
      <c r="TYF39" s="128"/>
      <c r="TYG39" s="130"/>
      <c r="TYH39" s="132"/>
      <c r="TYI39" s="133" t="s">
        <v>48</v>
      </c>
      <c r="TYJ39" s="134"/>
      <c r="TYK39" s="135"/>
      <c r="TYL39" s="126"/>
      <c r="TYM39" s="126"/>
      <c r="TYN39" s="128"/>
      <c r="TYO39" s="130"/>
      <c r="TYP39" s="132"/>
      <c r="TYQ39" s="133" t="s">
        <v>48</v>
      </c>
      <c r="TYR39" s="134"/>
      <c r="TYS39" s="135"/>
      <c r="TYT39" s="126"/>
      <c r="TYU39" s="126"/>
      <c r="TYV39" s="128"/>
      <c r="TYW39" s="130"/>
      <c r="TYX39" s="132"/>
      <c r="TYY39" s="133" t="s">
        <v>48</v>
      </c>
      <c r="TYZ39" s="134"/>
      <c r="TZA39" s="135"/>
      <c r="TZB39" s="126"/>
      <c r="TZC39" s="126"/>
      <c r="TZD39" s="128"/>
      <c r="TZE39" s="130"/>
      <c r="TZF39" s="132"/>
      <c r="TZG39" s="133" t="s">
        <v>48</v>
      </c>
      <c r="TZH39" s="134"/>
      <c r="TZI39" s="135"/>
      <c r="TZJ39" s="126"/>
      <c r="TZK39" s="126"/>
      <c r="TZL39" s="128"/>
      <c r="TZM39" s="130"/>
      <c r="TZN39" s="132"/>
      <c r="TZO39" s="133" t="s">
        <v>48</v>
      </c>
      <c r="TZP39" s="134"/>
      <c r="TZQ39" s="135"/>
      <c r="TZR39" s="126"/>
      <c r="TZS39" s="126"/>
      <c r="TZT39" s="128"/>
      <c r="TZU39" s="130"/>
      <c r="TZV39" s="132"/>
      <c r="TZW39" s="133" t="s">
        <v>48</v>
      </c>
      <c r="TZX39" s="134"/>
      <c r="TZY39" s="135"/>
      <c r="TZZ39" s="126"/>
      <c r="UAA39" s="126"/>
      <c r="UAB39" s="128"/>
      <c r="UAC39" s="130"/>
      <c r="UAD39" s="132"/>
      <c r="UAE39" s="133" t="s">
        <v>48</v>
      </c>
      <c r="UAF39" s="134"/>
      <c r="UAG39" s="135"/>
      <c r="UAH39" s="126"/>
      <c r="UAI39" s="126"/>
      <c r="UAJ39" s="128"/>
      <c r="UAK39" s="130"/>
      <c r="UAL39" s="132"/>
      <c r="UAM39" s="133" t="s">
        <v>48</v>
      </c>
      <c r="UAN39" s="134"/>
      <c r="UAO39" s="135"/>
      <c r="UAP39" s="126"/>
      <c r="UAQ39" s="126"/>
      <c r="UAR39" s="128"/>
      <c r="UAS39" s="130"/>
      <c r="UAT39" s="132"/>
      <c r="UAU39" s="133" t="s">
        <v>48</v>
      </c>
      <c r="UAV39" s="134"/>
      <c r="UAW39" s="135"/>
      <c r="UAX39" s="126"/>
      <c r="UAY39" s="126"/>
      <c r="UAZ39" s="128"/>
      <c r="UBA39" s="130"/>
      <c r="UBB39" s="132"/>
      <c r="UBC39" s="133" t="s">
        <v>48</v>
      </c>
      <c r="UBD39" s="134"/>
      <c r="UBE39" s="135"/>
      <c r="UBF39" s="126"/>
      <c r="UBG39" s="126"/>
      <c r="UBH39" s="128"/>
      <c r="UBI39" s="130"/>
      <c r="UBJ39" s="132"/>
      <c r="UBK39" s="133" t="s">
        <v>48</v>
      </c>
      <c r="UBL39" s="134"/>
      <c r="UBM39" s="135"/>
      <c r="UBN39" s="126"/>
      <c r="UBO39" s="126"/>
      <c r="UBP39" s="128"/>
      <c r="UBQ39" s="130"/>
      <c r="UBR39" s="132"/>
      <c r="UBS39" s="133" t="s">
        <v>48</v>
      </c>
      <c r="UBT39" s="134"/>
      <c r="UBU39" s="135"/>
      <c r="UBV39" s="126"/>
      <c r="UBW39" s="126"/>
      <c r="UBX39" s="128"/>
      <c r="UBY39" s="130"/>
      <c r="UBZ39" s="132"/>
      <c r="UCA39" s="133" t="s">
        <v>48</v>
      </c>
      <c r="UCB39" s="134"/>
      <c r="UCC39" s="135"/>
      <c r="UCD39" s="126"/>
      <c r="UCE39" s="126"/>
      <c r="UCF39" s="128"/>
      <c r="UCG39" s="130"/>
      <c r="UCH39" s="132"/>
      <c r="UCI39" s="133" t="s">
        <v>48</v>
      </c>
      <c r="UCJ39" s="134"/>
      <c r="UCK39" s="135"/>
      <c r="UCL39" s="126"/>
      <c r="UCM39" s="126"/>
      <c r="UCN39" s="128"/>
      <c r="UCO39" s="130"/>
      <c r="UCP39" s="132"/>
      <c r="UCQ39" s="133" t="s">
        <v>48</v>
      </c>
      <c r="UCR39" s="134"/>
      <c r="UCS39" s="135"/>
      <c r="UCT39" s="126"/>
      <c r="UCU39" s="126"/>
      <c r="UCV39" s="128"/>
      <c r="UCW39" s="130"/>
      <c r="UCX39" s="132"/>
      <c r="UCY39" s="133" t="s">
        <v>48</v>
      </c>
      <c r="UCZ39" s="134"/>
      <c r="UDA39" s="135"/>
      <c r="UDB39" s="126"/>
      <c r="UDC39" s="126"/>
      <c r="UDD39" s="128"/>
      <c r="UDE39" s="130"/>
      <c r="UDF39" s="132"/>
      <c r="UDG39" s="133" t="s">
        <v>48</v>
      </c>
      <c r="UDH39" s="134"/>
      <c r="UDI39" s="135"/>
      <c r="UDJ39" s="126"/>
      <c r="UDK39" s="126"/>
      <c r="UDL39" s="128"/>
      <c r="UDM39" s="130"/>
      <c r="UDN39" s="132"/>
      <c r="UDO39" s="133" t="s">
        <v>48</v>
      </c>
      <c r="UDP39" s="134"/>
      <c r="UDQ39" s="135"/>
      <c r="UDR39" s="126"/>
      <c r="UDS39" s="126"/>
      <c r="UDT39" s="128"/>
      <c r="UDU39" s="130"/>
      <c r="UDV39" s="132"/>
      <c r="UDW39" s="133" t="s">
        <v>48</v>
      </c>
      <c r="UDX39" s="134"/>
      <c r="UDY39" s="135"/>
      <c r="UDZ39" s="126"/>
      <c r="UEA39" s="126"/>
      <c r="UEB39" s="128"/>
      <c r="UEC39" s="130"/>
      <c r="UED39" s="132"/>
      <c r="UEE39" s="133" t="s">
        <v>48</v>
      </c>
      <c r="UEF39" s="134"/>
      <c r="UEG39" s="135"/>
      <c r="UEH39" s="126"/>
      <c r="UEI39" s="126"/>
      <c r="UEJ39" s="128"/>
      <c r="UEK39" s="130"/>
      <c r="UEL39" s="132"/>
      <c r="UEM39" s="133" t="s">
        <v>48</v>
      </c>
      <c r="UEN39" s="134"/>
      <c r="UEO39" s="135"/>
      <c r="UEP39" s="126"/>
      <c r="UEQ39" s="126"/>
      <c r="UER39" s="128"/>
      <c r="UES39" s="130"/>
      <c r="UET39" s="132"/>
      <c r="UEU39" s="133" t="s">
        <v>48</v>
      </c>
      <c r="UEV39" s="134"/>
      <c r="UEW39" s="135"/>
      <c r="UEX39" s="126"/>
      <c r="UEY39" s="126"/>
      <c r="UEZ39" s="128"/>
      <c r="UFA39" s="130"/>
      <c r="UFB39" s="132"/>
      <c r="UFC39" s="133" t="s">
        <v>48</v>
      </c>
      <c r="UFD39" s="134"/>
      <c r="UFE39" s="135"/>
      <c r="UFF39" s="126"/>
      <c r="UFG39" s="126"/>
      <c r="UFH39" s="128"/>
      <c r="UFI39" s="130"/>
      <c r="UFJ39" s="132"/>
      <c r="UFK39" s="133" t="s">
        <v>48</v>
      </c>
      <c r="UFL39" s="134"/>
      <c r="UFM39" s="135"/>
      <c r="UFN39" s="126"/>
      <c r="UFO39" s="126"/>
      <c r="UFP39" s="128"/>
      <c r="UFQ39" s="130"/>
      <c r="UFR39" s="132"/>
      <c r="UFS39" s="133" t="s">
        <v>48</v>
      </c>
      <c r="UFT39" s="134"/>
      <c r="UFU39" s="135"/>
      <c r="UFV39" s="126"/>
      <c r="UFW39" s="126"/>
      <c r="UFX39" s="128"/>
      <c r="UFY39" s="130"/>
      <c r="UFZ39" s="132"/>
      <c r="UGA39" s="133" t="s">
        <v>48</v>
      </c>
      <c r="UGB39" s="134"/>
      <c r="UGC39" s="135"/>
      <c r="UGD39" s="126"/>
      <c r="UGE39" s="126"/>
      <c r="UGF39" s="128"/>
      <c r="UGG39" s="130"/>
      <c r="UGH39" s="132"/>
      <c r="UGI39" s="133" t="s">
        <v>48</v>
      </c>
      <c r="UGJ39" s="134"/>
      <c r="UGK39" s="135"/>
      <c r="UGL39" s="126"/>
      <c r="UGM39" s="126"/>
      <c r="UGN39" s="128"/>
      <c r="UGO39" s="130"/>
      <c r="UGP39" s="132"/>
      <c r="UGQ39" s="133" t="s">
        <v>48</v>
      </c>
      <c r="UGR39" s="134"/>
      <c r="UGS39" s="135"/>
      <c r="UGT39" s="126"/>
      <c r="UGU39" s="126"/>
      <c r="UGV39" s="128"/>
      <c r="UGW39" s="130"/>
      <c r="UGX39" s="132"/>
      <c r="UGY39" s="133" t="s">
        <v>48</v>
      </c>
      <c r="UGZ39" s="134"/>
      <c r="UHA39" s="135"/>
      <c r="UHB39" s="126"/>
      <c r="UHC39" s="126"/>
      <c r="UHD39" s="128"/>
      <c r="UHE39" s="130"/>
      <c r="UHF39" s="132"/>
      <c r="UHG39" s="133" t="s">
        <v>48</v>
      </c>
      <c r="UHH39" s="134"/>
      <c r="UHI39" s="135"/>
      <c r="UHJ39" s="126"/>
      <c r="UHK39" s="126"/>
      <c r="UHL39" s="128"/>
      <c r="UHM39" s="130"/>
      <c r="UHN39" s="132"/>
      <c r="UHO39" s="133" t="s">
        <v>48</v>
      </c>
      <c r="UHP39" s="134"/>
      <c r="UHQ39" s="135"/>
      <c r="UHR39" s="126"/>
      <c r="UHS39" s="126"/>
      <c r="UHT39" s="128"/>
      <c r="UHU39" s="130"/>
      <c r="UHV39" s="132"/>
      <c r="UHW39" s="133" t="s">
        <v>48</v>
      </c>
      <c r="UHX39" s="134"/>
      <c r="UHY39" s="135"/>
      <c r="UHZ39" s="126"/>
      <c r="UIA39" s="126"/>
      <c r="UIB39" s="128"/>
      <c r="UIC39" s="130"/>
      <c r="UID39" s="132"/>
      <c r="UIE39" s="133" t="s">
        <v>48</v>
      </c>
      <c r="UIF39" s="134"/>
      <c r="UIG39" s="135"/>
      <c r="UIH39" s="126"/>
      <c r="UII39" s="126"/>
      <c r="UIJ39" s="128"/>
      <c r="UIK39" s="130"/>
      <c r="UIL39" s="132"/>
      <c r="UIM39" s="133" t="s">
        <v>48</v>
      </c>
      <c r="UIN39" s="134"/>
      <c r="UIO39" s="135"/>
      <c r="UIP39" s="126"/>
      <c r="UIQ39" s="126"/>
      <c r="UIR39" s="128"/>
      <c r="UIS39" s="130"/>
      <c r="UIT39" s="132"/>
      <c r="UIU39" s="133" t="s">
        <v>48</v>
      </c>
      <c r="UIV39" s="134"/>
      <c r="UIW39" s="135"/>
      <c r="UIX39" s="126"/>
      <c r="UIY39" s="126"/>
      <c r="UIZ39" s="128"/>
      <c r="UJA39" s="130"/>
      <c r="UJB39" s="132"/>
      <c r="UJC39" s="133" t="s">
        <v>48</v>
      </c>
      <c r="UJD39" s="134"/>
      <c r="UJE39" s="135"/>
      <c r="UJF39" s="126"/>
      <c r="UJG39" s="126"/>
      <c r="UJH39" s="128"/>
      <c r="UJI39" s="130"/>
      <c r="UJJ39" s="132"/>
      <c r="UJK39" s="133" t="s">
        <v>48</v>
      </c>
      <c r="UJL39" s="134"/>
      <c r="UJM39" s="135"/>
      <c r="UJN39" s="126"/>
      <c r="UJO39" s="126"/>
      <c r="UJP39" s="128"/>
      <c r="UJQ39" s="130"/>
      <c r="UJR39" s="132"/>
      <c r="UJS39" s="133" t="s">
        <v>48</v>
      </c>
      <c r="UJT39" s="134"/>
      <c r="UJU39" s="135"/>
      <c r="UJV39" s="126"/>
      <c r="UJW39" s="126"/>
      <c r="UJX39" s="128"/>
      <c r="UJY39" s="130"/>
      <c r="UJZ39" s="132"/>
      <c r="UKA39" s="133" t="s">
        <v>48</v>
      </c>
      <c r="UKB39" s="134"/>
      <c r="UKC39" s="135"/>
      <c r="UKD39" s="126"/>
      <c r="UKE39" s="126"/>
      <c r="UKF39" s="128"/>
      <c r="UKG39" s="130"/>
      <c r="UKH39" s="132"/>
      <c r="UKI39" s="133" t="s">
        <v>48</v>
      </c>
      <c r="UKJ39" s="134"/>
      <c r="UKK39" s="135"/>
      <c r="UKL39" s="126"/>
      <c r="UKM39" s="126"/>
      <c r="UKN39" s="128"/>
      <c r="UKO39" s="130"/>
      <c r="UKP39" s="132"/>
      <c r="UKQ39" s="133" t="s">
        <v>48</v>
      </c>
      <c r="UKR39" s="134"/>
      <c r="UKS39" s="135"/>
      <c r="UKT39" s="126"/>
      <c r="UKU39" s="126"/>
      <c r="UKV39" s="128"/>
      <c r="UKW39" s="130"/>
      <c r="UKX39" s="132"/>
      <c r="UKY39" s="133" t="s">
        <v>48</v>
      </c>
      <c r="UKZ39" s="134"/>
      <c r="ULA39" s="135"/>
      <c r="ULB39" s="126"/>
      <c r="ULC39" s="126"/>
      <c r="ULD39" s="128"/>
      <c r="ULE39" s="130"/>
      <c r="ULF39" s="132"/>
      <c r="ULG39" s="133" t="s">
        <v>48</v>
      </c>
      <c r="ULH39" s="134"/>
      <c r="ULI39" s="135"/>
      <c r="ULJ39" s="126"/>
      <c r="ULK39" s="126"/>
      <c r="ULL39" s="128"/>
      <c r="ULM39" s="130"/>
      <c r="ULN39" s="132"/>
      <c r="ULO39" s="133" t="s">
        <v>48</v>
      </c>
      <c r="ULP39" s="134"/>
      <c r="ULQ39" s="135"/>
      <c r="ULR39" s="126"/>
      <c r="ULS39" s="126"/>
      <c r="ULT39" s="128"/>
      <c r="ULU39" s="130"/>
      <c r="ULV39" s="132"/>
      <c r="ULW39" s="133" t="s">
        <v>48</v>
      </c>
      <c r="ULX39" s="134"/>
      <c r="ULY39" s="135"/>
      <c r="ULZ39" s="126"/>
      <c r="UMA39" s="126"/>
      <c r="UMB39" s="128"/>
      <c r="UMC39" s="130"/>
      <c r="UMD39" s="132"/>
      <c r="UME39" s="133" t="s">
        <v>48</v>
      </c>
      <c r="UMF39" s="134"/>
      <c r="UMG39" s="135"/>
      <c r="UMH39" s="126"/>
      <c r="UMI39" s="126"/>
      <c r="UMJ39" s="128"/>
      <c r="UMK39" s="130"/>
      <c r="UML39" s="132"/>
      <c r="UMM39" s="133" t="s">
        <v>48</v>
      </c>
      <c r="UMN39" s="134"/>
      <c r="UMO39" s="135"/>
      <c r="UMP39" s="126"/>
      <c r="UMQ39" s="126"/>
      <c r="UMR39" s="128"/>
      <c r="UMS39" s="130"/>
      <c r="UMT39" s="132"/>
      <c r="UMU39" s="133" t="s">
        <v>48</v>
      </c>
      <c r="UMV39" s="134"/>
      <c r="UMW39" s="135"/>
      <c r="UMX39" s="126"/>
      <c r="UMY39" s="126"/>
      <c r="UMZ39" s="128"/>
      <c r="UNA39" s="130"/>
      <c r="UNB39" s="132"/>
      <c r="UNC39" s="133" t="s">
        <v>48</v>
      </c>
      <c r="UND39" s="134"/>
      <c r="UNE39" s="135"/>
      <c r="UNF39" s="126"/>
      <c r="UNG39" s="126"/>
      <c r="UNH39" s="128"/>
      <c r="UNI39" s="130"/>
      <c r="UNJ39" s="132"/>
      <c r="UNK39" s="133" t="s">
        <v>48</v>
      </c>
      <c r="UNL39" s="134"/>
      <c r="UNM39" s="135"/>
      <c r="UNN39" s="126"/>
      <c r="UNO39" s="126"/>
      <c r="UNP39" s="128"/>
      <c r="UNQ39" s="130"/>
      <c r="UNR39" s="132"/>
      <c r="UNS39" s="133" t="s">
        <v>48</v>
      </c>
      <c r="UNT39" s="134"/>
      <c r="UNU39" s="135"/>
      <c r="UNV39" s="126"/>
      <c r="UNW39" s="126"/>
      <c r="UNX39" s="128"/>
      <c r="UNY39" s="130"/>
      <c r="UNZ39" s="132"/>
      <c r="UOA39" s="133" t="s">
        <v>48</v>
      </c>
      <c r="UOB39" s="134"/>
      <c r="UOC39" s="135"/>
      <c r="UOD39" s="126"/>
      <c r="UOE39" s="126"/>
      <c r="UOF39" s="128"/>
      <c r="UOG39" s="130"/>
      <c r="UOH39" s="132"/>
      <c r="UOI39" s="133" t="s">
        <v>48</v>
      </c>
      <c r="UOJ39" s="134"/>
      <c r="UOK39" s="135"/>
      <c r="UOL39" s="126"/>
      <c r="UOM39" s="126"/>
      <c r="UON39" s="128"/>
      <c r="UOO39" s="130"/>
      <c r="UOP39" s="132"/>
      <c r="UOQ39" s="133" t="s">
        <v>48</v>
      </c>
      <c r="UOR39" s="134"/>
      <c r="UOS39" s="135"/>
      <c r="UOT39" s="126"/>
      <c r="UOU39" s="126"/>
      <c r="UOV39" s="128"/>
      <c r="UOW39" s="130"/>
      <c r="UOX39" s="132"/>
      <c r="UOY39" s="133" t="s">
        <v>48</v>
      </c>
      <c r="UOZ39" s="134"/>
      <c r="UPA39" s="135"/>
      <c r="UPB39" s="126"/>
      <c r="UPC39" s="126"/>
      <c r="UPD39" s="128"/>
      <c r="UPE39" s="130"/>
      <c r="UPF39" s="132"/>
      <c r="UPG39" s="133" t="s">
        <v>48</v>
      </c>
      <c r="UPH39" s="134"/>
      <c r="UPI39" s="135"/>
      <c r="UPJ39" s="126"/>
      <c r="UPK39" s="126"/>
      <c r="UPL39" s="128"/>
      <c r="UPM39" s="130"/>
      <c r="UPN39" s="132"/>
      <c r="UPO39" s="133" t="s">
        <v>48</v>
      </c>
      <c r="UPP39" s="134"/>
      <c r="UPQ39" s="135"/>
      <c r="UPR39" s="126"/>
      <c r="UPS39" s="126"/>
      <c r="UPT39" s="128"/>
      <c r="UPU39" s="130"/>
      <c r="UPV39" s="132"/>
      <c r="UPW39" s="133" t="s">
        <v>48</v>
      </c>
      <c r="UPX39" s="134"/>
      <c r="UPY39" s="135"/>
      <c r="UPZ39" s="126"/>
      <c r="UQA39" s="126"/>
      <c r="UQB39" s="128"/>
      <c r="UQC39" s="130"/>
      <c r="UQD39" s="132"/>
      <c r="UQE39" s="133" t="s">
        <v>48</v>
      </c>
      <c r="UQF39" s="134"/>
      <c r="UQG39" s="135"/>
      <c r="UQH39" s="126"/>
      <c r="UQI39" s="126"/>
      <c r="UQJ39" s="128"/>
      <c r="UQK39" s="130"/>
      <c r="UQL39" s="132"/>
      <c r="UQM39" s="133" t="s">
        <v>48</v>
      </c>
      <c r="UQN39" s="134"/>
      <c r="UQO39" s="135"/>
      <c r="UQP39" s="126"/>
      <c r="UQQ39" s="126"/>
      <c r="UQR39" s="128"/>
      <c r="UQS39" s="130"/>
      <c r="UQT39" s="132"/>
      <c r="UQU39" s="133" t="s">
        <v>48</v>
      </c>
      <c r="UQV39" s="134"/>
      <c r="UQW39" s="135"/>
      <c r="UQX39" s="126"/>
      <c r="UQY39" s="126"/>
      <c r="UQZ39" s="128"/>
      <c r="URA39" s="130"/>
      <c r="URB39" s="132"/>
      <c r="URC39" s="133" t="s">
        <v>48</v>
      </c>
      <c r="URD39" s="134"/>
      <c r="URE39" s="135"/>
      <c r="URF39" s="126"/>
      <c r="URG39" s="126"/>
      <c r="URH39" s="128"/>
      <c r="URI39" s="130"/>
      <c r="URJ39" s="132"/>
      <c r="URK39" s="133" t="s">
        <v>48</v>
      </c>
      <c r="URL39" s="134"/>
      <c r="URM39" s="135"/>
      <c r="URN39" s="126"/>
      <c r="URO39" s="126"/>
      <c r="URP39" s="128"/>
      <c r="URQ39" s="130"/>
      <c r="URR39" s="132"/>
      <c r="URS39" s="133" t="s">
        <v>48</v>
      </c>
      <c r="URT39" s="134"/>
      <c r="URU39" s="135"/>
      <c r="URV39" s="126"/>
      <c r="URW39" s="126"/>
      <c r="URX39" s="128"/>
      <c r="URY39" s="130"/>
      <c r="URZ39" s="132"/>
      <c r="USA39" s="133" t="s">
        <v>48</v>
      </c>
      <c r="USB39" s="134"/>
      <c r="USC39" s="135"/>
      <c r="USD39" s="126"/>
      <c r="USE39" s="126"/>
      <c r="USF39" s="128"/>
      <c r="USG39" s="130"/>
      <c r="USH39" s="132"/>
      <c r="USI39" s="133" t="s">
        <v>48</v>
      </c>
      <c r="USJ39" s="134"/>
      <c r="USK39" s="135"/>
      <c r="USL39" s="126"/>
      <c r="USM39" s="126"/>
      <c r="USN39" s="128"/>
      <c r="USO39" s="130"/>
      <c r="USP39" s="132"/>
      <c r="USQ39" s="133" t="s">
        <v>48</v>
      </c>
      <c r="USR39" s="134"/>
      <c r="USS39" s="135"/>
      <c r="UST39" s="126"/>
      <c r="USU39" s="126"/>
      <c r="USV39" s="128"/>
      <c r="USW39" s="130"/>
      <c r="USX39" s="132"/>
      <c r="USY39" s="133" t="s">
        <v>48</v>
      </c>
      <c r="USZ39" s="134"/>
      <c r="UTA39" s="135"/>
      <c r="UTB39" s="126"/>
      <c r="UTC39" s="126"/>
      <c r="UTD39" s="128"/>
      <c r="UTE39" s="130"/>
      <c r="UTF39" s="132"/>
      <c r="UTG39" s="133" t="s">
        <v>48</v>
      </c>
      <c r="UTH39" s="134"/>
      <c r="UTI39" s="135"/>
      <c r="UTJ39" s="126"/>
      <c r="UTK39" s="126"/>
      <c r="UTL39" s="128"/>
      <c r="UTM39" s="130"/>
      <c r="UTN39" s="132"/>
      <c r="UTO39" s="133" t="s">
        <v>48</v>
      </c>
      <c r="UTP39" s="134"/>
      <c r="UTQ39" s="135"/>
      <c r="UTR39" s="126"/>
      <c r="UTS39" s="126"/>
      <c r="UTT39" s="128"/>
      <c r="UTU39" s="130"/>
      <c r="UTV39" s="132"/>
      <c r="UTW39" s="133" t="s">
        <v>48</v>
      </c>
      <c r="UTX39" s="134"/>
      <c r="UTY39" s="135"/>
      <c r="UTZ39" s="126"/>
      <c r="UUA39" s="126"/>
      <c r="UUB39" s="128"/>
      <c r="UUC39" s="130"/>
      <c r="UUD39" s="132"/>
      <c r="UUE39" s="133" t="s">
        <v>48</v>
      </c>
      <c r="UUF39" s="134"/>
      <c r="UUG39" s="135"/>
      <c r="UUH39" s="126"/>
      <c r="UUI39" s="126"/>
      <c r="UUJ39" s="128"/>
      <c r="UUK39" s="130"/>
      <c r="UUL39" s="132"/>
      <c r="UUM39" s="133" t="s">
        <v>48</v>
      </c>
      <c r="UUN39" s="134"/>
      <c r="UUO39" s="135"/>
      <c r="UUP39" s="126"/>
      <c r="UUQ39" s="126"/>
      <c r="UUR39" s="128"/>
      <c r="UUS39" s="130"/>
      <c r="UUT39" s="132"/>
      <c r="UUU39" s="133" t="s">
        <v>48</v>
      </c>
      <c r="UUV39" s="134"/>
      <c r="UUW39" s="135"/>
      <c r="UUX39" s="126"/>
      <c r="UUY39" s="126"/>
      <c r="UUZ39" s="128"/>
      <c r="UVA39" s="130"/>
      <c r="UVB39" s="132"/>
      <c r="UVC39" s="133" t="s">
        <v>48</v>
      </c>
      <c r="UVD39" s="134"/>
      <c r="UVE39" s="135"/>
      <c r="UVF39" s="126"/>
      <c r="UVG39" s="126"/>
      <c r="UVH39" s="128"/>
      <c r="UVI39" s="130"/>
      <c r="UVJ39" s="132"/>
      <c r="UVK39" s="133" t="s">
        <v>48</v>
      </c>
      <c r="UVL39" s="134"/>
      <c r="UVM39" s="135"/>
      <c r="UVN39" s="126"/>
      <c r="UVO39" s="126"/>
      <c r="UVP39" s="128"/>
      <c r="UVQ39" s="130"/>
      <c r="UVR39" s="132"/>
      <c r="UVS39" s="133" t="s">
        <v>48</v>
      </c>
      <c r="UVT39" s="134"/>
      <c r="UVU39" s="135"/>
      <c r="UVV39" s="126"/>
      <c r="UVW39" s="126"/>
      <c r="UVX39" s="128"/>
      <c r="UVY39" s="130"/>
      <c r="UVZ39" s="132"/>
      <c r="UWA39" s="133" t="s">
        <v>48</v>
      </c>
      <c r="UWB39" s="134"/>
      <c r="UWC39" s="135"/>
      <c r="UWD39" s="126"/>
      <c r="UWE39" s="126"/>
      <c r="UWF39" s="128"/>
      <c r="UWG39" s="130"/>
      <c r="UWH39" s="132"/>
      <c r="UWI39" s="133" t="s">
        <v>48</v>
      </c>
      <c r="UWJ39" s="134"/>
      <c r="UWK39" s="135"/>
      <c r="UWL39" s="126"/>
      <c r="UWM39" s="126"/>
      <c r="UWN39" s="128"/>
      <c r="UWO39" s="130"/>
      <c r="UWP39" s="132"/>
      <c r="UWQ39" s="133" t="s">
        <v>48</v>
      </c>
      <c r="UWR39" s="134"/>
      <c r="UWS39" s="135"/>
      <c r="UWT39" s="126"/>
      <c r="UWU39" s="126"/>
      <c r="UWV39" s="128"/>
      <c r="UWW39" s="130"/>
      <c r="UWX39" s="132"/>
      <c r="UWY39" s="133" t="s">
        <v>48</v>
      </c>
      <c r="UWZ39" s="134"/>
      <c r="UXA39" s="135"/>
      <c r="UXB39" s="126"/>
      <c r="UXC39" s="126"/>
      <c r="UXD39" s="128"/>
      <c r="UXE39" s="130"/>
      <c r="UXF39" s="132"/>
      <c r="UXG39" s="133" t="s">
        <v>48</v>
      </c>
      <c r="UXH39" s="134"/>
      <c r="UXI39" s="135"/>
      <c r="UXJ39" s="126"/>
      <c r="UXK39" s="126"/>
      <c r="UXL39" s="128"/>
      <c r="UXM39" s="130"/>
      <c r="UXN39" s="132"/>
      <c r="UXO39" s="133" t="s">
        <v>48</v>
      </c>
      <c r="UXP39" s="134"/>
      <c r="UXQ39" s="135"/>
      <c r="UXR39" s="126"/>
      <c r="UXS39" s="126"/>
      <c r="UXT39" s="128"/>
      <c r="UXU39" s="130"/>
      <c r="UXV39" s="132"/>
      <c r="UXW39" s="133" t="s">
        <v>48</v>
      </c>
      <c r="UXX39" s="134"/>
      <c r="UXY39" s="135"/>
      <c r="UXZ39" s="126"/>
      <c r="UYA39" s="126"/>
      <c r="UYB39" s="128"/>
      <c r="UYC39" s="130"/>
      <c r="UYD39" s="132"/>
      <c r="UYE39" s="133" t="s">
        <v>48</v>
      </c>
      <c r="UYF39" s="134"/>
      <c r="UYG39" s="135"/>
      <c r="UYH39" s="126"/>
      <c r="UYI39" s="126"/>
      <c r="UYJ39" s="128"/>
      <c r="UYK39" s="130"/>
      <c r="UYL39" s="132"/>
      <c r="UYM39" s="133" t="s">
        <v>48</v>
      </c>
      <c r="UYN39" s="134"/>
      <c r="UYO39" s="135"/>
      <c r="UYP39" s="126"/>
      <c r="UYQ39" s="126"/>
      <c r="UYR39" s="128"/>
      <c r="UYS39" s="130"/>
      <c r="UYT39" s="132"/>
      <c r="UYU39" s="133" t="s">
        <v>48</v>
      </c>
      <c r="UYV39" s="134"/>
      <c r="UYW39" s="135"/>
      <c r="UYX39" s="126"/>
      <c r="UYY39" s="126"/>
      <c r="UYZ39" s="128"/>
      <c r="UZA39" s="130"/>
      <c r="UZB39" s="132"/>
      <c r="UZC39" s="133" t="s">
        <v>48</v>
      </c>
      <c r="UZD39" s="134"/>
      <c r="UZE39" s="135"/>
      <c r="UZF39" s="126"/>
      <c r="UZG39" s="126"/>
      <c r="UZH39" s="128"/>
      <c r="UZI39" s="130"/>
      <c r="UZJ39" s="132"/>
      <c r="UZK39" s="133" t="s">
        <v>48</v>
      </c>
      <c r="UZL39" s="134"/>
      <c r="UZM39" s="135"/>
      <c r="UZN39" s="126"/>
      <c r="UZO39" s="126"/>
      <c r="UZP39" s="128"/>
      <c r="UZQ39" s="130"/>
      <c r="UZR39" s="132"/>
      <c r="UZS39" s="133" t="s">
        <v>48</v>
      </c>
      <c r="UZT39" s="134"/>
      <c r="UZU39" s="135"/>
      <c r="UZV39" s="126"/>
      <c r="UZW39" s="126"/>
      <c r="UZX39" s="128"/>
      <c r="UZY39" s="130"/>
      <c r="UZZ39" s="132"/>
      <c r="VAA39" s="133" t="s">
        <v>48</v>
      </c>
      <c r="VAB39" s="134"/>
      <c r="VAC39" s="135"/>
      <c r="VAD39" s="126"/>
      <c r="VAE39" s="126"/>
      <c r="VAF39" s="128"/>
      <c r="VAG39" s="130"/>
      <c r="VAH39" s="132"/>
      <c r="VAI39" s="133" t="s">
        <v>48</v>
      </c>
      <c r="VAJ39" s="134"/>
      <c r="VAK39" s="135"/>
      <c r="VAL39" s="126"/>
      <c r="VAM39" s="126"/>
      <c r="VAN39" s="128"/>
      <c r="VAO39" s="130"/>
      <c r="VAP39" s="132"/>
      <c r="VAQ39" s="133" t="s">
        <v>48</v>
      </c>
      <c r="VAR39" s="134"/>
      <c r="VAS39" s="135"/>
      <c r="VAT39" s="126"/>
      <c r="VAU39" s="126"/>
      <c r="VAV39" s="128"/>
      <c r="VAW39" s="130"/>
      <c r="VAX39" s="132"/>
      <c r="VAY39" s="133" t="s">
        <v>48</v>
      </c>
      <c r="VAZ39" s="134"/>
      <c r="VBA39" s="135"/>
      <c r="VBB39" s="126"/>
      <c r="VBC39" s="126"/>
      <c r="VBD39" s="128"/>
      <c r="VBE39" s="130"/>
      <c r="VBF39" s="132"/>
      <c r="VBG39" s="133" t="s">
        <v>48</v>
      </c>
      <c r="VBH39" s="134"/>
      <c r="VBI39" s="135"/>
      <c r="VBJ39" s="126"/>
      <c r="VBK39" s="126"/>
      <c r="VBL39" s="128"/>
      <c r="VBM39" s="130"/>
      <c r="VBN39" s="132"/>
      <c r="VBO39" s="133" t="s">
        <v>48</v>
      </c>
      <c r="VBP39" s="134"/>
      <c r="VBQ39" s="135"/>
      <c r="VBR39" s="126"/>
      <c r="VBS39" s="126"/>
      <c r="VBT39" s="128"/>
      <c r="VBU39" s="130"/>
      <c r="VBV39" s="132"/>
      <c r="VBW39" s="133" t="s">
        <v>48</v>
      </c>
      <c r="VBX39" s="134"/>
      <c r="VBY39" s="135"/>
      <c r="VBZ39" s="126"/>
      <c r="VCA39" s="126"/>
      <c r="VCB39" s="128"/>
      <c r="VCC39" s="130"/>
      <c r="VCD39" s="132"/>
      <c r="VCE39" s="133" t="s">
        <v>48</v>
      </c>
      <c r="VCF39" s="134"/>
      <c r="VCG39" s="135"/>
      <c r="VCH39" s="126"/>
      <c r="VCI39" s="126"/>
      <c r="VCJ39" s="128"/>
      <c r="VCK39" s="130"/>
      <c r="VCL39" s="132"/>
      <c r="VCM39" s="133" t="s">
        <v>48</v>
      </c>
      <c r="VCN39" s="134"/>
      <c r="VCO39" s="135"/>
      <c r="VCP39" s="126"/>
      <c r="VCQ39" s="126"/>
      <c r="VCR39" s="128"/>
      <c r="VCS39" s="130"/>
      <c r="VCT39" s="132"/>
      <c r="VCU39" s="133" t="s">
        <v>48</v>
      </c>
      <c r="VCV39" s="134"/>
      <c r="VCW39" s="135"/>
      <c r="VCX39" s="126"/>
      <c r="VCY39" s="126"/>
      <c r="VCZ39" s="128"/>
      <c r="VDA39" s="130"/>
      <c r="VDB39" s="132"/>
      <c r="VDC39" s="133" t="s">
        <v>48</v>
      </c>
      <c r="VDD39" s="134"/>
      <c r="VDE39" s="135"/>
      <c r="VDF39" s="126"/>
      <c r="VDG39" s="126"/>
      <c r="VDH39" s="128"/>
      <c r="VDI39" s="130"/>
      <c r="VDJ39" s="132"/>
      <c r="VDK39" s="133" t="s">
        <v>48</v>
      </c>
      <c r="VDL39" s="134"/>
      <c r="VDM39" s="135"/>
      <c r="VDN39" s="126"/>
      <c r="VDO39" s="126"/>
      <c r="VDP39" s="128"/>
      <c r="VDQ39" s="130"/>
      <c r="VDR39" s="132"/>
      <c r="VDS39" s="133" t="s">
        <v>48</v>
      </c>
      <c r="VDT39" s="134"/>
      <c r="VDU39" s="135"/>
      <c r="VDV39" s="126"/>
      <c r="VDW39" s="126"/>
      <c r="VDX39" s="128"/>
      <c r="VDY39" s="130"/>
      <c r="VDZ39" s="132"/>
      <c r="VEA39" s="133" t="s">
        <v>48</v>
      </c>
      <c r="VEB39" s="134"/>
      <c r="VEC39" s="135"/>
      <c r="VED39" s="126"/>
      <c r="VEE39" s="126"/>
      <c r="VEF39" s="128"/>
      <c r="VEG39" s="130"/>
      <c r="VEH39" s="132"/>
      <c r="VEI39" s="133" t="s">
        <v>48</v>
      </c>
      <c r="VEJ39" s="134"/>
      <c r="VEK39" s="135"/>
      <c r="VEL39" s="126"/>
      <c r="VEM39" s="126"/>
      <c r="VEN39" s="128"/>
      <c r="VEO39" s="130"/>
      <c r="VEP39" s="132"/>
      <c r="VEQ39" s="133" t="s">
        <v>48</v>
      </c>
      <c r="VER39" s="134"/>
      <c r="VES39" s="135"/>
      <c r="VET39" s="126"/>
      <c r="VEU39" s="126"/>
      <c r="VEV39" s="128"/>
      <c r="VEW39" s="130"/>
      <c r="VEX39" s="132"/>
      <c r="VEY39" s="133" t="s">
        <v>48</v>
      </c>
      <c r="VEZ39" s="134"/>
      <c r="VFA39" s="135"/>
      <c r="VFB39" s="126"/>
      <c r="VFC39" s="126"/>
      <c r="VFD39" s="128"/>
      <c r="VFE39" s="130"/>
      <c r="VFF39" s="132"/>
      <c r="VFG39" s="133" t="s">
        <v>48</v>
      </c>
      <c r="VFH39" s="134"/>
      <c r="VFI39" s="135"/>
      <c r="VFJ39" s="126"/>
      <c r="VFK39" s="126"/>
      <c r="VFL39" s="128"/>
      <c r="VFM39" s="130"/>
      <c r="VFN39" s="132"/>
      <c r="VFO39" s="133" t="s">
        <v>48</v>
      </c>
      <c r="VFP39" s="134"/>
      <c r="VFQ39" s="135"/>
      <c r="VFR39" s="126"/>
      <c r="VFS39" s="126"/>
      <c r="VFT39" s="128"/>
      <c r="VFU39" s="130"/>
      <c r="VFV39" s="132"/>
      <c r="VFW39" s="133" t="s">
        <v>48</v>
      </c>
      <c r="VFX39" s="134"/>
      <c r="VFY39" s="135"/>
      <c r="VFZ39" s="126"/>
      <c r="VGA39" s="126"/>
      <c r="VGB39" s="128"/>
      <c r="VGC39" s="130"/>
      <c r="VGD39" s="132"/>
      <c r="VGE39" s="133" t="s">
        <v>48</v>
      </c>
      <c r="VGF39" s="134"/>
      <c r="VGG39" s="135"/>
      <c r="VGH39" s="126"/>
      <c r="VGI39" s="126"/>
      <c r="VGJ39" s="128"/>
      <c r="VGK39" s="130"/>
      <c r="VGL39" s="132"/>
      <c r="VGM39" s="133" t="s">
        <v>48</v>
      </c>
      <c r="VGN39" s="134"/>
      <c r="VGO39" s="135"/>
      <c r="VGP39" s="126"/>
      <c r="VGQ39" s="126"/>
      <c r="VGR39" s="128"/>
      <c r="VGS39" s="130"/>
      <c r="VGT39" s="132"/>
      <c r="VGU39" s="133" t="s">
        <v>48</v>
      </c>
      <c r="VGV39" s="134"/>
      <c r="VGW39" s="135"/>
      <c r="VGX39" s="126"/>
      <c r="VGY39" s="126"/>
      <c r="VGZ39" s="128"/>
      <c r="VHA39" s="130"/>
      <c r="VHB39" s="132"/>
      <c r="VHC39" s="133" t="s">
        <v>48</v>
      </c>
      <c r="VHD39" s="134"/>
      <c r="VHE39" s="135"/>
      <c r="VHF39" s="126"/>
      <c r="VHG39" s="126"/>
      <c r="VHH39" s="128"/>
      <c r="VHI39" s="130"/>
      <c r="VHJ39" s="132"/>
      <c r="VHK39" s="133" t="s">
        <v>48</v>
      </c>
      <c r="VHL39" s="134"/>
      <c r="VHM39" s="135"/>
      <c r="VHN39" s="126"/>
      <c r="VHO39" s="126"/>
      <c r="VHP39" s="128"/>
      <c r="VHQ39" s="130"/>
      <c r="VHR39" s="132"/>
      <c r="VHS39" s="133" t="s">
        <v>48</v>
      </c>
      <c r="VHT39" s="134"/>
      <c r="VHU39" s="135"/>
      <c r="VHV39" s="126"/>
      <c r="VHW39" s="126"/>
      <c r="VHX39" s="128"/>
      <c r="VHY39" s="130"/>
      <c r="VHZ39" s="132"/>
      <c r="VIA39" s="133" t="s">
        <v>48</v>
      </c>
      <c r="VIB39" s="134"/>
      <c r="VIC39" s="135"/>
      <c r="VID39" s="126"/>
      <c r="VIE39" s="126"/>
      <c r="VIF39" s="128"/>
      <c r="VIG39" s="130"/>
      <c r="VIH39" s="132"/>
      <c r="VII39" s="133" t="s">
        <v>48</v>
      </c>
      <c r="VIJ39" s="134"/>
      <c r="VIK39" s="135"/>
      <c r="VIL39" s="126"/>
      <c r="VIM39" s="126"/>
      <c r="VIN39" s="128"/>
      <c r="VIO39" s="130"/>
      <c r="VIP39" s="132"/>
      <c r="VIQ39" s="133" t="s">
        <v>48</v>
      </c>
      <c r="VIR39" s="134"/>
      <c r="VIS39" s="135"/>
      <c r="VIT39" s="126"/>
      <c r="VIU39" s="126"/>
      <c r="VIV39" s="128"/>
      <c r="VIW39" s="130"/>
      <c r="VIX39" s="132"/>
      <c r="VIY39" s="133" t="s">
        <v>48</v>
      </c>
      <c r="VIZ39" s="134"/>
      <c r="VJA39" s="135"/>
      <c r="VJB39" s="126"/>
      <c r="VJC39" s="126"/>
      <c r="VJD39" s="128"/>
      <c r="VJE39" s="130"/>
      <c r="VJF39" s="132"/>
      <c r="VJG39" s="133" t="s">
        <v>48</v>
      </c>
      <c r="VJH39" s="134"/>
      <c r="VJI39" s="135"/>
      <c r="VJJ39" s="126"/>
      <c r="VJK39" s="126"/>
      <c r="VJL39" s="128"/>
      <c r="VJM39" s="130"/>
      <c r="VJN39" s="132"/>
      <c r="VJO39" s="133" t="s">
        <v>48</v>
      </c>
      <c r="VJP39" s="134"/>
      <c r="VJQ39" s="135"/>
      <c r="VJR39" s="126"/>
      <c r="VJS39" s="126"/>
      <c r="VJT39" s="128"/>
      <c r="VJU39" s="130"/>
      <c r="VJV39" s="132"/>
      <c r="VJW39" s="133" t="s">
        <v>48</v>
      </c>
      <c r="VJX39" s="134"/>
      <c r="VJY39" s="135"/>
      <c r="VJZ39" s="126"/>
      <c r="VKA39" s="126"/>
      <c r="VKB39" s="128"/>
      <c r="VKC39" s="130"/>
      <c r="VKD39" s="132"/>
      <c r="VKE39" s="133" t="s">
        <v>48</v>
      </c>
      <c r="VKF39" s="134"/>
      <c r="VKG39" s="135"/>
      <c r="VKH39" s="126"/>
      <c r="VKI39" s="126"/>
      <c r="VKJ39" s="128"/>
      <c r="VKK39" s="130"/>
      <c r="VKL39" s="132"/>
      <c r="VKM39" s="133" t="s">
        <v>48</v>
      </c>
      <c r="VKN39" s="134"/>
      <c r="VKO39" s="135"/>
      <c r="VKP39" s="126"/>
      <c r="VKQ39" s="126"/>
      <c r="VKR39" s="128"/>
      <c r="VKS39" s="130"/>
      <c r="VKT39" s="132"/>
      <c r="VKU39" s="133" t="s">
        <v>48</v>
      </c>
      <c r="VKV39" s="134"/>
      <c r="VKW39" s="135"/>
      <c r="VKX39" s="126"/>
      <c r="VKY39" s="126"/>
      <c r="VKZ39" s="128"/>
      <c r="VLA39" s="130"/>
      <c r="VLB39" s="132"/>
      <c r="VLC39" s="133" t="s">
        <v>48</v>
      </c>
      <c r="VLD39" s="134"/>
      <c r="VLE39" s="135"/>
      <c r="VLF39" s="126"/>
      <c r="VLG39" s="126"/>
      <c r="VLH39" s="128"/>
      <c r="VLI39" s="130"/>
      <c r="VLJ39" s="132"/>
      <c r="VLK39" s="133" t="s">
        <v>48</v>
      </c>
      <c r="VLL39" s="134"/>
      <c r="VLM39" s="135"/>
      <c r="VLN39" s="126"/>
      <c r="VLO39" s="126"/>
      <c r="VLP39" s="128"/>
      <c r="VLQ39" s="130"/>
      <c r="VLR39" s="132"/>
      <c r="VLS39" s="133" t="s">
        <v>48</v>
      </c>
      <c r="VLT39" s="134"/>
      <c r="VLU39" s="135"/>
      <c r="VLV39" s="126"/>
      <c r="VLW39" s="126"/>
      <c r="VLX39" s="128"/>
      <c r="VLY39" s="130"/>
      <c r="VLZ39" s="132"/>
      <c r="VMA39" s="133" t="s">
        <v>48</v>
      </c>
      <c r="VMB39" s="134"/>
      <c r="VMC39" s="135"/>
      <c r="VMD39" s="126"/>
      <c r="VME39" s="126"/>
      <c r="VMF39" s="128"/>
      <c r="VMG39" s="130"/>
      <c r="VMH39" s="132"/>
      <c r="VMI39" s="133" t="s">
        <v>48</v>
      </c>
      <c r="VMJ39" s="134"/>
      <c r="VMK39" s="135"/>
      <c r="VML39" s="126"/>
      <c r="VMM39" s="126"/>
      <c r="VMN39" s="128"/>
      <c r="VMO39" s="130"/>
      <c r="VMP39" s="132"/>
      <c r="VMQ39" s="133" t="s">
        <v>48</v>
      </c>
      <c r="VMR39" s="134"/>
      <c r="VMS39" s="135"/>
      <c r="VMT39" s="126"/>
      <c r="VMU39" s="126"/>
      <c r="VMV39" s="128"/>
      <c r="VMW39" s="130"/>
      <c r="VMX39" s="132"/>
      <c r="VMY39" s="133" t="s">
        <v>48</v>
      </c>
      <c r="VMZ39" s="134"/>
      <c r="VNA39" s="135"/>
      <c r="VNB39" s="126"/>
      <c r="VNC39" s="126"/>
      <c r="VND39" s="128"/>
      <c r="VNE39" s="130"/>
      <c r="VNF39" s="132"/>
      <c r="VNG39" s="133" t="s">
        <v>48</v>
      </c>
      <c r="VNH39" s="134"/>
      <c r="VNI39" s="135"/>
      <c r="VNJ39" s="126"/>
      <c r="VNK39" s="126"/>
      <c r="VNL39" s="128"/>
      <c r="VNM39" s="130"/>
      <c r="VNN39" s="132"/>
      <c r="VNO39" s="133" t="s">
        <v>48</v>
      </c>
      <c r="VNP39" s="134"/>
      <c r="VNQ39" s="135"/>
      <c r="VNR39" s="126"/>
      <c r="VNS39" s="126"/>
      <c r="VNT39" s="128"/>
      <c r="VNU39" s="130"/>
      <c r="VNV39" s="132"/>
      <c r="VNW39" s="133" t="s">
        <v>48</v>
      </c>
      <c r="VNX39" s="134"/>
      <c r="VNY39" s="135"/>
      <c r="VNZ39" s="126"/>
      <c r="VOA39" s="126"/>
      <c r="VOB39" s="128"/>
      <c r="VOC39" s="130"/>
      <c r="VOD39" s="132"/>
      <c r="VOE39" s="133" t="s">
        <v>48</v>
      </c>
      <c r="VOF39" s="134"/>
      <c r="VOG39" s="135"/>
      <c r="VOH39" s="126"/>
      <c r="VOI39" s="126"/>
      <c r="VOJ39" s="128"/>
      <c r="VOK39" s="130"/>
      <c r="VOL39" s="132"/>
      <c r="VOM39" s="133" t="s">
        <v>48</v>
      </c>
      <c r="VON39" s="134"/>
      <c r="VOO39" s="135"/>
      <c r="VOP39" s="126"/>
      <c r="VOQ39" s="126"/>
      <c r="VOR39" s="128"/>
      <c r="VOS39" s="130"/>
      <c r="VOT39" s="132"/>
      <c r="VOU39" s="133" t="s">
        <v>48</v>
      </c>
      <c r="VOV39" s="134"/>
      <c r="VOW39" s="135"/>
      <c r="VOX39" s="126"/>
      <c r="VOY39" s="126"/>
      <c r="VOZ39" s="128"/>
      <c r="VPA39" s="130"/>
      <c r="VPB39" s="132"/>
      <c r="VPC39" s="133" t="s">
        <v>48</v>
      </c>
      <c r="VPD39" s="134"/>
      <c r="VPE39" s="135"/>
      <c r="VPF39" s="126"/>
      <c r="VPG39" s="126"/>
      <c r="VPH39" s="128"/>
      <c r="VPI39" s="130"/>
      <c r="VPJ39" s="132"/>
      <c r="VPK39" s="133" t="s">
        <v>48</v>
      </c>
      <c r="VPL39" s="134"/>
      <c r="VPM39" s="135"/>
      <c r="VPN39" s="126"/>
      <c r="VPO39" s="126"/>
      <c r="VPP39" s="128"/>
      <c r="VPQ39" s="130"/>
      <c r="VPR39" s="132"/>
      <c r="VPS39" s="133" t="s">
        <v>48</v>
      </c>
      <c r="VPT39" s="134"/>
      <c r="VPU39" s="135"/>
      <c r="VPV39" s="126"/>
      <c r="VPW39" s="126"/>
      <c r="VPX39" s="128"/>
      <c r="VPY39" s="130"/>
      <c r="VPZ39" s="132"/>
      <c r="VQA39" s="133" t="s">
        <v>48</v>
      </c>
      <c r="VQB39" s="134"/>
      <c r="VQC39" s="135"/>
      <c r="VQD39" s="126"/>
      <c r="VQE39" s="126"/>
      <c r="VQF39" s="128"/>
      <c r="VQG39" s="130"/>
      <c r="VQH39" s="132"/>
      <c r="VQI39" s="133" t="s">
        <v>48</v>
      </c>
      <c r="VQJ39" s="134"/>
      <c r="VQK39" s="135"/>
      <c r="VQL39" s="126"/>
      <c r="VQM39" s="126"/>
      <c r="VQN39" s="128"/>
      <c r="VQO39" s="130"/>
      <c r="VQP39" s="132"/>
      <c r="VQQ39" s="133" t="s">
        <v>48</v>
      </c>
      <c r="VQR39" s="134"/>
      <c r="VQS39" s="135"/>
      <c r="VQT39" s="126"/>
      <c r="VQU39" s="126"/>
      <c r="VQV39" s="128"/>
      <c r="VQW39" s="130"/>
      <c r="VQX39" s="132"/>
      <c r="VQY39" s="133" t="s">
        <v>48</v>
      </c>
      <c r="VQZ39" s="134"/>
      <c r="VRA39" s="135"/>
      <c r="VRB39" s="126"/>
      <c r="VRC39" s="126"/>
      <c r="VRD39" s="128"/>
      <c r="VRE39" s="130"/>
      <c r="VRF39" s="132"/>
      <c r="VRG39" s="133" t="s">
        <v>48</v>
      </c>
      <c r="VRH39" s="134"/>
      <c r="VRI39" s="135"/>
      <c r="VRJ39" s="126"/>
      <c r="VRK39" s="126"/>
      <c r="VRL39" s="128"/>
      <c r="VRM39" s="130"/>
      <c r="VRN39" s="132"/>
      <c r="VRO39" s="133" t="s">
        <v>48</v>
      </c>
      <c r="VRP39" s="134"/>
      <c r="VRQ39" s="135"/>
      <c r="VRR39" s="126"/>
      <c r="VRS39" s="126"/>
      <c r="VRT39" s="128"/>
      <c r="VRU39" s="130"/>
      <c r="VRV39" s="132"/>
      <c r="VRW39" s="133" t="s">
        <v>48</v>
      </c>
      <c r="VRX39" s="134"/>
      <c r="VRY39" s="135"/>
      <c r="VRZ39" s="126"/>
      <c r="VSA39" s="126"/>
      <c r="VSB39" s="128"/>
      <c r="VSC39" s="130"/>
      <c r="VSD39" s="132"/>
      <c r="VSE39" s="133" t="s">
        <v>48</v>
      </c>
      <c r="VSF39" s="134"/>
      <c r="VSG39" s="135"/>
      <c r="VSH39" s="126"/>
      <c r="VSI39" s="126"/>
      <c r="VSJ39" s="128"/>
      <c r="VSK39" s="130"/>
      <c r="VSL39" s="132"/>
      <c r="VSM39" s="133" t="s">
        <v>48</v>
      </c>
      <c r="VSN39" s="134"/>
      <c r="VSO39" s="135"/>
      <c r="VSP39" s="126"/>
      <c r="VSQ39" s="126"/>
      <c r="VSR39" s="128"/>
      <c r="VSS39" s="130"/>
      <c r="VST39" s="132"/>
      <c r="VSU39" s="133" t="s">
        <v>48</v>
      </c>
      <c r="VSV39" s="134"/>
      <c r="VSW39" s="135"/>
      <c r="VSX39" s="126"/>
      <c r="VSY39" s="126"/>
      <c r="VSZ39" s="128"/>
      <c r="VTA39" s="130"/>
      <c r="VTB39" s="132"/>
      <c r="VTC39" s="133" t="s">
        <v>48</v>
      </c>
      <c r="VTD39" s="134"/>
      <c r="VTE39" s="135"/>
      <c r="VTF39" s="126"/>
      <c r="VTG39" s="126"/>
      <c r="VTH39" s="128"/>
      <c r="VTI39" s="130"/>
      <c r="VTJ39" s="132"/>
      <c r="VTK39" s="133" t="s">
        <v>48</v>
      </c>
      <c r="VTL39" s="134"/>
      <c r="VTM39" s="135"/>
      <c r="VTN39" s="126"/>
      <c r="VTO39" s="126"/>
      <c r="VTP39" s="128"/>
      <c r="VTQ39" s="130"/>
      <c r="VTR39" s="132"/>
      <c r="VTS39" s="133" t="s">
        <v>48</v>
      </c>
      <c r="VTT39" s="134"/>
      <c r="VTU39" s="135"/>
      <c r="VTV39" s="126"/>
      <c r="VTW39" s="126"/>
      <c r="VTX39" s="128"/>
      <c r="VTY39" s="130"/>
      <c r="VTZ39" s="132"/>
      <c r="VUA39" s="133" t="s">
        <v>48</v>
      </c>
      <c r="VUB39" s="134"/>
      <c r="VUC39" s="135"/>
      <c r="VUD39" s="126"/>
      <c r="VUE39" s="126"/>
      <c r="VUF39" s="128"/>
      <c r="VUG39" s="130"/>
      <c r="VUH39" s="132"/>
      <c r="VUI39" s="133" t="s">
        <v>48</v>
      </c>
      <c r="VUJ39" s="134"/>
      <c r="VUK39" s="135"/>
      <c r="VUL39" s="126"/>
      <c r="VUM39" s="126"/>
      <c r="VUN39" s="128"/>
      <c r="VUO39" s="130"/>
      <c r="VUP39" s="132"/>
      <c r="VUQ39" s="133" t="s">
        <v>48</v>
      </c>
      <c r="VUR39" s="134"/>
      <c r="VUS39" s="135"/>
      <c r="VUT39" s="126"/>
      <c r="VUU39" s="126"/>
      <c r="VUV39" s="128"/>
      <c r="VUW39" s="130"/>
      <c r="VUX39" s="132"/>
      <c r="VUY39" s="133" t="s">
        <v>48</v>
      </c>
      <c r="VUZ39" s="134"/>
      <c r="VVA39" s="135"/>
      <c r="VVB39" s="126"/>
      <c r="VVC39" s="126"/>
      <c r="VVD39" s="128"/>
      <c r="VVE39" s="130"/>
      <c r="VVF39" s="132"/>
      <c r="VVG39" s="133" t="s">
        <v>48</v>
      </c>
      <c r="VVH39" s="134"/>
      <c r="VVI39" s="135"/>
      <c r="VVJ39" s="126"/>
      <c r="VVK39" s="126"/>
      <c r="VVL39" s="128"/>
      <c r="VVM39" s="130"/>
      <c r="VVN39" s="132"/>
      <c r="VVO39" s="133" t="s">
        <v>48</v>
      </c>
      <c r="VVP39" s="134"/>
      <c r="VVQ39" s="135"/>
      <c r="VVR39" s="126"/>
      <c r="VVS39" s="126"/>
      <c r="VVT39" s="128"/>
      <c r="VVU39" s="130"/>
      <c r="VVV39" s="132"/>
      <c r="VVW39" s="133" t="s">
        <v>48</v>
      </c>
      <c r="VVX39" s="134"/>
      <c r="VVY39" s="135"/>
      <c r="VVZ39" s="126"/>
      <c r="VWA39" s="126"/>
      <c r="VWB39" s="128"/>
      <c r="VWC39" s="130"/>
      <c r="VWD39" s="132"/>
      <c r="VWE39" s="133" t="s">
        <v>48</v>
      </c>
      <c r="VWF39" s="134"/>
      <c r="VWG39" s="135"/>
      <c r="VWH39" s="126"/>
      <c r="VWI39" s="126"/>
      <c r="VWJ39" s="128"/>
      <c r="VWK39" s="130"/>
      <c r="VWL39" s="132"/>
      <c r="VWM39" s="133" t="s">
        <v>48</v>
      </c>
      <c r="VWN39" s="134"/>
      <c r="VWO39" s="135"/>
      <c r="VWP39" s="126"/>
      <c r="VWQ39" s="126"/>
      <c r="VWR39" s="128"/>
      <c r="VWS39" s="130"/>
      <c r="VWT39" s="132"/>
      <c r="VWU39" s="133" t="s">
        <v>48</v>
      </c>
      <c r="VWV39" s="134"/>
      <c r="VWW39" s="135"/>
      <c r="VWX39" s="126"/>
      <c r="VWY39" s="126"/>
      <c r="VWZ39" s="128"/>
      <c r="VXA39" s="130"/>
      <c r="VXB39" s="132"/>
      <c r="VXC39" s="133" t="s">
        <v>48</v>
      </c>
      <c r="VXD39" s="134"/>
      <c r="VXE39" s="135"/>
      <c r="VXF39" s="126"/>
      <c r="VXG39" s="126"/>
      <c r="VXH39" s="128"/>
      <c r="VXI39" s="130"/>
      <c r="VXJ39" s="132"/>
      <c r="VXK39" s="133" t="s">
        <v>48</v>
      </c>
      <c r="VXL39" s="134"/>
      <c r="VXM39" s="135"/>
      <c r="VXN39" s="126"/>
      <c r="VXO39" s="126"/>
      <c r="VXP39" s="128"/>
      <c r="VXQ39" s="130"/>
      <c r="VXR39" s="132"/>
      <c r="VXS39" s="133" t="s">
        <v>48</v>
      </c>
      <c r="VXT39" s="134"/>
      <c r="VXU39" s="135"/>
      <c r="VXV39" s="126"/>
      <c r="VXW39" s="126"/>
      <c r="VXX39" s="128"/>
      <c r="VXY39" s="130"/>
      <c r="VXZ39" s="132"/>
      <c r="VYA39" s="133" t="s">
        <v>48</v>
      </c>
      <c r="VYB39" s="134"/>
      <c r="VYC39" s="135"/>
      <c r="VYD39" s="126"/>
      <c r="VYE39" s="126"/>
      <c r="VYF39" s="128"/>
      <c r="VYG39" s="130"/>
      <c r="VYH39" s="132"/>
      <c r="VYI39" s="133" t="s">
        <v>48</v>
      </c>
      <c r="VYJ39" s="134"/>
      <c r="VYK39" s="135"/>
      <c r="VYL39" s="126"/>
      <c r="VYM39" s="126"/>
      <c r="VYN39" s="128"/>
      <c r="VYO39" s="130"/>
      <c r="VYP39" s="132"/>
      <c r="VYQ39" s="133" t="s">
        <v>48</v>
      </c>
      <c r="VYR39" s="134"/>
      <c r="VYS39" s="135"/>
      <c r="VYT39" s="126"/>
      <c r="VYU39" s="126"/>
      <c r="VYV39" s="128"/>
      <c r="VYW39" s="130"/>
      <c r="VYX39" s="132"/>
      <c r="VYY39" s="133" t="s">
        <v>48</v>
      </c>
      <c r="VYZ39" s="134"/>
      <c r="VZA39" s="135"/>
      <c r="VZB39" s="126"/>
      <c r="VZC39" s="126"/>
      <c r="VZD39" s="128"/>
      <c r="VZE39" s="130"/>
      <c r="VZF39" s="132"/>
      <c r="VZG39" s="133" t="s">
        <v>48</v>
      </c>
      <c r="VZH39" s="134"/>
      <c r="VZI39" s="135"/>
      <c r="VZJ39" s="126"/>
      <c r="VZK39" s="126"/>
      <c r="VZL39" s="128"/>
      <c r="VZM39" s="130"/>
      <c r="VZN39" s="132"/>
      <c r="VZO39" s="133" t="s">
        <v>48</v>
      </c>
      <c r="VZP39" s="134"/>
      <c r="VZQ39" s="135"/>
      <c r="VZR39" s="126"/>
      <c r="VZS39" s="126"/>
      <c r="VZT39" s="128"/>
      <c r="VZU39" s="130"/>
      <c r="VZV39" s="132"/>
      <c r="VZW39" s="133" t="s">
        <v>48</v>
      </c>
      <c r="VZX39" s="134"/>
      <c r="VZY39" s="135"/>
      <c r="VZZ39" s="126"/>
      <c r="WAA39" s="126"/>
      <c r="WAB39" s="128"/>
      <c r="WAC39" s="130"/>
      <c r="WAD39" s="132"/>
      <c r="WAE39" s="133" t="s">
        <v>48</v>
      </c>
      <c r="WAF39" s="134"/>
      <c r="WAG39" s="135"/>
      <c r="WAH39" s="126"/>
      <c r="WAI39" s="126"/>
      <c r="WAJ39" s="128"/>
      <c r="WAK39" s="130"/>
      <c r="WAL39" s="132"/>
      <c r="WAM39" s="133" t="s">
        <v>48</v>
      </c>
      <c r="WAN39" s="134"/>
      <c r="WAO39" s="135"/>
      <c r="WAP39" s="126"/>
      <c r="WAQ39" s="126"/>
      <c r="WAR39" s="128"/>
      <c r="WAS39" s="130"/>
      <c r="WAT39" s="132"/>
      <c r="WAU39" s="133" t="s">
        <v>48</v>
      </c>
      <c r="WAV39" s="134"/>
      <c r="WAW39" s="135"/>
      <c r="WAX39" s="126"/>
      <c r="WAY39" s="126"/>
      <c r="WAZ39" s="128"/>
      <c r="WBA39" s="130"/>
      <c r="WBB39" s="132"/>
      <c r="WBC39" s="133" t="s">
        <v>48</v>
      </c>
      <c r="WBD39" s="134"/>
      <c r="WBE39" s="135"/>
      <c r="WBF39" s="126"/>
      <c r="WBG39" s="126"/>
      <c r="WBH39" s="128"/>
      <c r="WBI39" s="130"/>
      <c r="WBJ39" s="132"/>
      <c r="WBK39" s="133" t="s">
        <v>48</v>
      </c>
      <c r="WBL39" s="134"/>
      <c r="WBM39" s="135"/>
      <c r="WBN39" s="126"/>
      <c r="WBO39" s="126"/>
      <c r="WBP39" s="128"/>
      <c r="WBQ39" s="130"/>
      <c r="WBR39" s="132"/>
      <c r="WBS39" s="133" t="s">
        <v>48</v>
      </c>
      <c r="WBT39" s="134"/>
      <c r="WBU39" s="135"/>
      <c r="WBV39" s="126"/>
      <c r="WBW39" s="126"/>
      <c r="WBX39" s="128"/>
      <c r="WBY39" s="130"/>
      <c r="WBZ39" s="132"/>
      <c r="WCA39" s="133" t="s">
        <v>48</v>
      </c>
      <c r="WCB39" s="134"/>
      <c r="WCC39" s="135"/>
      <c r="WCD39" s="126"/>
      <c r="WCE39" s="126"/>
      <c r="WCF39" s="128"/>
      <c r="WCG39" s="130"/>
      <c r="WCH39" s="132"/>
      <c r="WCI39" s="133" t="s">
        <v>48</v>
      </c>
      <c r="WCJ39" s="134"/>
      <c r="WCK39" s="135"/>
      <c r="WCL39" s="126"/>
      <c r="WCM39" s="126"/>
      <c r="WCN39" s="128"/>
      <c r="WCO39" s="130"/>
      <c r="WCP39" s="132"/>
      <c r="WCQ39" s="133" t="s">
        <v>48</v>
      </c>
      <c r="WCR39" s="134"/>
      <c r="WCS39" s="135"/>
      <c r="WCT39" s="126"/>
      <c r="WCU39" s="126"/>
      <c r="WCV39" s="128"/>
      <c r="WCW39" s="130"/>
      <c r="WCX39" s="132"/>
      <c r="WCY39" s="133" t="s">
        <v>48</v>
      </c>
      <c r="WCZ39" s="134"/>
      <c r="WDA39" s="135"/>
      <c r="WDB39" s="126"/>
      <c r="WDC39" s="126"/>
      <c r="WDD39" s="128"/>
      <c r="WDE39" s="130"/>
      <c r="WDF39" s="132"/>
      <c r="WDG39" s="133" t="s">
        <v>48</v>
      </c>
      <c r="WDH39" s="134"/>
      <c r="WDI39" s="135"/>
      <c r="WDJ39" s="126"/>
      <c r="WDK39" s="126"/>
      <c r="WDL39" s="128"/>
      <c r="WDM39" s="130"/>
      <c r="WDN39" s="132"/>
      <c r="WDO39" s="133" t="s">
        <v>48</v>
      </c>
      <c r="WDP39" s="134"/>
      <c r="WDQ39" s="135"/>
      <c r="WDR39" s="126"/>
      <c r="WDS39" s="126"/>
      <c r="WDT39" s="128"/>
      <c r="WDU39" s="130"/>
      <c r="WDV39" s="132"/>
      <c r="WDW39" s="133" t="s">
        <v>48</v>
      </c>
      <c r="WDX39" s="134"/>
      <c r="WDY39" s="135"/>
      <c r="WDZ39" s="126"/>
      <c r="WEA39" s="126"/>
      <c r="WEB39" s="128"/>
      <c r="WEC39" s="130"/>
      <c r="WED39" s="132"/>
      <c r="WEE39" s="133" t="s">
        <v>48</v>
      </c>
      <c r="WEF39" s="134"/>
      <c r="WEG39" s="135"/>
      <c r="WEH39" s="126"/>
      <c r="WEI39" s="126"/>
      <c r="WEJ39" s="128"/>
      <c r="WEK39" s="130"/>
      <c r="WEL39" s="132"/>
      <c r="WEM39" s="133" t="s">
        <v>48</v>
      </c>
      <c r="WEN39" s="134"/>
      <c r="WEO39" s="135"/>
      <c r="WEP39" s="126"/>
      <c r="WEQ39" s="126"/>
      <c r="WER39" s="128"/>
      <c r="WES39" s="130"/>
      <c r="WET39" s="132"/>
      <c r="WEU39" s="133" t="s">
        <v>48</v>
      </c>
      <c r="WEV39" s="134"/>
      <c r="WEW39" s="135"/>
      <c r="WEX39" s="126"/>
      <c r="WEY39" s="126"/>
      <c r="WEZ39" s="128"/>
      <c r="WFA39" s="130"/>
      <c r="WFB39" s="132"/>
      <c r="WFC39" s="133" t="s">
        <v>48</v>
      </c>
      <c r="WFD39" s="134"/>
      <c r="WFE39" s="135"/>
      <c r="WFF39" s="126"/>
      <c r="WFG39" s="126"/>
      <c r="WFH39" s="128"/>
      <c r="WFI39" s="130"/>
      <c r="WFJ39" s="132"/>
      <c r="WFK39" s="133" t="s">
        <v>48</v>
      </c>
      <c r="WFL39" s="134"/>
      <c r="WFM39" s="135"/>
      <c r="WFN39" s="126"/>
      <c r="WFO39" s="126"/>
      <c r="WFP39" s="128"/>
      <c r="WFQ39" s="130"/>
      <c r="WFR39" s="132"/>
      <c r="WFS39" s="133" t="s">
        <v>48</v>
      </c>
      <c r="WFT39" s="134"/>
      <c r="WFU39" s="135"/>
      <c r="WFV39" s="126"/>
      <c r="WFW39" s="126"/>
      <c r="WFX39" s="128"/>
      <c r="WFY39" s="130"/>
      <c r="WFZ39" s="132"/>
      <c r="WGA39" s="133" t="s">
        <v>48</v>
      </c>
      <c r="WGB39" s="134"/>
      <c r="WGC39" s="135"/>
      <c r="WGD39" s="126"/>
      <c r="WGE39" s="126"/>
      <c r="WGF39" s="128"/>
      <c r="WGG39" s="130"/>
      <c r="WGH39" s="132"/>
      <c r="WGI39" s="133" t="s">
        <v>48</v>
      </c>
      <c r="WGJ39" s="134"/>
      <c r="WGK39" s="135"/>
      <c r="WGL39" s="126"/>
      <c r="WGM39" s="126"/>
      <c r="WGN39" s="128"/>
      <c r="WGO39" s="130"/>
      <c r="WGP39" s="132"/>
      <c r="WGQ39" s="133" t="s">
        <v>48</v>
      </c>
      <c r="WGR39" s="134"/>
      <c r="WGS39" s="135"/>
      <c r="WGT39" s="126"/>
      <c r="WGU39" s="126"/>
      <c r="WGV39" s="128"/>
      <c r="WGW39" s="130"/>
      <c r="WGX39" s="132"/>
      <c r="WGY39" s="133" t="s">
        <v>48</v>
      </c>
      <c r="WGZ39" s="134"/>
      <c r="WHA39" s="135"/>
      <c r="WHB39" s="126"/>
      <c r="WHC39" s="126"/>
      <c r="WHD39" s="128"/>
      <c r="WHE39" s="130"/>
      <c r="WHF39" s="132"/>
      <c r="WHG39" s="133" t="s">
        <v>48</v>
      </c>
      <c r="WHH39" s="134"/>
      <c r="WHI39" s="135"/>
      <c r="WHJ39" s="126"/>
      <c r="WHK39" s="126"/>
      <c r="WHL39" s="128"/>
      <c r="WHM39" s="130"/>
      <c r="WHN39" s="132"/>
      <c r="WHO39" s="133" t="s">
        <v>48</v>
      </c>
      <c r="WHP39" s="134"/>
      <c r="WHQ39" s="135"/>
      <c r="WHR39" s="126"/>
      <c r="WHS39" s="126"/>
      <c r="WHT39" s="128"/>
      <c r="WHU39" s="130"/>
      <c r="WHV39" s="132"/>
      <c r="WHW39" s="133" t="s">
        <v>48</v>
      </c>
      <c r="WHX39" s="134"/>
      <c r="WHY39" s="135"/>
      <c r="WHZ39" s="126"/>
      <c r="WIA39" s="126"/>
      <c r="WIB39" s="128"/>
      <c r="WIC39" s="130"/>
      <c r="WID39" s="132"/>
      <c r="WIE39" s="133" t="s">
        <v>48</v>
      </c>
      <c r="WIF39" s="134"/>
      <c r="WIG39" s="135"/>
      <c r="WIH39" s="126"/>
      <c r="WII39" s="126"/>
      <c r="WIJ39" s="128"/>
      <c r="WIK39" s="130"/>
      <c r="WIL39" s="132"/>
      <c r="WIM39" s="133" t="s">
        <v>48</v>
      </c>
      <c r="WIN39" s="134"/>
      <c r="WIO39" s="135"/>
      <c r="WIP39" s="126"/>
      <c r="WIQ39" s="126"/>
      <c r="WIR39" s="128"/>
      <c r="WIS39" s="130"/>
      <c r="WIT39" s="132"/>
      <c r="WIU39" s="133" t="s">
        <v>48</v>
      </c>
      <c r="WIV39" s="134"/>
      <c r="WIW39" s="135"/>
      <c r="WIX39" s="126"/>
      <c r="WIY39" s="126"/>
      <c r="WIZ39" s="128"/>
      <c r="WJA39" s="130"/>
      <c r="WJB39" s="132"/>
      <c r="WJC39" s="133" t="s">
        <v>48</v>
      </c>
      <c r="WJD39" s="134"/>
      <c r="WJE39" s="135"/>
      <c r="WJF39" s="126"/>
      <c r="WJG39" s="126"/>
      <c r="WJH39" s="128"/>
      <c r="WJI39" s="130"/>
      <c r="WJJ39" s="132"/>
      <c r="WJK39" s="133" t="s">
        <v>48</v>
      </c>
      <c r="WJL39" s="134"/>
      <c r="WJM39" s="135"/>
      <c r="WJN39" s="126"/>
      <c r="WJO39" s="126"/>
      <c r="WJP39" s="128"/>
      <c r="WJQ39" s="130"/>
      <c r="WJR39" s="132"/>
      <c r="WJS39" s="133" t="s">
        <v>48</v>
      </c>
      <c r="WJT39" s="134"/>
      <c r="WJU39" s="135"/>
      <c r="WJV39" s="126"/>
      <c r="WJW39" s="126"/>
      <c r="WJX39" s="128"/>
      <c r="WJY39" s="130"/>
      <c r="WJZ39" s="132"/>
      <c r="WKA39" s="133" t="s">
        <v>48</v>
      </c>
      <c r="WKB39" s="134"/>
      <c r="WKC39" s="135"/>
      <c r="WKD39" s="126"/>
      <c r="WKE39" s="126"/>
      <c r="WKF39" s="128"/>
      <c r="WKG39" s="130"/>
      <c r="WKH39" s="132"/>
      <c r="WKI39" s="133" t="s">
        <v>48</v>
      </c>
      <c r="WKJ39" s="134"/>
      <c r="WKK39" s="135"/>
      <c r="WKL39" s="126"/>
      <c r="WKM39" s="126"/>
      <c r="WKN39" s="128"/>
      <c r="WKO39" s="130"/>
      <c r="WKP39" s="132"/>
      <c r="WKQ39" s="133" t="s">
        <v>48</v>
      </c>
      <c r="WKR39" s="134"/>
      <c r="WKS39" s="135"/>
      <c r="WKT39" s="126"/>
      <c r="WKU39" s="126"/>
      <c r="WKV39" s="128"/>
      <c r="WKW39" s="130"/>
      <c r="WKX39" s="132"/>
      <c r="WKY39" s="133" t="s">
        <v>48</v>
      </c>
      <c r="WKZ39" s="134"/>
      <c r="WLA39" s="135"/>
      <c r="WLB39" s="126"/>
      <c r="WLC39" s="126"/>
      <c r="WLD39" s="128"/>
      <c r="WLE39" s="130"/>
      <c r="WLF39" s="132"/>
      <c r="WLG39" s="133" t="s">
        <v>48</v>
      </c>
      <c r="WLH39" s="134"/>
      <c r="WLI39" s="135"/>
      <c r="WLJ39" s="126"/>
      <c r="WLK39" s="126"/>
      <c r="WLL39" s="128"/>
      <c r="WLM39" s="130"/>
      <c r="WLN39" s="132"/>
      <c r="WLO39" s="133" t="s">
        <v>48</v>
      </c>
      <c r="WLP39" s="134"/>
      <c r="WLQ39" s="135"/>
      <c r="WLR39" s="126"/>
      <c r="WLS39" s="126"/>
      <c r="WLT39" s="128"/>
      <c r="WLU39" s="130"/>
      <c r="WLV39" s="132"/>
      <c r="WLW39" s="133" t="s">
        <v>48</v>
      </c>
      <c r="WLX39" s="134"/>
      <c r="WLY39" s="135"/>
      <c r="WLZ39" s="126"/>
      <c r="WMA39" s="126"/>
      <c r="WMB39" s="128"/>
      <c r="WMC39" s="130"/>
      <c r="WMD39" s="132"/>
      <c r="WME39" s="133" t="s">
        <v>48</v>
      </c>
      <c r="WMF39" s="134"/>
      <c r="WMG39" s="135"/>
      <c r="WMH39" s="126"/>
      <c r="WMI39" s="126"/>
      <c r="WMJ39" s="128"/>
      <c r="WMK39" s="130"/>
      <c r="WML39" s="132"/>
      <c r="WMM39" s="133" t="s">
        <v>48</v>
      </c>
      <c r="WMN39" s="134"/>
      <c r="WMO39" s="135"/>
      <c r="WMP39" s="126"/>
      <c r="WMQ39" s="126"/>
      <c r="WMR39" s="128"/>
      <c r="WMS39" s="130"/>
      <c r="WMT39" s="132"/>
      <c r="WMU39" s="133" t="s">
        <v>48</v>
      </c>
      <c r="WMV39" s="134"/>
      <c r="WMW39" s="135"/>
      <c r="WMX39" s="126"/>
      <c r="WMY39" s="126"/>
      <c r="WMZ39" s="128"/>
      <c r="WNA39" s="130"/>
      <c r="WNB39" s="132"/>
      <c r="WNC39" s="133" t="s">
        <v>48</v>
      </c>
      <c r="WND39" s="134"/>
      <c r="WNE39" s="135"/>
      <c r="WNF39" s="126"/>
      <c r="WNG39" s="126"/>
      <c r="WNH39" s="128"/>
      <c r="WNI39" s="130"/>
      <c r="WNJ39" s="132"/>
      <c r="WNK39" s="133" t="s">
        <v>48</v>
      </c>
      <c r="WNL39" s="134"/>
      <c r="WNM39" s="135"/>
      <c r="WNN39" s="126"/>
      <c r="WNO39" s="126"/>
      <c r="WNP39" s="128"/>
      <c r="WNQ39" s="130"/>
      <c r="WNR39" s="132"/>
      <c r="WNS39" s="133" t="s">
        <v>48</v>
      </c>
      <c r="WNT39" s="134"/>
      <c r="WNU39" s="135"/>
      <c r="WNV39" s="126"/>
      <c r="WNW39" s="126"/>
      <c r="WNX39" s="128"/>
      <c r="WNY39" s="130"/>
      <c r="WNZ39" s="132"/>
      <c r="WOA39" s="133" t="s">
        <v>48</v>
      </c>
      <c r="WOB39" s="134"/>
      <c r="WOC39" s="135"/>
      <c r="WOD39" s="126"/>
      <c r="WOE39" s="126"/>
      <c r="WOF39" s="128"/>
      <c r="WOG39" s="130"/>
      <c r="WOH39" s="132"/>
      <c r="WOI39" s="133" t="s">
        <v>48</v>
      </c>
      <c r="WOJ39" s="134"/>
      <c r="WOK39" s="135"/>
      <c r="WOL39" s="126"/>
      <c r="WOM39" s="126"/>
      <c r="WON39" s="128"/>
      <c r="WOO39" s="130"/>
      <c r="WOP39" s="132"/>
      <c r="WOQ39" s="133" t="s">
        <v>48</v>
      </c>
      <c r="WOR39" s="134"/>
      <c r="WOS39" s="135"/>
      <c r="WOT39" s="126"/>
      <c r="WOU39" s="126"/>
      <c r="WOV39" s="128"/>
      <c r="WOW39" s="130"/>
      <c r="WOX39" s="132"/>
      <c r="WOY39" s="133" t="s">
        <v>48</v>
      </c>
      <c r="WOZ39" s="134"/>
      <c r="WPA39" s="135"/>
      <c r="WPB39" s="126"/>
      <c r="WPC39" s="126"/>
      <c r="WPD39" s="128"/>
      <c r="WPE39" s="130"/>
      <c r="WPF39" s="132"/>
      <c r="WPG39" s="133" t="s">
        <v>48</v>
      </c>
      <c r="WPH39" s="134"/>
      <c r="WPI39" s="135"/>
      <c r="WPJ39" s="126"/>
      <c r="WPK39" s="126"/>
      <c r="WPL39" s="128"/>
      <c r="WPM39" s="130"/>
      <c r="WPN39" s="132"/>
      <c r="WPO39" s="133" t="s">
        <v>48</v>
      </c>
      <c r="WPP39" s="134"/>
      <c r="WPQ39" s="135"/>
      <c r="WPR39" s="126"/>
      <c r="WPS39" s="126"/>
      <c r="WPT39" s="128"/>
      <c r="WPU39" s="130"/>
      <c r="WPV39" s="132"/>
      <c r="WPW39" s="133" t="s">
        <v>48</v>
      </c>
      <c r="WPX39" s="134"/>
      <c r="WPY39" s="135"/>
      <c r="WPZ39" s="126"/>
      <c r="WQA39" s="126"/>
      <c r="WQB39" s="128"/>
      <c r="WQC39" s="130"/>
      <c r="WQD39" s="132"/>
      <c r="WQE39" s="133" t="s">
        <v>48</v>
      </c>
      <c r="WQF39" s="134"/>
      <c r="WQG39" s="135"/>
      <c r="WQH39" s="126"/>
      <c r="WQI39" s="126"/>
      <c r="WQJ39" s="128"/>
      <c r="WQK39" s="130"/>
      <c r="WQL39" s="132"/>
      <c r="WQM39" s="133" t="s">
        <v>48</v>
      </c>
      <c r="WQN39" s="134"/>
      <c r="WQO39" s="135"/>
      <c r="WQP39" s="126"/>
      <c r="WQQ39" s="126"/>
      <c r="WQR39" s="128"/>
      <c r="WQS39" s="130"/>
      <c r="WQT39" s="132"/>
      <c r="WQU39" s="133" t="s">
        <v>48</v>
      </c>
      <c r="WQV39" s="134"/>
      <c r="WQW39" s="135"/>
      <c r="WQX39" s="126"/>
      <c r="WQY39" s="126"/>
      <c r="WQZ39" s="128"/>
      <c r="WRA39" s="130"/>
      <c r="WRB39" s="132"/>
      <c r="WRC39" s="133" t="s">
        <v>48</v>
      </c>
      <c r="WRD39" s="134"/>
      <c r="WRE39" s="135"/>
      <c r="WRF39" s="126"/>
      <c r="WRG39" s="126"/>
      <c r="WRH39" s="128"/>
      <c r="WRI39" s="130"/>
      <c r="WRJ39" s="132"/>
      <c r="WRK39" s="133" t="s">
        <v>48</v>
      </c>
      <c r="WRL39" s="134"/>
      <c r="WRM39" s="135"/>
      <c r="WRN39" s="126"/>
      <c r="WRO39" s="126"/>
      <c r="WRP39" s="128"/>
      <c r="WRQ39" s="130"/>
      <c r="WRR39" s="132"/>
      <c r="WRS39" s="133" t="s">
        <v>48</v>
      </c>
      <c r="WRT39" s="134"/>
      <c r="WRU39" s="135"/>
      <c r="WRV39" s="126"/>
      <c r="WRW39" s="126"/>
      <c r="WRX39" s="128"/>
      <c r="WRY39" s="130"/>
      <c r="WRZ39" s="132"/>
      <c r="WSA39" s="133" t="s">
        <v>48</v>
      </c>
      <c r="WSB39" s="134"/>
      <c r="WSC39" s="135"/>
      <c r="WSD39" s="126"/>
      <c r="WSE39" s="126"/>
      <c r="WSF39" s="128"/>
      <c r="WSG39" s="130"/>
      <c r="WSH39" s="132"/>
      <c r="WSI39" s="133" t="s">
        <v>48</v>
      </c>
      <c r="WSJ39" s="134"/>
      <c r="WSK39" s="135"/>
      <c r="WSL39" s="126"/>
      <c r="WSM39" s="126"/>
      <c r="WSN39" s="128"/>
      <c r="WSO39" s="130"/>
      <c r="WSP39" s="132"/>
      <c r="WSQ39" s="133" t="s">
        <v>48</v>
      </c>
      <c r="WSR39" s="134"/>
      <c r="WSS39" s="135"/>
      <c r="WST39" s="126"/>
      <c r="WSU39" s="126"/>
      <c r="WSV39" s="128"/>
      <c r="WSW39" s="130"/>
      <c r="WSX39" s="132"/>
      <c r="WSY39" s="133" t="s">
        <v>48</v>
      </c>
      <c r="WSZ39" s="134"/>
      <c r="WTA39" s="135"/>
      <c r="WTB39" s="126"/>
      <c r="WTC39" s="126"/>
      <c r="WTD39" s="128"/>
      <c r="WTE39" s="130"/>
      <c r="WTF39" s="132"/>
      <c r="WTG39" s="133" t="s">
        <v>48</v>
      </c>
      <c r="WTH39" s="134"/>
      <c r="WTI39" s="135"/>
      <c r="WTJ39" s="126"/>
      <c r="WTK39" s="126"/>
      <c r="WTL39" s="128"/>
      <c r="WTM39" s="130"/>
      <c r="WTN39" s="132"/>
      <c r="WTO39" s="133" t="s">
        <v>48</v>
      </c>
      <c r="WTP39" s="134"/>
      <c r="WTQ39" s="135"/>
      <c r="WTR39" s="126"/>
      <c r="WTS39" s="126"/>
      <c r="WTT39" s="128"/>
      <c r="WTU39" s="130"/>
      <c r="WTV39" s="132"/>
      <c r="WTW39" s="133" t="s">
        <v>48</v>
      </c>
      <c r="WTX39" s="134"/>
      <c r="WTY39" s="135"/>
      <c r="WTZ39" s="126"/>
      <c r="WUA39" s="126"/>
      <c r="WUB39" s="128"/>
      <c r="WUC39" s="130"/>
      <c r="WUD39" s="132"/>
      <c r="WUE39" s="133" t="s">
        <v>48</v>
      </c>
      <c r="WUF39" s="134"/>
      <c r="WUG39" s="135"/>
      <c r="WUH39" s="126"/>
      <c r="WUI39" s="126"/>
      <c r="WUJ39" s="128"/>
      <c r="WUK39" s="130"/>
      <c r="WUL39" s="132"/>
      <c r="WUM39" s="133" t="s">
        <v>48</v>
      </c>
      <c r="WUN39" s="134"/>
      <c r="WUO39" s="135"/>
      <c r="WUP39" s="126"/>
      <c r="WUQ39" s="126"/>
      <c r="WUR39" s="128"/>
      <c r="WUS39" s="130"/>
      <c r="WUT39" s="132"/>
      <c r="WUU39" s="133" t="s">
        <v>48</v>
      </c>
      <c r="WUV39" s="134"/>
      <c r="WUW39" s="135"/>
      <c r="WUX39" s="126"/>
      <c r="WUY39" s="126"/>
      <c r="WUZ39" s="128"/>
      <c r="WVA39" s="130"/>
      <c r="WVB39" s="132"/>
      <c r="WVC39" s="133" t="s">
        <v>48</v>
      </c>
      <c r="WVD39" s="134"/>
      <c r="WVE39" s="135"/>
      <c r="WVF39" s="126"/>
      <c r="WVG39" s="126"/>
      <c r="WVH39" s="128"/>
      <c r="WVI39" s="130"/>
      <c r="WVJ39" s="132"/>
      <c r="WVK39" s="133" t="s">
        <v>48</v>
      </c>
      <c r="WVL39" s="134"/>
      <c r="WVM39" s="135"/>
      <c r="WVN39" s="126"/>
      <c r="WVO39" s="126"/>
      <c r="WVP39" s="128"/>
      <c r="WVQ39" s="130"/>
      <c r="WVR39" s="132"/>
      <c r="WVS39" s="133" t="s">
        <v>48</v>
      </c>
      <c r="WVT39" s="134"/>
      <c r="WVU39" s="135"/>
      <c r="WVV39" s="126"/>
      <c r="WVW39" s="126"/>
      <c r="WVX39" s="128"/>
      <c r="WVY39" s="130"/>
      <c r="WVZ39" s="132"/>
      <c r="WWA39" s="133" t="s">
        <v>48</v>
      </c>
      <c r="WWB39" s="134"/>
      <c r="WWC39" s="135"/>
      <c r="WWD39" s="126"/>
      <c r="WWE39" s="126"/>
      <c r="WWF39" s="128"/>
      <c r="WWG39" s="130"/>
      <c r="WWH39" s="132"/>
      <c r="WWI39" s="133" t="s">
        <v>48</v>
      </c>
      <c r="WWJ39" s="134"/>
      <c r="WWK39" s="135"/>
      <c r="WWL39" s="126"/>
      <c r="WWM39" s="126"/>
      <c r="WWN39" s="128"/>
      <c r="WWO39" s="130"/>
      <c r="WWP39" s="132"/>
      <c r="WWQ39" s="133" t="s">
        <v>48</v>
      </c>
      <c r="WWR39" s="134"/>
      <c r="WWS39" s="135"/>
      <c r="WWT39" s="126"/>
      <c r="WWU39" s="126"/>
      <c r="WWV39" s="128"/>
      <c r="WWW39" s="130"/>
      <c r="WWX39" s="132"/>
      <c r="WWY39" s="133" t="s">
        <v>48</v>
      </c>
      <c r="WWZ39" s="134"/>
      <c r="WXA39" s="135"/>
      <c r="WXB39" s="126"/>
      <c r="WXC39" s="126"/>
      <c r="WXD39" s="128"/>
      <c r="WXE39" s="130"/>
      <c r="WXF39" s="132"/>
      <c r="WXG39" s="133" t="s">
        <v>48</v>
      </c>
      <c r="WXH39" s="134"/>
      <c r="WXI39" s="135"/>
      <c r="WXJ39" s="126"/>
      <c r="WXK39" s="126"/>
      <c r="WXL39" s="128"/>
      <c r="WXM39" s="130"/>
      <c r="WXN39" s="132"/>
      <c r="WXO39" s="133" t="s">
        <v>48</v>
      </c>
      <c r="WXP39" s="134"/>
      <c r="WXQ39" s="135"/>
      <c r="WXR39" s="126"/>
      <c r="WXS39" s="126"/>
      <c r="WXT39" s="128"/>
      <c r="WXU39" s="130"/>
      <c r="WXV39" s="132"/>
      <c r="WXW39" s="133" t="s">
        <v>48</v>
      </c>
      <c r="WXX39" s="134"/>
      <c r="WXY39" s="135"/>
      <c r="WXZ39" s="126"/>
      <c r="WYA39" s="126"/>
      <c r="WYB39" s="128"/>
      <c r="WYC39" s="130"/>
      <c r="WYD39" s="132"/>
      <c r="WYE39" s="133" t="s">
        <v>48</v>
      </c>
      <c r="WYF39" s="134"/>
      <c r="WYG39" s="135"/>
      <c r="WYH39" s="126"/>
      <c r="WYI39" s="126"/>
      <c r="WYJ39" s="128"/>
      <c r="WYK39" s="130"/>
      <c r="WYL39" s="132"/>
      <c r="WYM39" s="133" t="s">
        <v>48</v>
      </c>
      <c r="WYN39" s="134"/>
      <c r="WYO39" s="135"/>
      <c r="WYP39" s="126"/>
      <c r="WYQ39" s="126"/>
      <c r="WYR39" s="128"/>
      <c r="WYS39" s="130"/>
      <c r="WYT39" s="132"/>
      <c r="WYU39" s="133" t="s">
        <v>48</v>
      </c>
      <c r="WYV39" s="134"/>
      <c r="WYW39" s="135"/>
      <c r="WYX39" s="126"/>
      <c r="WYY39" s="126"/>
      <c r="WYZ39" s="128"/>
      <c r="WZA39" s="130"/>
      <c r="WZB39" s="132"/>
      <c r="WZC39" s="133" t="s">
        <v>48</v>
      </c>
      <c r="WZD39" s="134"/>
      <c r="WZE39" s="135"/>
      <c r="WZF39" s="126"/>
      <c r="WZG39" s="126"/>
      <c r="WZH39" s="128"/>
      <c r="WZI39" s="130"/>
      <c r="WZJ39" s="132"/>
      <c r="WZK39" s="133" t="s">
        <v>48</v>
      </c>
      <c r="WZL39" s="134"/>
      <c r="WZM39" s="135"/>
      <c r="WZN39" s="126"/>
      <c r="WZO39" s="126"/>
      <c r="WZP39" s="128"/>
      <c r="WZQ39" s="130"/>
      <c r="WZR39" s="132"/>
      <c r="WZS39" s="133" t="s">
        <v>48</v>
      </c>
      <c r="WZT39" s="134"/>
      <c r="WZU39" s="135"/>
      <c r="WZV39" s="126"/>
      <c r="WZW39" s="126"/>
      <c r="WZX39" s="128"/>
      <c r="WZY39" s="130"/>
      <c r="WZZ39" s="132"/>
      <c r="XAA39" s="133" t="s">
        <v>48</v>
      </c>
      <c r="XAB39" s="134"/>
      <c r="XAC39" s="135"/>
      <c r="XAD39" s="126"/>
      <c r="XAE39" s="126"/>
      <c r="XAF39" s="128"/>
      <c r="XAG39" s="130"/>
      <c r="XAH39" s="132"/>
      <c r="XAI39" s="133" t="s">
        <v>48</v>
      </c>
      <c r="XAJ39" s="134"/>
      <c r="XAK39" s="135"/>
      <c r="XAL39" s="126"/>
      <c r="XAM39" s="126"/>
      <c r="XAN39" s="128"/>
      <c r="XAO39" s="130"/>
      <c r="XAP39" s="132"/>
      <c r="XAQ39" s="133" t="s">
        <v>48</v>
      </c>
      <c r="XAR39" s="134"/>
      <c r="XAS39" s="135"/>
      <c r="XAT39" s="126"/>
      <c r="XAU39" s="126"/>
      <c r="XAV39" s="128"/>
      <c r="XAW39" s="130"/>
      <c r="XAX39" s="132"/>
      <c r="XAY39" s="133" t="s">
        <v>48</v>
      </c>
      <c r="XAZ39" s="134"/>
      <c r="XBA39" s="135"/>
      <c r="XBB39" s="126"/>
      <c r="XBC39" s="126"/>
      <c r="XBD39" s="128"/>
      <c r="XBE39" s="130"/>
      <c r="XBF39" s="132"/>
      <c r="XBG39" s="133" t="s">
        <v>48</v>
      </c>
      <c r="XBH39" s="134"/>
      <c r="XBI39" s="135"/>
      <c r="XBJ39" s="126"/>
      <c r="XBK39" s="126"/>
      <c r="XBL39" s="128"/>
      <c r="XBM39" s="130"/>
      <c r="XBN39" s="132"/>
      <c r="XBO39" s="133" t="s">
        <v>48</v>
      </c>
      <c r="XBP39" s="134"/>
      <c r="XBQ39" s="135"/>
      <c r="XBR39" s="126"/>
      <c r="XBS39" s="126"/>
      <c r="XBT39" s="128"/>
      <c r="XBU39" s="130"/>
      <c r="XBV39" s="132"/>
      <c r="XBW39" s="133" t="s">
        <v>48</v>
      </c>
      <c r="XBX39" s="134"/>
      <c r="XBY39" s="135"/>
      <c r="XBZ39" s="126"/>
      <c r="XCA39" s="126"/>
      <c r="XCB39" s="128"/>
      <c r="XCC39" s="130"/>
      <c r="XCD39" s="132"/>
      <c r="XCE39" s="133" t="s">
        <v>48</v>
      </c>
      <c r="XCF39" s="134"/>
      <c r="XCG39" s="135"/>
      <c r="XCH39" s="126"/>
      <c r="XCI39" s="126"/>
      <c r="XCJ39" s="128"/>
      <c r="XCK39" s="130"/>
      <c r="XCL39" s="132"/>
      <c r="XCM39" s="133" t="s">
        <v>48</v>
      </c>
      <c r="XCN39" s="134"/>
      <c r="XCO39" s="135"/>
      <c r="XCP39" s="126"/>
      <c r="XCQ39" s="126"/>
      <c r="XCR39" s="128"/>
      <c r="XCS39" s="130"/>
      <c r="XCT39" s="132"/>
      <c r="XCU39" s="133" t="s">
        <v>48</v>
      </c>
      <c r="XCV39" s="134"/>
      <c r="XCW39" s="135"/>
      <c r="XCX39" s="126"/>
      <c r="XCY39" s="126"/>
      <c r="XCZ39" s="128"/>
      <c r="XDA39" s="130"/>
      <c r="XDB39" s="132"/>
      <c r="XDC39" s="133" t="s">
        <v>48</v>
      </c>
      <c r="XDD39" s="134"/>
      <c r="XDE39" s="135"/>
      <c r="XDF39" s="126"/>
      <c r="XDG39" s="126"/>
      <c r="XDH39" s="128"/>
      <c r="XDI39" s="130"/>
      <c r="XDJ39" s="132"/>
      <c r="XDK39" s="133" t="s">
        <v>48</v>
      </c>
      <c r="XDL39" s="134"/>
      <c r="XDM39" s="135"/>
      <c r="XDN39" s="126"/>
      <c r="XDO39" s="126"/>
      <c r="XDP39" s="128"/>
      <c r="XDQ39" s="130"/>
      <c r="XDR39" s="132"/>
      <c r="XDS39" s="133" t="s">
        <v>48</v>
      </c>
      <c r="XDT39" s="134"/>
      <c r="XDU39" s="135"/>
      <c r="XDV39" s="126"/>
      <c r="XDW39" s="126"/>
      <c r="XDX39" s="128"/>
      <c r="XDY39" s="130"/>
      <c r="XDZ39" s="132"/>
      <c r="XEA39" s="133" t="s">
        <v>48</v>
      </c>
      <c r="XEB39" s="134"/>
      <c r="XEC39" s="135"/>
      <c r="XED39" s="126"/>
      <c r="XEE39" s="126"/>
      <c r="XEF39" s="128"/>
      <c r="XEG39" s="130"/>
      <c r="XEH39" s="132"/>
      <c r="XEI39" s="133" t="s">
        <v>48</v>
      </c>
      <c r="XEJ39" s="134"/>
      <c r="XEK39" s="135"/>
      <c r="XEL39" s="126"/>
      <c r="XEM39" s="126"/>
      <c r="XEN39" s="128"/>
      <c r="XEO39" s="130"/>
      <c r="XEP39" s="132"/>
      <c r="XEQ39" s="133" t="s">
        <v>48</v>
      </c>
      <c r="XER39" s="134"/>
      <c r="XES39" s="135"/>
      <c r="XET39" s="126"/>
      <c r="XEU39" s="126"/>
      <c r="XEV39" s="128"/>
      <c r="XEW39" s="130"/>
      <c r="XEX39" s="132"/>
      <c r="XEY39" s="133" t="s">
        <v>48</v>
      </c>
      <c r="XEZ39" s="134"/>
      <c r="XFA39" s="135"/>
      <c r="XFB39" s="126"/>
      <c r="XFC39" s="126"/>
      <c r="XFD39" s="128"/>
    </row>
    <row r="40" spans="1:16384" customFormat="1" ht="46.5" customHeight="1">
      <c r="A40" s="137"/>
      <c r="B40" s="139"/>
      <c r="C40" s="123" t="s">
        <v>49</v>
      </c>
      <c r="D40" s="92"/>
      <c r="E40" s="93"/>
      <c r="F40" s="80"/>
      <c r="G40" s="80">
        <v>16</v>
      </c>
      <c r="H40" s="81">
        <f t="shared" si="6"/>
        <v>16</v>
      </c>
      <c r="I40" s="116"/>
      <c r="J40" s="92"/>
      <c r="K40" s="117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16384" customFormat="1" ht="46.5" customHeight="1">
      <c r="A41" s="137"/>
      <c r="B41" s="108"/>
      <c r="C41" s="123"/>
      <c r="D41" s="92"/>
      <c r="E41" s="93"/>
      <c r="F41" s="80"/>
      <c r="G41" s="80"/>
      <c r="H41" s="81">
        <f t="shared" si="6"/>
        <v>0</v>
      </c>
      <c r="I41" s="116"/>
      <c r="J41" s="92"/>
      <c r="K41" s="117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16384" customFormat="1" ht="12.75" customHeight="1">
      <c r="A42" s="98"/>
      <c r="B42" s="140" t="s">
        <v>27</v>
      </c>
      <c r="C42" s="92"/>
      <c r="D42" s="92"/>
      <c r="E42" s="93"/>
      <c r="F42" s="82">
        <f t="shared" ref="F42:H42" si="7">SUM(F35:F41)</f>
        <v>56</v>
      </c>
      <c r="G42" s="82">
        <f t="shared" si="7"/>
        <v>40</v>
      </c>
      <c r="H42" s="83">
        <f t="shared" si="7"/>
        <v>96</v>
      </c>
      <c r="I42" s="141" t="s">
        <v>28</v>
      </c>
      <c r="J42" s="92"/>
      <c r="K42" s="117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16384" customFormat="1" ht="34.5" customHeight="1">
      <c r="A43" s="136" t="s">
        <v>50</v>
      </c>
      <c r="B43" s="138" t="s">
        <v>51</v>
      </c>
      <c r="C43" s="123" t="s">
        <v>52</v>
      </c>
      <c r="D43" s="92"/>
      <c r="E43" s="93"/>
      <c r="F43" s="80">
        <v>18</v>
      </c>
      <c r="G43" s="80">
        <v>14</v>
      </c>
      <c r="H43" s="81">
        <f t="shared" ref="H43:H49" si="8">SUM(F43:G43)</f>
        <v>32</v>
      </c>
      <c r="I43" s="116"/>
      <c r="J43" s="92"/>
      <c r="K43" s="117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16384" customFormat="1" ht="34.5" customHeight="1">
      <c r="A44" s="137"/>
      <c r="B44" s="139"/>
      <c r="C44" s="123" t="s">
        <v>53</v>
      </c>
      <c r="D44" s="92"/>
      <c r="E44" s="93"/>
      <c r="F44" s="80">
        <v>18</v>
      </c>
      <c r="G44" s="80">
        <v>14</v>
      </c>
      <c r="H44" s="81">
        <f t="shared" si="8"/>
        <v>32</v>
      </c>
      <c r="I44" s="116"/>
      <c r="J44" s="92"/>
      <c r="K44" s="117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16384" customFormat="1" ht="34.5" customHeight="1">
      <c r="A45" s="137"/>
      <c r="B45" s="139"/>
      <c r="C45" s="123"/>
      <c r="D45" s="92"/>
      <c r="E45" s="93"/>
      <c r="F45" s="80"/>
      <c r="G45" s="80"/>
      <c r="H45" s="81">
        <f t="shared" si="8"/>
        <v>0</v>
      </c>
      <c r="I45" s="116"/>
      <c r="J45" s="92"/>
      <c r="K45" s="117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16384" customFormat="1" ht="34.5" customHeight="1">
      <c r="A46" s="137"/>
      <c r="B46" s="139"/>
      <c r="C46" s="123"/>
      <c r="D46" s="92"/>
      <c r="E46" s="93"/>
      <c r="F46" s="80"/>
      <c r="G46" s="80"/>
      <c r="H46" s="81">
        <f t="shared" si="8"/>
        <v>0</v>
      </c>
      <c r="I46" s="116"/>
      <c r="J46" s="92"/>
      <c r="K46" s="117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16384" customFormat="1" ht="34.5" customHeight="1">
      <c r="A47" s="137"/>
      <c r="B47" s="139"/>
      <c r="C47" s="123"/>
      <c r="D47" s="92"/>
      <c r="E47" s="93"/>
      <c r="F47" s="80"/>
      <c r="G47" s="80"/>
      <c r="H47" s="81">
        <f t="shared" si="8"/>
        <v>0</v>
      </c>
      <c r="I47" s="116"/>
      <c r="J47" s="92"/>
      <c r="K47" s="117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16384" customFormat="1" ht="18.75" customHeight="1">
      <c r="A48" s="137"/>
      <c r="B48" s="139"/>
      <c r="C48" s="123"/>
      <c r="D48" s="92"/>
      <c r="E48" s="93"/>
      <c r="F48" s="80"/>
      <c r="G48" s="80"/>
      <c r="H48" s="81">
        <f t="shared" si="8"/>
        <v>0</v>
      </c>
      <c r="I48" s="116"/>
      <c r="J48" s="92"/>
      <c r="K48" s="117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11" ht="19.5" customHeight="1">
      <c r="A49" s="137"/>
      <c r="B49" s="108"/>
      <c r="C49" s="123"/>
      <c r="D49" s="92"/>
      <c r="E49" s="93"/>
      <c r="F49" s="80"/>
      <c r="G49" s="80"/>
      <c r="H49" s="81">
        <f t="shared" si="8"/>
        <v>0</v>
      </c>
      <c r="I49" s="116"/>
      <c r="J49" s="92"/>
      <c r="K49" s="117"/>
    </row>
    <row r="50" spans="1:11" ht="20.25" customHeight="1">
      <c r="A50" s="98"/>
      <c r="B50" s="140" t="s">
        <v>27</v>
      </c>
      <c r="C50" s="92"/>
      <c r="D50" s="92"/>
      <c r="E50" s="93"/>
      <c r="F50" s="82">
        <f t="shared" ref="F50:H50" si="9">SUM(F43:F49)</f>
        <v>36</v>
      </c>
      <c r="G50" s="82">
        <f t="shared" si="9"/>
        <v>28</v>
      </c>
      <c r="H50" s="83">
        <f t="shared" si="9"/>
        <v>64</v>
      </c>
      <c r="I50" s="141" t="s">
        <v>28</v>
      </c>
      <c r="J50" s="92"/>
      <c r="K50" s="117"/>
    </row>
    <row r="51" spans="1:11" ht="13.5" customHeight="1">
      <c r="A51" s="136" t="s">
        <v>54</v>
      </c>
      <c r="B51" s="138" t="s">
        <v>55</v>
      </c>
      <c r="C51" s="123" t="s">
        <v>56</v>
      </c>
      <c r="D51" s="92"/>
      <c r="E51" s="93"/>
      <c r="F51" s="80">
        <v>18</v>
      </c>
      <c r="G51" s="80">
        <v>14</v>
      </c>
      <c r="H51" s="81">
        <f t="shared" ref="H51:H57" si="10">SUM(F51:G51)</f>
        <v>32</v>
      </c>
      <c r="I51" s="116"/>
      <c r="J51" s="92"/>
      <c r="K51" s="117"/>
    </row>
    <row r="52" spans="1:11" ht="15" customHeight="1">
      <c r="A52" s="137"/>
      <c r="B52" s="139"/>
      <c r="C52" s="123" t="s">
        <v>57</v>
      </c>
      <c r="D52" s="92"/>
      <c r="E52" s="93"/>
      <c r="F52" s="80">
        <v>18</v>
      </c>
      <c r="G52" s="80">
        <v>14</v>
      </c>
      <c r="H52" s="81">
        <f t="shared" si="10"/>
        <v>32</v>
      </c>
      <c r="I52" s="116"/>
      <c r="J52" s="92"/>
      <c r="K52" s="117"/>
    </row>
    <row r="53" spans="1:11">
      <c r="A53" s="137"/>
      <c r="B53" s="139"/>
      <c r="C53" s="123"/>
      <c r="D53" s="92"/>
      <c r="E53" s="93"/>
      <c r="F53" s="80"/>
      <c r="G53" s="80"/>
      <c r="H53" s="81">
        <f t="shared" si="10"/>
        <v>0</v>
      </c>
      <c r="I53" s="116"/>
      <c r="J53" s="92"/>
      <c r="K53" s="117"/>
    </row>
    <row r="54" spans="1:11" ht="15" customHeight="1">
      <c r="A54" s="137"/>
      <c r="B54" s="139"/>
      <c r="C54" s="123"/>
      <c r="D54" s="92"/>
      <c r="E54" s="93"/>
      <c r="F54" s="80"/>
      <c r="G54" s="80"/>
      <c r="H54" s="81">
        <f t="shared" si="10"/>
        <v>0</v>
      </c>
      <c r="I54" s="116"/>
      <c r="J54" s="92"/>
      <c r="K54" s="117"/>
    </row>
    <row r="55" spans="1:11" ht="15" customHeight="1">
      <c r="A55" s="137"/>
      <c r="B55" s="139"/>
      <c r="C55" s="123"/>
      <c r="D55" s="92"/>
      <c r="E55" s="93"/>
      <c r="F55" s="80"/>
      <c r="G55" s="80"/>
      <c r="H55" s="81">
        <f t="shared" si="10"/>
        <v>0</v>
      </c>
      <c r="I55" s="116"/>
      <c r="J55" s="92"/>
      <c r="K55" s="117"/>
    </row>
    <row r="56" spans="1:11" ht="15" customHeight="1">
      <c r="A56" s="137"/>
      <c r="B56" s="139"/>
      <c r="C56" s="123"/>
      <c r="D56" s="92"/>
      <c r="E56" s="93"/>
      <c r="F56" s="80"/>
      <c r="G56" s="80"/>
      <c r="H56" s="81">
        <f t="shared" si="10"/>
        <v>0</v>
      </c>
      <c r="I56" s="116"/>
      <c r="J56" s="92"/>
      <c r="K56" s="117"/>
    </row>
    <row r="57" spans="1:11" ht="15" customHeight="1">
      <c r="A57" s="137"/>
      <c r="B57" s="108"/>
      <c r="C57" s="123"/>
      <c r="D57" s="92"/>
      <c r="E57" s="93"/>
      <c r="F57" s="80"/>
      <c r="G57" s="80"/>
      <c r="H57" s="81">
        <f t="shared" si="10"/>
        <v>0</v>
      </c>
      <c r="I57" s="116"/>
      <c r="J57" s="92"/>
      <c r="K57" s="117"/>
    </row>
    <row r="58" spans="1:11" ht="15" customHeight="1">
      <c r="A58" s="98"/>
      <c r="B58" s="140" t="s">
        <v>27</v>
      </c>
      <c r="C58" s="92"/>
      <c r="D58" s="92"/>
      <c r="E58" s="93"/>
      <c r="F58" s="82">
        <f t="shared" ref="F58:H58" si="11">SUM(F51:F57)</f>
        <v>36</v>
      </c>
      <c r="G58" s="82">
        <f t="shared" si="11"/>
        <v>28</v>
      </c>
      <c r="H58" s="83">
        <f t="shared" si="11"/>
        <v>64</v>
      </c>
      <c r="I58" s="141" t="s">
        <v>28</v>
      </c>
      <c r="J58" s="92"/>
      <c r="K58" s="117"/>
    </row>
    <row r="59" spans="1:11" ht="15" customHeight="1">
      <c r="A59" s="136" t="s">
        <v>58</v>
      </c>
      <c r="B59" s="138" t="s">
        <v>59</v>
      </c>
      <c r="C59" s="123" t="s">
        <v>60</v>
      </c>
      <c r="D59" s="92"/>
      <c r="E59" s="93"/>
      <c r="F59" s="80">
        <v>24</v>
      </c>
      <c r="G59" s="80">
        <v>16</v>
      </c>
      <c r="H59" s="81">
        <f t="shared" ref="H59:H65" si="12">SUM(F59:G59)</f>
        <v>40</v>
      </c>
      <c r="I59" s="116"/>
      <c r="J59" s="92"/>
      <c r="K59" s="117"/>
    </row>
    <row r="60" spans="1:11" ht="15" customHeight="1">
      <c r="A60" s="137"/>
      <c r="B60" s="139"/>
      <c r="C60" s="123"/>
      <c r="D60" s="92"/>
      <c r="E60" s="93"/>
      <c r="F60" s="80"/>
      <c r="G60" s="80"/>
      <c r="H60" s="81">
        <f t="shared" si="12"/>
        <v>0</v>
      </c>
      <c r="I60" s="116"/>
      <c r="J60" s="92"/>
      <c r="K60" s="117"/>
    </row>
    <row r="61" spans="1:11" ht="15" customHeight="1">
      <c r="A61" s="137"/>
      <c r="B61" s="139"/>
      <c r="C61" s="123"/>
      <c r="D61" s="92"/>
      <c r="E61" s="93"/>
      <c r="F61" s="80"/>
      <c r="G61" s="80"/>
      <c r="H61" s="81">
        <f t="shared" si="12"/>
        <v>0</v>
      </c>
      <c r="I61" s="116"/>
      <c r="J61" s="92"/>
      <c r="K61" s="117"/>
    </row>
    <row r="62" spans="1:11" ht="15" customHeight="1">
      <c r="A62" s="137"/>
      <c r="B62" s="139"/>
      <c r="C62" s="123"/>
      <c r="D62" s="92"/>
      <c r="E62" s="93"/>
      <c r="F62" s="80"/>
      <c r="G62" s="80"/>
      <c r="H62" s="81">
        <f t="shared" si="12"/>
        <v>0</v>
      </c>
      <c r="I62" s="116"/>
      <c r="J62" s="92"/>
      <c r="K62" s="117"/>
    </row>
    <row r="63" spans="1:11" ht="15" customHeight="1">
      <c r="A63" s="137"/>
      <c r="B63" s="139"/>
      <c r="C63" s="123"/>
      <c r="D63" s="92"/>
      <c r="E63" s="93"/>
      <c r="F63" s="80"/>
      <c r="G63" s="80"/>
      <c r="H63" s="81">
        <f t="shared" si="12"/>
        <v>0</v>
      </c>
      <c r="I63" s="116"/>
      <c r="J63" s="92"/>
      <c r="K63" s="117"/>
    </row>
    <row r="64" spans="1:11" ht="15" customHeight="1">
      <c r="A64" s="137"/>
      <c r="B64" s="139"/>
      <c r="C64" s="123"/>
      <c r="D64" s="92"/>
      <c r="E64" s="93"/>
      <c r="F64" s="80"/>
      <c r="G64" s="80"/>
      <c r="H64" s="81">
        <f t="shared" si="12"/>
        <v>0</v>
      </c>
      <c r="I64" s="116"/>
      <c r="J64" s="92"/>
      <c r="K64" s="117"/>
    </row>
    <row r="65" spans="1:11" ht="13.5" customHeight="1">
      <c r="A65" s="137"/>
      <c r="B65" s="108"/>
      <c r="C65" s="123"/>
      <c r="D65" s="92"/>
      <c r="E65" s="93"/>
      <c r="F65" s="80"/>
      <c r="G65" s="80"/>
      <c r="H65" s="81">
        <f t="shared" si="12"/>
        <v>0</v>
      </c>
      <c r="I65" s="116"/>
      <c r="J65" s="92"/>
      <c r="K65" s="117"/>
    </row>
    <row r="66" spans="1:11" ht="13.5" customHeight="1">
      <c r="A66" s="98"/>
      <c r="B66" s="140" t="s">
        <v>27</v>
      </c>
      <c r="C66" s="92"/>
      <c r="D66" s="92"/>
      <c r="E66" s="93"/>
      <c r="F66" s="82">
        <f t="shared" ref="F66:H66" si="13">SUM(F59:F65)</f>
        <v>24</v>
      </c>
      <c r="G66" s="82">
        <f t="shared" si="13"/>
        <v>16</v>
      </c>
      <c r="H66" s="83">
        <f t="shared" si="13"/>
        <v>40</v>
      </c>
      <c r="I66" s="141" t="s">
        <v>28</v>
      </c>
      <c r="J66" s="92"/>
      <c r="K66" s="117"/>
    </row>
    <row r="67" spans="1:11" ht="13.5" customHeight="1">
      <c r="A67" s="136" t="s">
        <v>61</v>
      </c>
      <c r="B67" s="138" t="s">
        <v>62</v>
      </c>
      <c r="C67" s="123" t="s">
        <v>63</v>
      </c>
      <c r="D67" s="92"/>
      <c r="E67" s="93"/>
      <c r="F67" s="80">
        <v>15</v>
      </c>
      <c r="G67" s="80">
        <v>13</v>
      </c>
      <c r="H67" s="81">
        <f t="shared" ref="H67:H73" si="14">SUM(F67:G67)</f>
        <v>28</v>
      </c>
      <c r="I67" s="116"/>
      <c r="J67" s="92"/>
      <c r="K67" s="117"/>
    </row>
    <row r="68" spans="1:11" ht="13.5" customHeight="1">
      <c r="A68" s="137"/>
      <c r="B68" s="139"/>
      <c r="C68" s="123" t="s">
        <v>64</v>
      </c>
      <c r="D68" s="92"/>
      <c r="E68" s="93"/>
      <c r="F68" s="80">
        <v>15</v>
      </c>
      <c r="G68" s="80">
        <v>13</v>
      </c>
      <c r="H68" s="81">
        <f t="shared" si="14"/>
        <v>28</v>
      </c>
      <c r="I68" s="116"/>
      <c r="J68" s="92"/>
      <c r="K68" s="117"/>
    </row>
    <row r="69" spans="1:11" ht="13.5" customHeight="1">
      <c r="A69" s="137"/>
      <c r="B69" s="139"/>
      <c r="C69" s="123"/>
      <c r="D69" s="92"/>
      <c r="E69" s="93"/>
      <c r="F69" s="80"/>
      <c r="G69" s="80"/>
      <c r="H69" s="81">
        <f t="shared" si="14"/>
        <v>0</v>
      </c>
      <c r="I69" s="116"/>
      <c r="J69" s="92"/>
      <c r="K69" s="117"/>
    </row>
    <row r="70" spans="1:11" ht="13.5" customHeight="1">
      <c r="A70" s="137"/>
      <c r="B70" s="139"/>
      <c r="C70" s="123"/>
      <c r="D70" s="92"/>
      <c r="E70" s="93"/>
      <c r="F70" s="80"/>
      <c r="G70" s="80"/>
      <c r="H70" s="81">
        <f t="shared" si="14"/>
        <v>0</v>
      </c>
      <c r="I70" s="116"/>
      <c r="J70" s="92"/>
      <c r="K70" s="117"/>
    </row>
    <row r="71" spans="1:11" ht="13.5" customHeight="1">
      <c r="A71" s="137"/>
      <c r="B71" s="139"/>
      <c r="C71" s="123"/>
      <c r="D71" s="92"/>
      <c r="E71" s="93"/>
      <c r="F71" s="80"/>
      <c r="G71" s="80"/>
      <c r="H71" s="81">
        <f t="shared" si="14"/>
        <v>0</v>
      </c>
      <c r="I71" s="116"/>
      <c r="J71" s="92"/>
      <c r="K71" s="117"/>
    </row>
    <row r="72" spans="1:11" ht="13.5" customHeight="1">
      <c r="A72" s="137"/>
      <c r="B72" s="139"/>
      <c r="C72" s="123"/>
      <c r="D72" s="92"/>
      <c r="E72" s="93"/>
      <c r="F72" s="80"/>
      <c r="G72" s="80"/>
      <c r="H72" s="81">
        <f t="shared" si="14"/>
        <v>0</v>
      </c>
      <c r="I72" s="116"/>
      <c r="J72" s="92"/>
      <c r="K72" s="117"/>
    </row>
    <row r="73" spans="1:11" ht="13.5" customHeight="1">
      <c r="A73" s="137"/>
      <c r="B73" s="108"/>
      <c r="C73" s="123"/>
      <c r="D73" s="92"/>
      <c r="E73" s="93"/>
      <c r="F73" s="80"/>
      <c r="G73" s="80"/>
      <c r="H73" s="81">
        <f t="shared" si="14"/>
        <v>0</v>
      </c>
      <c r="I73" s="116"/>
      <c r="J73" s="92"/>
      <c r="K73" s="117"/>
    </row>
    <row r="74" spans="1:11" ht="13.5" customHeight="1">
      <c r="A74" s="98"/>
      <c r="B74" s="140" t="s">
        <v>27</v>
      </c>
      <c r="C74" s="92"/>
      <c r="D74" s="92"/>
      <c r="E74" s="93"/>
      <c r="F74" s="82">
        <f t="shared" ref="F74:H74" si="15">SUM(F67:F73)</f>
        <v>30</v>
      </c>
      <c r="G74" s="82">
        <f t="shared" si="15"/>
        <v>26</v>
      </c>
      <c r="H74" s="83">
        <f t="shared" si="15"/>
        <v>56</v>
      </c>
      <c r="I74" s="141" t="s">
        <v>28</v>
      </c>
      <c r="J74" s="92"/>
      <c r="K74" s="117"/>
    </row>
    <row r="75" spans="1:11" ht="13.5" customHeight="1">
      <c r="A75" s="136" t="s">
        <v>65</v>
      </c>
      <c r="B75" s="138" t="s">
        <v>66</v>
      </c>
      <c r="C75" s="123" t="s">
        <v>67</v>
      </c>
      <c r="D75" s="92"/>
      <c r="E75" s="93"/>
      <c r="F75" s="80">
        <v>14</v>
      </c>
      <c r="G75" s="80">
        <v>12</v>
      </c>
      <c r="H75" s="81">
        <f t="shared" ref="H75:H81" si="16">SUM(F75:G75)</f>
        <v>26</v>
      </c>
      <c r="I75" s="116"/>
      <c r="J75" s="92"/>
      <c r="K75" s="117"/>
    </row>
    <row r="76" spans="1:11" ht="13.5" customHeight="1">
      <c r="A76" s="137"/>
      <c r="B76" s="139"/>
      <c r="C76" s="123" t="s">
        <v>68</v>
      </c>
      <c r="D76" s="92"/>
      <c r="E76" s="93"/>
      <c r="F76" s="80">
        <v>14</v>
      </c>
      <c r="G76" s="80">
        <v>12</v>
      </c>
      <c r="H76" s="81">
        <f t="shared" si="16"/>
        <v>26</v>
      </c>
      <c r="I76" s="116"/>
      <c r="J76" s="92"/>
      <c r="K76" s="117"/>
    </row>
    <row r="77" spans="1:11" ht="13.5" customHeight="1">
      <c r="A77" s="137"/>
      <c r="B77" s="139"/>
      <c r="C77" s="123"/>
      <c r="D77" s="92"/>
      <c r="E77" s="93"/>
      <c r="F77" s="80"/>
      <c r="G77" s="80"/>
      <c r="H77" s="81">
        <f t="shared" si="16"/>
        <v>0</v>
      </c>
      <c r="I77" s="116"/>
      <c r="J77" s="92"/>
      <c r="K77" s="117"/>
    </row>
    <row r="78" spans="1:11" ht="13.5" customHeight="1">
      <c r="A78" s="137"/>
      <c r="B78" s="139"/>
      <c r="C78" s="123"/>
      <c r="D78" s="92"/>
      <c r="E78" s="93"/>
      <c r="F78" s="80"/>
      <c r="G78" s="80"/>
      <c r="H78" s="81">
        <f t="shared" si="16"/>
        <v>0</v>
      </c>
      <c r="I78" s="116"/>
      <c r="J78" s="92"/>
      <c r="K78" s="117"/>
    </row>
    <row r="79" spans="1:11" ht="13.5" customHeight="1">
      <c r="A79" s="137"/>
      <c r="B79" s="139"/>
      <c r="C79" s="123"/>
      <c r="D79" s="92"/>
      <c r="E79" s="93"/>
      <c r="F79" s="80"/>
      <c r="G79" s="80"/>
      <c r="H79" s="81">
        <f t="shared" si="16"/>
        <v>0</v>
      </c>
      <c r="I79" s="116"/>
      <c r="J79" s="92"/>
      <c r="K79" s="117"/>
    </row>
    <row r="80" spans="1:11" ht="13.5" customHeight="1">
      <c r="A80" s="137"/>
      <c r="B80" s="139"/>
      <c r="C80" s="123"/>
      <c r="D80" s="92"/>
      <c r="E80" s="93"/>
      <c r="F80" s="80"/>
      <c r="G80" s="80"/>
      <c r="H80" s="81">
        <f t="shared" si="16"/>
        <v>0</v>
      </c>
      <c r="I80" s="116"/>
      <c r="J80" s="92"/>
      <c r="K80" s="117"/>
    </row>
    <row r="81" spans="1:11" ht="13.5" customHeight="1">
      <c r="A81" s="137"/>
      <c r="B81" s="108"/>
      <c r="C81" s="123"/>
      <c r="D81" s="92"/>
      <c r="E81" s="93"/>
      <c r="F81" s="80"/>
      <c r="G81" s="80"/>
      <c r="H81" s="81">
        <f t="shared" si="16"/>
        <v>0</v>
      </c>
      <c r="I81" s="116"/>
      <c r="J81" s="92"/>
      <c r="K81" s="117"/>
    </row>
    <row r="82" spans="1:11" ht="13.5" customHeight="1">
      <c r="A82" s="98"/>
      <c r="B82" s="140" t="s">
        <v>27</v>
      </c>
      <c r="C82" s="92"/>
      <c r="D82" s="92"/>
      <c r="E82" s="93"/>
      <c r="F82" s="82">
        <f t="shared" ref="F82:H82" si="17">SUM(F75:F81)</f>
        <v>28</v>
      </c>
      <c r="G82" s="82">
        <f t="shared" si="17"/>
        <v>24</v>
      </c>
      <c r="H82" s="83">
        <f t="shared" si="17"/>
        <v>52</v>
      </c>
      <c r="I82" s="141" t="s">
        <v>28</v>
      </c>
      <c r="J82" s="92"/>
      <c r="K82" s="117"/>
    </row>
    <row r="83" spans="1:11" ht="13.5" customHeight="1">
      <c r="A83" s="84" t="s">
        <v>46</v>
      </c>
      <c r="B83" s="85" t="s">
        <v>69</v>
      </c>
      <c r="C83" s="148" t="s">
        <v>70</v>
      </c>
      <c r="D83" s="92"/>
      <c r="E83" s="93"/>
      <c r="F83" s="80"/>
      <c r="G83" s="80">
        <v>80</v>
      </c>
      <c r="H83" s="81">
        <f t="shared" ref="H83:H86" si="18">SUM(F83:G83)</f>
        <v>80</v>
      </c>
      <c r="I83" s="116"/>
      <c r="J83" s="92"/>
      <c r="K83" s="117"/>
    </row>
    <row r="84" spans="1:11" ht="13.5" customHeight="1">
      <c r="A84" s="84" t="s">
        <v>71</v>
      </c>
      <c r="B84" s="85" t="s">
        <v>72</v>
      </c>
      <c r="C84" s="148" t="s">
        <v>73</v>
      </c>
      <c r="D84" s="92"/>
      <c r="E84" s="93"/>
      <c r="F84" s="80"/>
      <c r="G84" s="80">
        <v>100</v>
      </c>
      <c r="H84" s="81">
        <f t="shared" si="18"/>
        <v>100</v>
      </c>
      <c r="I84" s="116"/>
      <c r="J84" s="92"/>
      <c r="K84" s="117"/>
    </row>
    <row r="85" spans="1:11" ht="13.5" customHeight="1">
      <c r="A85" s="84" t="s">
        <v>74</v>
      </c>
      <c r="B85" s="85" t="s">
        <v>75</v>
      </c>
      <c r="C85" s="148" t="s">
        <v>76</v>
      </c>
      <c r="D85" s="92"/>
      <c r="E85" s="93"/>
      <c r="F85" s="80"/>
      <c r="G85" s="80">
        <v>100</v>
      </c>
      <c r="H85" s="81">
        <f t="shared" si="18"/>
        <v>100</v>
      </c>
      <c r="I85" s="116"/>
      <c r="J85" s="92"/>
      <c r="K85" s="117"/>
    </row>
    <row r="86" spans="1:11" ht="13.5" customHeight="1">
      <c r="A86" s="84" t="s">
        <v>77</v>
      </c>
      <c r="B86" s="85"/>
      <c r="C86" s="123"/>
      <c r="D86" s="92"/>
      <c r="E86" s="93"/>
      <c r="F86" s="80"/>
      <c r="G86" s="80"/>
      <c r="H86" s="81">
        <f t="shared" si="18"/>
        <v>0</v>
      </c>
      <c r="I86" s="116"/>
      <c r="J86" s="92"/>
      <c r="K86" s="117"/>
    </row>
    <row r="87" spans="1:11" ht="13.5" customHeight="1">
      <c r="A87" s="142" t="s">
        <v>27</v>
      </c>
      <c r="B87" s="92"/>
      <c r="C87" s="92"/>
      <c r="D87" s="92"/>
      <c r="E87" s="93"/>
      <c r="F87" s="82">
        <f t="shared" ref="F87:H87" si="19">SUM(F83:F86)</f>
        <v>0</v>
      </c>
      <c r="G87" s="82">
        <f t="shared" si="19"/>
        <v>280</v>
      </c>
      <c r="H87" s="83">
        <f t="shared" si="19"/>
        <v>280</v>
      </c>
      <c r="I87" s="141" t="s">
        <v>28</v>
      </c>
      <c r="J87" s="92"/>
      <c r="K87" s="117"/>
    </row>
    <row r="88" spans="1:11" ht="13.5" customHeight="1">
      <c r="A88" s="86" t="s">
        <v>78</v>
      </c>
      <c r="B88" s="87" t="s">
        <v>79</v>
      </c>
      <c r="C88" s="148" t="s">
        <v>80</v>
      </c>
      <c r="D88" s="92"/>
      <c r="E88" s="93"/>
      <c r="F88" s="80">
        <v>4</v>
      </c>
      <c r="G88" s="80"/>
      <c r="H88" s="81">
        <f t="shared" ref="H88:H92" si="20">SUM(F88:G88)</f>
        <v>4</v>
      </c>
      <c r="I88" s="116"/>
      <c r="J88" s="92"/>
      <c r="K88" s="117"/>
    </row>
    <row r="89" spans="1:11" ht="13.5" customHeight="1">
      <c r="A89" s="86" t="s">
        <v>81</v>
      </c>
      <c r="B89" s="87" t="s">
        <v>82</v>
      </c>
      <c r="C89" s="148" t="s">
        <v>83</v>
      </c>
      <c r="D89" s="92"/>
      <c r="E89" s="93"/>
      <c r="F89" s="80">
        <v>8</v>
      </c>
      <c r="G89" s="80"/>
      <c r="H89" s="81">
        <f t="shared" si="20"/>
        <v>8</v>
      </c>
      <c r="I89" s="116"/>
      <c r="J89" s="92"/>
      <c r="K89" s="117"/>
    </row>
    <row r="90" spans="1:11" ht="13.5" customHeight="1">
      <c r="A90" s="86" t="s">
        <v>84</v>
      </c>
      <c r="B90" s="87" t="s">
        <v>85</v>
      </c>
      <c r="C90" s="148" t="s">
        <v>86</v>
      </c>
      <c r="D90" s="92"/>
      <c r="E90" s="93"/>
      <c r="F90" s="80">
        <v>8</v>
      </c>
      <c r="G90" s="80"/>
      <c r="H90" s="81">
        <f t="shared" si="20"/>
        <v>8</v>
      </c>
      <c r="I90" s="116"/>
      <c r="J90" s="92"/>
      <c r="K90" s="117"/>
    </row>
    <row r="91" spans="1:11" ht="13.5" customHeight="1">
      <c r="A91" s="86" t="s">
        <v>87</v>
      </c>
      <c r="B91" s="87"/>
      <c r="C91" s="123"/>
      <c r="D91" s="92"/>
      <c r="E91" s="93"/>
      <c r="F91" s="80"/>
      <c r="G91" s="80"/>
      <c r="H91" s="81">
        <f t="shared" si="20"/>
        <v>0</v>
      </c>
      <c r="I91" s="116"/>
      <c r="J91" s="92"/>
      <c r="K91" s="117"/>
    </row>
    <row r="92" spans="1:11" ht="13.5" customHeight="1">
      <c r="A92" s="86" t="s">
        <v>88</v>
      </c>
      <c r="B92" s="87"/>
      <c r="C92" s="123"/>
      <c r="D92" s="92"/>
      <c r="E92" s="93"/>
      <c r="F92" s="80"/>
      <c r="G92" s="80"/>
      <c r="H92" s="81">
        <f t="shared" si="20"/>
        <v>0</v>
      </c>
      <c r="I92" s="116"/>
      <c r="J92" s="92"/>
      <c r="K92" s="117"/>
    </row>
    <row r="93" spans="1:11" ht="13.5" customHeight="1">
      <c r="A93" s="142" t="s">
        <v>27</v>
      </c>
      <c r="B93" s="92"/>
      <c r="C93" s="92"/>
      <c r="D93" s="92"/>
      <c r="E93" s="93"/>
      <c r="F93" s="82">
        <f t="shared" ref="F93:H93" si="21">SUM(F88:F92)</f>
        <v>20</v>
      </c>
      <c r="G93" s="82">
        <f t="shared" si="21"/>
        <v>0</v>
      </c>
      <c r="H93" s="83">
        <f t="shared" si="21"/>
        <v>20</v>
      </c>
      <c r="I93" s="141" t="s">
        <v>28</v>
      </c>
      <c r="J93" s="92"/>
      <c r="K93" s="117"/>
    </row>
    <row r="94" spans="1:11" ht="13.5" customHeight="1">
      <c r="A94" s="143" t="s">
        <v>22</v>
      </c>
      <c r="B94" s="144"/>
      <c r="C94" s="144"/>
      <c r="D94" s="144"/>
      <c r="E94" s="145"/>
      <c r="F94" s="88">
        <f t="shared" ref="F94:G94" si="22">F18+F26+F58+F87+F93</f>
        <v>104</v>
      </c>
      <c r="G94" s="88">
        <f t="shared" si="22"/>
        <v>340</v>
      </c>
      <c r="H94" s="89">
        <f>H18+H26+H58+H87+H93+H34+H42+H50+H66+H74+H82</f>
        <v>800</v>
      </c>
      <c r="I94" s="146" t="s">
        <v>28</v>
      </c>
      <c r="J94" s="144"/>
      <c r="K94" s="147"/>
    </row>
    <row r="95" spans="1:11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1:11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11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1:11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1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spans="1:11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spans="1:11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spans="1:11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spans="1:11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spans="1:11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1:11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spans="1:11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1:11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1:11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1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spans="1:11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spans="1:11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spans="1:11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spans="1:11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spans="1:11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spans="1:11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spans="1:1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1:11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spans="1:11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spans="1:11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1:11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spans="1:11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11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spans="1:11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spans="1:11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spans="1:11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spans="1:1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spans="1:11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spans="1:11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spans="1:11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1:11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spans="1:11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spans="1:11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1:11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spans="1:11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spans="1:11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spans="1:1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spans="1:11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spans="1:11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spans="1:11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spans="1:11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spans="1:11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spans="1:11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spans="1:11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spans="1:11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11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spans="1:1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spans="1:11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11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spans="1:11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spans="1:11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spans="1:11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spans="1:11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spans="1:11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spans="1:11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spans="1:11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spans="1:1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spans="1:11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spans="1:11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spans="1:11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spans="1:11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spans="1:11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pans="1:11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spans="1:11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spans="1:11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spans="1:11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spans="1:1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spans="1:11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spans="1:11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spans="1:11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spans="1:11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spans="1:11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spans="1:11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spans="1:11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spans="1:11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spans="1:11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spans="1:1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spans="1:11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spans="1:11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spans="1:11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spans="1:11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spans="1:11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spans="1:11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spans="1:11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spans="1:11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spans="1:11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spans="1:1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spans="1:11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spans="1:11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spans="1:11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spans="1:11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spans="1:11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spans="1:11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spans="1:11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spans="1:11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spans="1:11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spans="1: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spans="1:11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spans="1:11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spans="1:11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spans="1:11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spans="1:11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spans="1:11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spans="1:11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spans="1:11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spans="1:11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spans="1:1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spans="1:11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spans="1:11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spans="1:11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spans="1:11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spans="1:11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spans="1:11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spans="1:11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spans="1:11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spans="1:11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spans="1:1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spans="1:11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spans="1:11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spans="1:11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spans="1:11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spans="1:11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spans="1:11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spans="1:11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spans="1:11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spans="1:11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spans="1:1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spans="1:11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spans="1:11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spans="1:11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spans="1:11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spans="1:11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spans="1:11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spans="1:11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spans="1:11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spans="1:11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spans="1:1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spans="1:11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spans="1:11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spans="1:11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spans="1:11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spans="1:11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spans="1:11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spans="1:11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spans="1:11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spans="1:11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spans="1:1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spans="1:11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spans="1:11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spans="1:11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spans="1:11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spans="1:11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spans="1:11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spans="1:11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spans="1:11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spans="1:11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spans="1:1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spans="1:11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spans="1:11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spans="1:11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spans="1:11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spans="1:11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spans="1:11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spans="1:11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spans="1:11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spans="1:11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spans="1:1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spans="1:11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spans="1:11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spans="1:11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spans="1:11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spans="1:11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spans="1:11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spans="1:11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spans="1:11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spans="1:11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spans="1:1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spans="1:11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spans="1:11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spans="1:11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spans="1:11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spans="1:11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spans="1:11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spans="1:11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spans="1:11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spans="1:11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spans="1:1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spans="1:11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spans="1:11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spans="1:11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spans="1:11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spans="1:11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spans="1:11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spans="1:11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spans="1:11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spans="1:11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spans="1: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spans="1:11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spans="1:11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spans="1:11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spans="1:11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spans="1:11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spans="1:11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spans="1:11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spans="1:11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spans="1:11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spans="1:1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spans="1:11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spans="1:11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spans="1:11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spans="1:11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spans="1:11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spans="1:11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spans="1:11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spans="1:11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spans="1:11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spans="1:1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spans="1:11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spans="1:11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spans="1:11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spans="1:11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spans="1:11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spans="1:11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spans="1:11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spans="1:11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spans="1:11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spans="1:1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spans="1:11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spans="1:11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spans="1:11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spans="1:11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spans="1:11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spans="1:11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spans="1:11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spans="1:11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spans="1:11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spans="1:1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spans="1:11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spans="1:11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spans="1:11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spans="1:11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spans="1:11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spans="1:11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spans="1:11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spans="1:11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spans="1:11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spans="1:1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spans="1:11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spans="1:11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spans="1:11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spans="1:11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spans="1:11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spans="1:11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spans="1:11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spans="1:11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spans="1:11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spans="1:1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spans="1:11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spans="1:11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spans="1:11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spans="1:11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spans="1:11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spans="1:11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spans="1:11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spans="1:11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spans="1:11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spans="1:1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spans="1:11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spans="1:11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spans="1:11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spans="1:11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spans="1:11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spans="1:11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spans="1:11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spans="1:11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spans="1:11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spans="1:1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spans="1:11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spans="1:11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spans="1:11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spans="1:11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spans="1:11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spans="1:11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spans="1:11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spans="1:11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spans="1:11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spans="1:1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spans="1:11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spans="1:11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spans="1:11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spans="1:11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spans="1:11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spans="1:11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spans="1:11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spans="1:11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spans="1:11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spans="1: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spans="1:11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spans="1:11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spans="1:11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spans="1:11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spans="1:11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spans="1:11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spans="1:11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spans="1:11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spans="1:11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spans="1:1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spans="1:11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spans="1:11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spans="1:11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spans="1:11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spans="1:11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spans="1:11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spans="1:11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spans="1:11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spans="1:11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spans="1:1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spans="1:11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spans="1:11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spans="1:11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spans="1:11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spans="1:11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spans="1:11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spans="1:11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spans="1:11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spans="1:11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spans="1:1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spans="1:11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spans="1:11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spans="1:11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spans="1:11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spans="1:11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spans="1:11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spans="1:11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spans="1:11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spans="1:11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spans="1:1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spans="1:11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spans="1:11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spans="1:11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spans="1:11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spans="1:11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spans="1:11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spans="1:11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spans="1:11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spans="1:11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spans="1:1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spans="1:11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spans="1:11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spans="1:11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spans="1:11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spans="1:11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spans="1:11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spans="1:11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spans="1:11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spans="1:11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spans="1:1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spans="1:11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spans="1:11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spans="1:11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spans="1:11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spans="1:11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spans="1:11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spans="1:11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spans="1:11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spans="1:11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spans="1:1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spans="1:11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spans="1:11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spans="1:11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spans="1:11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spans="1:11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spans="1:11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spans="1:11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spans="1:11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spans="1:11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spans="1:1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spans="1:11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spans="1:11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spans="1:11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spans="1:11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spans="1:11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spans="1:11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spans="1:11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spans="1:11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spans="1:11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spans="1:1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spans="1:11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spans="1:11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spans="1:11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spans="1:11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spans="1:11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spans="1:11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spans="1:11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spans="1:11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spans="1:11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spans="1: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spans="1:11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spans="1:11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spans="1:11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spans="1:11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spans="1:11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spans="1:11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spans="1:11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spans="1:11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spans="1:11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spans="1:1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spans="1:11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spans="1:11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spans="1:11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spans="1:11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spans="1:11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spans="1:11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spans="1:11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spans="1:11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spans="1:11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spans="1:1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spans="1:11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spans="1:11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spans="1:11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spans="1:11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spans="1:11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spans="1:11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spans="1:11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spans="1:11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spans="1:11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spans="1:1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spans="1:11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spans="1:11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spans="1:11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spans="1:11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spans="1:11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spans="1:11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spans="1:11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spans="1:11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spans="1:11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spans="1:1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spans="1:11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spans="1:11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spans="1:11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spans="1:11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spans="1:11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spans="1:11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spans="1:11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spans="1:11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spans="1:11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spans="1:1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spans="1:11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spans="1:11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spans="1:11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spans="1:11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spans="1:11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spans="1:11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spans="1:11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spans="1:11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spans="1:11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spans="1:1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spans="1:11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spans="1:11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spans="1:11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spans="1:11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spans="1:11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spans="1:11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spans="1:11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spans="1:11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spans="1:11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spans="1:1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spans="1:11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spans="1:11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spans="1:11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spans="1:11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spans="1:11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spans="1:11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spans="1:11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spans="1:11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spans="1:11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spans="1:1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spans="1:11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spans="1:11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spans="1:11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spans="1:11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spans="1:11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spans="1:11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spans="1:11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spans="1:11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spans="1:11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spans="1:1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spans="1:11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spans="1:11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spans="1:11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spans="1:11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spans="1:11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spans="1:11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spans="1:11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spans="1:11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spans="1:11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spans="1: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spans="1:11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spans="1:11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spans="1:11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spans="1:11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spans="1:11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spans="1:11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spans="1:11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spans="1:11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spans="1:11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spans="1:1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spans="1:11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spans="1:11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spans="1:11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spans="1:11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spans="1:11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spans="1:11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spans="1:11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spans="1:11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spans="1:11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spans="1:1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spans="1:11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spans="1:11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spans="1:11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spans="1:11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spans="1:11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spans="1:11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spans="1:11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spans="1:11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spans="1:11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spans="1:1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spans="1:11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spans="1:11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spans="1:11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spans="1:11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spans="1:11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spans="1:11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spans="1:11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spans="1:11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spans="1:11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spans="1:1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spans="1:11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spans="1:11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spans="1:11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spans="1:11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spans="1:11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spans="1:11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spans="1:11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spans="1:11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spans="1:11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spans="1:1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spans="1:11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spans="1:11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spans="1:11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spans="1:11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spans="1:11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spans="1:11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spans="1:11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spans="1:11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spans="1:11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spans="1:1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spans="1:11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spans="1:11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spans="1:11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spans="1:11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spans="1:11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spans="1:11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spans="1:11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spans="1:11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spans="1:11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spans="1:1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spans="1:11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spans="1:11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spans="1:11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spans="1:11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spans="1:11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spans="1:11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spans="1:11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spans="1:11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spans="1:11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spans="1:1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spans="1:11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spans="1:11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spans="1:11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spans="1:11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spans="1:11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spans="1:11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spans="1:11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spans="1:11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spans="1:11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spans="1:1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spans="1:11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spans="1:11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spans="1:11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spans="1:11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spans="1:11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spans="1:11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spans="1:11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spans="1:11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spans="1:11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spans="1: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spans="1:11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spans="1:11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spans="1:11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spans="1:11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spans="1:11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spans="1:11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spans="1:11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spans="1:11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spans="1:11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spans="1:1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spans="1:11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spans="1:11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spans="1:11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spans="1:11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spans="1:11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spans="1:11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spans="1:11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spans="1:11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spans="1:11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spans="1:1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spans="1:11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spans="1:11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spans="1:11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spans="1:11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spans="1:11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spans="1:11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spans="1:11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spans="1:11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spans="1:11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spans="1:1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spans="1:11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spans="1:11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spans="1:11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spans="1:11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spans="1:11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spans="1:11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spans="1:11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spans="1:11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spans="1:11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spans="1:1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spans="1:11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spans="1:11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spans="1:11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spans="1:11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spans="1:11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spans="1:11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spans="1:11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spans="1:11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spans="1:11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spans="1:1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spans="1:11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spans="1:11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spans="1:11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spans="1:11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spans="1:11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spans="1:11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spans="1:11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spans="1:11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spans="1:11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spans="1:1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spans="1:11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spans="1:11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spans="1:11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spans="1:11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spans="1:11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spans="1:11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spans="1:11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spans="1:11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spans="1:11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spans="1:1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spans="1:11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spans="1:11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spans="1:11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spans="1:11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spans="1:11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spans="1:11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spans="1:11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spans="1:11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spans="1:11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spans="1:1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spans="1:11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spans="1:11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spans="1:11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spans="1:11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spans="1:11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spans="1:11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spans="1:11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spans="1:11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spans="1:11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spans="1:1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spans="1:11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spans="1:11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spans="1:11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spans="1:11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spans="1:11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spans="1:11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spans="1:11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spans="1:11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spans="1:11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spans="1: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spans="1:11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spans="1:11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spans="1:11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spans="1:11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spans="1:11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spans="1:11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spans="1:11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spans="1:11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spans="1:11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spans="1:1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spans="1:11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spans="1:11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spans="1:11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spans="1:11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spans="1:11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spans="1:11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spans="1:11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spans="1:11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spans="1:11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spans="1:1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spans="1:11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spans="1:11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spans="1:11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spans="1:11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spans="1:11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spans="1:11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spans="1:11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spans="1:11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spans="1:11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spans="1:1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spans="1:11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spans="1:11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spans="1:11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spans="1:11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spans="1:11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spans="1:11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spans="1:11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spans="1:11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spans="1:11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spans="1:1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spans="1:11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spans="1:11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spans="1:11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spans="1:11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spans="1:11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spans="1:11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spans="1:11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spans="1:11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spans="1:11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spans="1:1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spans="1:11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spans="1:11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spans="1:11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spans="1:11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spans="1:11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spans="1:11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spans="1:11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spans="1:11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spans="1:11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spans="1:1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spans="1:11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spans="1:11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spans="1:11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spans="1:11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spans="1:11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spans="1:11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spans="1:11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spans="1:11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spans="1:11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spans="1:1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spans="1:11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spans="1:11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spans="1:11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spans="1:11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spans="1:11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spans="1:11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spans="1:11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spans="1:11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spans="1:11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spans="1:1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spans="1:11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spans="1:11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spans="1:11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spans="1:11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spans="1:11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spans="1:11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spans="1:11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spans="1:11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spans="1:11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spans="1:1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spans="1:11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spans="1:11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spans="1:11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spans="1:11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spans="1:11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spans="1:11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spans="1:11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spans="1:11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spans="1:11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spans="1: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spans="1:11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spans="1:11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spans="1:11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spans="1:11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spans="1:11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spans="1:11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spans="1:11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spans="1:11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spans="1:11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spans="1:1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spans="1:11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spans="1:11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spans="1:11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spans="1:11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spans="1:11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spans="1:11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spans="1:11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spans="1:11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spans="1:11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spans="1:1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spans="1:11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spans="1:11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spans="1:11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spans="1:11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spans="1:11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spans="1:11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spans="1:11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spans="1:11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spans="1:11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spans="1:1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spans="1:11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spans="1:11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spans="1:11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spans="1:11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spans="1:11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spans="1:11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spans="1:11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spans="1:11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spans="1:11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spans="1:1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spans="1:11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spans="1:11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spans="1:11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spans="1:11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spans="1:11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spans="1:11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spans="1:11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spans="1:11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spans="1:11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spans="1:1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spans="1:11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spans="1:11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spans="1:11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spans="1:11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spans="1:11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spans="1:11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spans="1:11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spans="1:11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spans="1:11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spans="1:1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spans="1:11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spans="1:11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spans="1:11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spans="1:11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spans="1:11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spans="1:11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spans="1:11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spans="1:11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spans="1:11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spans="1:1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spans="1:11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spans="1:11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</sheetData>
  <mergeCells count="14365">
    <mergeCell ref="C91:E91"/>
    <mergeCell ref="I91:K91"/>
    <mergeCell ref="C92:E92"/>
    <mergeCell ref="I92:K92"/>
    <mergeCell ref="A93:E93"/>
    <mergeCell ref="I93:K93"/>
    <mergeCell ref="A94:E94"/>
    <mergeCell ref="I94:K94"/>
    <mergeCell ref="A75:A82"/>
    <mergeCell ref="B75:B81"/>
    <mergeCell ref="C75:E75"/>
    <mergeCell ref="I75:K75"/>
    <mergeCell ref="C76:E76"/>
    <mergeCell ref="I76:K76"/>
    <mergeCell ref="C77:E77"/>
    <mergeCell ref="I77:K77"/>
    <mergeCell ref="C78:E78"/>
    <mergeCell ref="I78:K78"/>
    <mergeCell ref="C79:E79"/>
    <mergeCell ref="I79:K79"/>
    <mergeCell ref="C80:E80"/>
    <mergeCell ref="I80:K80"/>
    <mergeCell ref="C81:E81"/>
    <mergeCell ref="I81:K81"/>
    <mergeCell ref="B82:E82"/>
    <mergeCell ref="I82:K82"/>
    <mergeCell ref="C83:E83"/>
    <mergeCell ref="I83:K83"/>
    <mergeCell ref="C84:E84"/>
    <mergeCell ref="I84:K84"/>
    <mergeCell ref="C85:E85"/>
    <mergeCell ref="I85:K85"/>
    <mergeCell ref="C86:E86"/>
    <mergeCell ref="I86:K86"/>
    <mergeCell ref="A87:E87"/>
    <mergeCell ref="I87:K87"/>
    <mergeCell ref="C88:E88"/>
    <mergeCell ref="I88:K88"/>
    <mergeCell ref="C89:E89"/>
    <mergeCell ref="I89:K89"/>
    <mergeCell ref="C90:E90"/>
    <mergeCell ref="I90:K90"/>
    <mergeCell ref="A59:A66"/>
    <mergeCell ref="B59:B65"/>
    <mergeCell ref="C59:E59"/>
    <mergeCell ref="I59:K59"/>
    <mergeCell ref="C60:E60"/>
    <mergeCell ref="I60:K60"/>
    <mergeCell ref="C61:E61"/>
    <mergeCell ref="I61:K61"/>
    <mergeCell ref="C62:E62"/>
    <mergeCell ref="I62:K62"/>
    <mergeCell ref="C63:E63"/>
    <mergeCell ref="I63:K63"/>
    <mergeCell ref="C64:E64"/>
    <mergeCell ref="I64:K64"/>
    <mergeCell ref="C65:E65"/>
    <mergeCell ref="I65:K65"/>
    <mergeCell ref="B66:E66"/>
    <mergeCell ref="I66:K66"/>
    <mergeCell ref="A67:A74"/>
    <mergeCell ref="B67:B73"/>
    <mergeCell ref="C67:E67"/>
    <mergeCell ref="I67:K67"/>
    <mergeCell ref="C68:E68"/>
    <mergeCell ref="I68:K68"/>
    <mergeCell ref="C69:E69"/>
    <mergeCell ref="I69:K69"/>
    <mergeCell ref="C70:E70"/>
    <mergeCell ref="I70:K70"/>
    <mergeCell ref="C71:E71"/>
    <mergeCell ref="I71:K71"/>
    <mergeCell ref="C72:E72"/>
    <mergeCell ref="I72:K72"/>
    <mergeCell ref="C73:E73"/>
    <mergeCell ref="I73:K73"/>
    <mergeCell ref="B74:E74"/>
    <mergeCell ref="I74:K74"/>
    <mergeCell ref="I52:K52"/>
    <mergeCell ref="C40:E40"/>
    <mergeCell ref="C41:E41"/>
    <mergeCell ref="C43:E43"/>
    <mergeCell ref="C44:E44"/>
    <mergeCell ref="C46:E46"/>
    <mergeCell ref="C47:E47"/>
    <mergeCell ref="C48:E48"/>
    <mergeCell ref="C49:E49"/>
    <mergeCell ref="I38:K38"/>
    <mergeCell ref="I39:K39"/>
    <mergeCell ref="I40:K40"/>
    <mergeCell ref="I41:K41"/>
    <mergeCell ref="I42:K42"/>
    <mergeCell ref="I43:K43"/>
    <mergeCell ref="I44:K44"/>
    <mergeCell ref="I45:K45"/>
    <mergeCell ref="I51:K51"/>
    <mergeCell ref="A35:A42"/>
    <mergeCell ref="B35:B41"/>
    <mergeCell ref="B42:E42"/>
    <mergeCell ref="A43:A50"/>
    <mergeCell ref="B43:B49"/>
    <mergeCell ref="C45:E45"/>
    <mergeCell ref="I46:K46"/>
    <mergeCell ref="I47:K47"/>
    <mergeCell ref="I48:K48"/>
    <mergeCell ref="I49:K49"/>
    <mergeCell ref="B50:E50"/>
    <mergeCell ref="I50:K50"/>
    <mergeCell ref="A51:A58"/>
    <mergeCell ref="B51:B57"/>
    <mergeCell ref="C51:E51"/>
    <mergeCell ref="C52:E52"/>
    <mergeCell ref="C53:E53"/>
    <mergeCell ref="I53:K53"/>
    <mergeCell ref="C54:E54"/>
    <mergeCell ref="I54:K54"/>
    <mergeCell ref="C55:E55"/>
    <mergeCell ref="I55:K55"/>
    <mergeCell ref="C56:E56"/>
    <mergeCell ref="I56:K56"/>
    <mergeCell ref="C57:E57"/>
    <mergeCell ref="I57:K57"/>
    <mergeCell ref="B58:E58"/>
    <mergeCell ref="I58:K58"/>
    <mergeCell ref="XET38:XET39"/>
    <mergeCell ref="XEU38:XEU39"/>
    <mergeCell ref="XEV38:XEV39"/>
    <mergeCell ref="XEW38:XEW39"/>
    <mergeCell ref="XEX38:XEX39"/>
    <mergeCell ref="XEY38:XFA38"/>
    <mergeCell ref="XFB38:XFB39"/>
    <mergeCell ref="XFC38:XFC39"/>
    <mergeCell ref="XFD38:XFD39"/>
    <mergeCell ref="XEY39:XFA39"/>
    <mergeCell ref="XEG38:XEG39"/>
    <mergeCell ref="XEH38:XEH39"/>
    <mergeCell ref="XEI38:XEK38"/>
    <mergeCell ref="XEL38:XEL39"/>
    <mergeCell ref="XEM38:XEM39"/>
    <mergeCell ref="XEN38:XEN39"/>
    <mergeCell ref="XEO38:XEO39"/>
    <mergeCell ref="XEP38:XEP39"/>
    <mergeCell ref="XEQ38:XES38"/>
    <mergeCell ref="XEI39:XEK39"/>
    <mergeCell ref="XEQ39:XES39"/>
    <mergeCell ref="XDV38:XDV39"/>
    <mergeCell ref="XDW38:XDW39"/>
    <mergeCell ref="XDX38:XDX39"/>
    <mergeCell ref="XDY38:XDY39"/>
    <mergeCell ref="XDZ38:XDZ39"/>
    <mergeCell ref="XEA38:XEC38"/>
    <mergeCell ref="XED38:XED39"/>
    <mergeCell ref="XEE38:XEE39"/>
    <mergeCell ref="XEF38:XEF39"/>
    <mergeCell ref="XEA39:XEC39"/>
    <mergeCell ref="XDI38:XDI39"/>
    <mergeCell ref="XDJ38:XDJ39"/>
    <mergeCell ref="XDK38:XDM38"/>
    <mergeCell ref="XDN38:XDN39"/>
    <mergeCell ref="XDO38:XDO39"/>
    <mergeCell ref="XDP38:XDP39"/>
    <mergeCell ref="XDQ38:XDQ39"/>
    <mergeCell ref="XDR38:XDR39"/>
    <mergeCell ref="XDS38:XDU38"/>
    <mergeCell ref="XDK39:XDM39"/>
    <mergeCell ref="XDS39:XDU39"/>
    <mergeCell ref="XCX38:XCX39"/>
    <mergeCell ref="XCY38:XCY39"/>
    <mergeCell ref="XCZ38:XCZ39"/>
    <mergeCell ref="XDA38:XDA39"/>
    <mergeCell ref="XDB38:XDB39"/>
    <mergeCell ref="XDC38:XDE38"/>
    <mergeCell ref="XDF38:XDF39"/>
    <mergeCell ref="XDG38:XDG39"/>
    <mergeCell ref="XDH38:XDH39"/>
    <mergeCell ref="XDC39:XDE39"/>
    <mergeCell ref="XCK38:XCK39"/>
    <mergeCell ref="XCL38:XCL39"/>
    <mergeCell ref="XCM38:XCO38"/>
    <mergeCell ref="XCP38:XCP39"/>
    <mergeCell ref="XCQ38:XCQ39"/>
    <mergeCell ref="XCR38:XCR39"/>
    <mergeCell ref="XCS38:XCS39"/>
    <mergeCell ref="XCT38:XCT39"/>
    <mergeCell ref="XCU38:XCW38"/>
    <mergeCell ref="XCM39:XCO39"/>
    <mergeCell ref="XCU39:XCW39"/>
    <mergeCell ref="XBZ38:XBZ39"/>
    <mergeCell ref="XCA38:XCA39"/>
    <mergeCell ref="XCB38:XCB39"/>
    <mergeCell ref="XCC38:XCC39"/>
    <mergeCell ref="XCD38:XCD39"/>
    <mergeCell ref="XCE38:XCG38"/>
    <mergeCell ref="XCH38:XCH39"/>
    <mergeCell ref="XCI38:XCI39"/>
    <mergeCell ref="XCJ38:XCJ39"/>
    <mergeCell ref="XCE39:XCG39"/>
    <mergeCell ref="XBM38:XBM39"/>
    <mergeCell ref="XBN38:XBN39"/>
    <mergeCell ref="XBO38:XBQ38"/>
    <mergeCell ref="XBR38:XBR39"/>
    <mergeCell ref="XBS38:XBS39"/>
    <mergeCell ref="XBT38:XBT39"/>
    <mergeCell ref="XBU38:XBU39"/>
    <mergeCell ref="XBV38:XBV39"/>
    <mergeCell ref="XBW38:XBY38"/>
    <mergeCell ref="XBO39:XBQ39"/>
    <mergeCell ref="XBW39:XBY39"/>
    <mergeCell ref="XBB38:XBB39"/>
    <mergeCell ref="XBC38:XBC39"/>
    <mergeCell ref="XBD38:XBD39"/>
    <mergeCell ref="XBE38:XBE39"/>
    <mergeCell ref="XBF38:XBF39"/>
    <mergeCell ref="XBG38:XBI38"/>
    <mergeCell ref="XBJ38:XBJ39"/>
    <mergeCell ref="XBK38:XBK39"/>
    <mergeCell ref="XBL38:XBL39"/>
    <mergeCell ref="XBG39:XBI39"/>
    <mergeCell ref="XAO38:XAO39"/>
    <mergeCell ref="XAP38:XAP39"/>
    <mergeCell ref="XAQ38:XAS38"/>
    <mergeCell ref="XAT38:XAT39"/>
    <mergeCell ref="XAU38:XAU39"/>
    <mergeCell ref="XAV38:XAV39"/>
    <mergeCell ref="XAW38:XAW39"/>
    <mergeCell ref="XAX38:XAX39"/>
    <mergeCell ref="XAY38:XBA38"/>
    <mergeCell ref="XAQ39:XAS39"/>
    <mergeCell ref="XAY39:XBA39"/>
    <mergeCell ref="XAD38:XAD39"/>
    <mergeCell ref="XAE38:XAE39"/>
    <mergeCell ref="XAF38:XAF39"/>
    <mergeCell ref="XAG38:XAG39"/>
    <mergeCell ref="XAH38:XAH39"/>
    <mergeCell ref="XAI38:XAK38"/>
    <mergeCell ref="XAL38:XAL39"/>
    <mergeCell ref="XAM38:XAM39"/>
    <mergeCell ref="XAN38:XAN39"/>
    <mergeCell ref="XAI39:XAK39"/>
    <mergeCell ref="WZQ38:WZQ39"/>
    <mergeCell ref="WZR38:WZR39"/>
    <mergeCell ref="WZS38:WZU38"/>
    <mergeCell ref="WZV38:WZV39"/>
    <mergeCell ref="WZW38:WZW39"/>
    <mergeCell ref="WZX38:WZX39"/>
    <mergeCell ref="WZY38:WZY39"/>
    <mergeCell ref="WZZ38:WZZ39"/>
    <mergeCell ref="XAA38:XAC38"/>
    <mergeCell ref="WZS39:WZU39"/>
    <mergeCell ref="XAA39:XAC39"/>
    <mergeCell ref="WZF38:WZF39"/>
    <mergeCell ref="WZG38:WZG39"/>
    <mergeCell ref="WZH38:WZH39"/>
    <mergeCell ref="WZI38:WZI39"/>
    <mergeCell ref="WZJ38:WZJ39"/>
    <mergeCell ref="WZK38:WZM38"/>
    <mergeCell ref="WZN38:WZN39"/>
    <mergeCell ref="WZO38:WZO39"/>
    <mergeCell ref="WZP38:WZP39"/>
    <mergeCell ref="WZK39:WZM39"/>
    <mergeCell ref="WYS38:WYS39"/>
    <mergeCell ref="WYT38:WYT39"/>
    <mergeCell ref="WYU38:WYW38"/>
    <mergeCell ref="WYX38:WYX39"/>
    <mergeCell ref="WYY38:WYY39"/>
    <mergeCell ref="WYZ38:WYZ39"/>
    <mergeCell ref="WZA38:WZA39"/>
    <mergeCell ref="WZB38:WZB39"/>
    <mergeCell ref="WZC38:WZE38"/>
    <mergeCell ref="WYU39:WYW39"/>
    <mergeCell ref="WZC39:WZE39"/>
    <mergeCell ref="WYH38:WYH39"/>
    <mergeCell ref="WYI38:WYI39"/>
    <mergeCell ref="WYJ38:WYJ39"/>
    <mergeCell ref="WYK38:WYK39"/>
    <mergeCell ref="WYL38:WYL39"/>
    <mergeCell ref="WYM38:WYO38"/>
    <mergeCell ref="WYP38:WYP39"/>
    <mergeCell ref="WYQ38:WYQ39"/>
    <mergeCell ref="WYR38:WYR39"/>
    <mergeCell ref="WYM39:WYO39"/>
    <mergeCell ref="WXU38:WXU39"/>
    <mergeCell ref="WXV38:WXV39"/>
    <mergeCell ref="WXW38:WXY38"/>
    <mergeCell ref="WXZ38:WXZ39"/>
    <mergeCell ref="WYA38:WYA39"/>
    <mergeCell ref="WYB38:WYB39"/>
    <mergeCell ref="WYC38:WYC39"/>
    <mergeCell ref="WYD38:WYD39"/>
    <mergeCell ref="WYE38:WYG38"/>
    <mergeCell ref="WXW39:WXY39"/>
    <mergeCell ref="WYE39:WYG39"/>
    <mergeCell ref="WXJ38:WXJ39"/>
    <mergeCell ref="WXK38:WXK39"/>
    <mergeCell ref="WXL38:WXL39"/>
    <mergeCell ref="WXM38:WXM39"/>
    <mergeCell ref="WXN38:WXN39"/>
    <mergeCell ref="WXO38:WXQ38"/>
    <mergeCell ref="WXR38:WXR39"/>
    <mergeCell ref="WXS38:WXS39"/>
    <mergeCell ref="WXT38:WXT39"/>
    <mergeCell ref="WXO39:WXQ39"/>
    <mergeCell ref="WWW38:WWW39"/>
    <mergeCell ref="WWX38:WWX39"/>
    <mergeCell ref="WWY38:WXA38"/>
    <mergeCell ref="WXB38:WXB39"/>
    <mergeCell ref="WXC38:WXC39"/>
    <mergeCell ref="WXD38:WXD39"/>
    <mergeCell ref="WXE38:WXE39"/>
    <mergeCell ref="WXF38:WXF39"/>
    <mergeCell ref="WXG38:WXI38"/>
    <mergeCell ref="WWY39:WXA39"/>
    <mergeCell ref="WXG39:WXI39"/>
    <mergeCell ref="WWL38:WWL39"/>
    <mergeCell ref="WWM38:WWM39"/>
    <mergeCell ref="WWN38:WWN39"/>
    <mergeCell ref="WWO38:WWO39"/>
    <mergeCell ref="WWP38:WWP39"/>
    <mergeCell ref="WWQ38:WWS38"/>
    <mergeCell ref="WWT38:WWT39"/>
    <mergeCell ref="WWU38:WWU39"/>
    <mergeCell ref="WWV38:WWV39"/>
    <mergeCell ref="WWQ39:WWS39"/>
    <mergeCell ref="WVY38:WVY39"/>
    <mergeCell ref="WVZ38:WVZ39"/>
    <mergeCell ref="WWA38:WWC38"/>
    <mergeCell ref="WWD38:WWD39"/>
    <mergeCell ref="WWE38:WWE39"/>
    <mergeCell ref="WWF38:WWF39"/>
    <mergeCell ref="WWG38:WWG39"/>
    <mergeCell ref="WWH38:WWH39"/>
    <mergeCell ref="WWI38:WWK38"/>
    <mergeCell ref="WWA39:WWC39"/>
    <mergeCell ref="WWI39:WWK39"/>
    <mergeCell ref="WVN38:WVN39"/>
    <mergeCell ref="WVO38:WVO39"/>
    <mergeCell ref="WVP38:WVP39"/>
    <mergeCell ref="WVQ38:WVQ39"/>
    <mergeCell ref="WVR38:WVR39"/>
    <mergeCell ref="WVS38:WVU38"/>
    <mergeCell ref="WVV38:WVV39"/>
    <mergeCell ref="WVW38:WVW39"/>
    <mergeCell ref="WVX38:WVX39"/>
    <mergeCell ref="WVS39:WVU39"/>
    <mergeCell ref="WVA38:WVA39"/>
    <mergeCell ref="WVB38:WVB39"/>
    <mergeCell ref="WVC38:WVE38"/>
    <mergeCell ref="WVF38:WVF39"/>
    <mergeCell ref="WVG38:WVG39"/>
    <mergeCell ref="WVH38:WVH39"/>
    <mergeCell ref="WVI38:WVI39"/>
    <mergeCell ref="WVJ38:WVJ39"/>
    <mergeCell ref="WVK38:WVM38"/>
    <mergeCell ref="WVC39:WVE39"/>
    <mergeCell ref="WVK39:WVM39"/>
    <mergeCell ref="WUP38:WUP39"/>
    <mergeCell ref="WUQ38:WUQ39"/>
    <mergeCell ref="WUR38:WUR39"/>
    <mergeCell ref="WUS38:WUS39"/>
    <mergeCell ref="WUT38:WUT39"/>
    <mergeCell ref="WUU38:WUW38"/>
    <mergeCell ref="WUX38:WUX39"/>
    <mergeCell ref="WUY38:WUY39"/>
    <mergeCell ref="WUZ38:WUZ39"/>
    <mergeCell ref="WUU39:WUW39"/>
    <mergeCell ref="WUC38:WUC39"/>
    <mergeCell ref="WUD38:WUD39"/>
    <mergeCell ref="WUE38:WUG38"/>
    <mergeCell ref="WUH38:WUH39"/>
    <mergeCell ref="WUI38:WUI39"/>
    <mergeCell ref="WUJ38:WUJ39"/>
    <mergeCell ref="WUK38:WUK39"/>
    <mergeCell ref="WUL38:WUL39"/>
    <mergeCell ref="WUM38:WUO38"/>
    <mergeCell ref="WUE39:WUG39"/>
    <mergeCell ref="WUM39:WUO39"/>
    <mergeCell ref="WTR38:WTR39"/>
    <mergeCell ref="WTS38:WTS39"/>
    <mergeCell ref="WTT38:WTT39"/>
    <mergeCell ref="WTU38:WTU39"/>
    <mergeCell ref="WTV38:WTV39"/>
    <mergeCell ref="WTW38:WTY38"/>
    <mergeCell ref="WTZ38:WTZ39"/>
    <mergeCell ref="WUA38:WUA39"/>
    <mergeCell ref="WUB38:WUB39"/>
    <mergeCell ref="WTW39:WTY39"/>
    <mergeCell ref="WTE38:WTE39"/>
    <mergeCell ref="WTF38:WTF39"/>
    <mergeCell ref="WTG38:WTI38"/>
    <mergeCell ref="WTJ38:WTJ39"/>
    <mergeCell ref="WTK38:WTK39"/>
    <mergeCell ref="WTL38:WTL39"/>
    <mergeCell ref="WTM38:WTM39"/>
    <mergeCell ref="WTN38:WTN39"/>
    <mergeCell ref="WTO38:WTQ38"/>
    <mergeCell ref="WTG39:WTI39"/>
    <mergeCell ref="WTO39:WTQ39"/>
    <mergeCell ref="WST38:WST39"/>
    <mergeCell ref="WSU38:WSU39"/>
    <mergeCell ref="WSV38:WSV39"/>
    <mergeCell ref="WSW38:WSW39"/>
    <mergeCell ref="WSX38:WSX39"/>
    <mergeCell ref="WSY38:WTA38"/>
    <mergeCell ref="WTB38:WTB39"/>
    <mergeCell ref="WTC38:WTC39"/>
    <mergeCell ref="WTD38:WTD39"/>
    <mergeCell ref="WSY39:WTA39"/>
    <mergeCell ref="WSG38:WSG39"/>
    <mergeCell ref="WSH38:WSH39"/>
    <mergeCell ref="WSI38:WSK38"/>
    <mergeCell ref="WSL38:WSL39"/>
    <mergeCell ref="WSM38:WSM39"/>
    <mergeCell ref="WSN38:WSN39"/>
    <mergeCell ref="WSO38:WSO39"/>
    <mergeCell ref="WSP38:WSP39"/>
    <mergeCell ref="WSQ38:WSS38"/>
    <mergeCell ref="WSI39:WSK39"/>
    <mergeCell ref="WSQ39:WSS39"/>
    <mergeCell ref="WRV38:WRV39"/>
    <mergeCell ref="WRW38:WRW39"/>
    <mergeCell ref="WRX38:WRX39"/>
    <mergeCell ref="WRY38:WRY39"/>
    <mergeCell ref="WRZ38:WRZ39"/>
    <mergeCell ref="WSA38:WSC38"/>
    <mergeCell ref="WSD38:WSD39"/>
    <mergeCell ref="WSE38:WSE39"/>
    <mergeCell ref="WSF38:WSF39"/>
    <mergeCell ref="WSA39:WSC39"/>
    <mergeCell ref="WRI38:WRI39"/>
    <mergeCell ref="WRJ38:WRJ39"/>
    <mergeCell ref="WRK38:WRM38"/>
    <mergeCell ref="WRN38:WRN39"/>
    <mergeCell ref="WRO38:WRO39"/>
    <mergeCell ref="WRP38:WRP39"/>
    <mergeCell ref="WRQ38:WRQ39"/>
    <mergeCell ref="WRR38:WRR39"/>
    <mergeCell ref="WRS38:WRU38"/>
    <mergeCell ref="WRK39:WRM39"/>
    <mergeCell ref="WRS39:WRU39"/>
    <mergeCell ref="WQX38:WQX39"/>
    <mergeCell ref="WQY38:WQY39"/>
    <mergeCell ref="WQZ38:WQZ39"/>
    <mergeCell ref="WRA38:WRA39"/>
    <mergeCell ref="WRB38:WRB39"/>
    <mergeCell ref="WRC38:WRE38"/>
    <mergeCell ref="WRF38:WRF39"/>
    <mergeCell ref="WRG38:WRG39"/>
    <mergeCell ref="WRH38:WRH39"/>
    <mergeCell ref="WRC39:WRE39"/>
    <mergeCell ref="WQK38:WQK39"/>
    <mergeCell ref="WQL38:WQL39"/>
    <mergeCell ref="WQM38:WQO38"/>
    <mergeCell ref="WQP38:WQP39"/>
    <mergeCell ref="WQQ38:WQQ39"/>
    <mergeCell ref="WQR38:WQR39"/>
    <mergeCell ref="WQS38:WQS39"/>
    <mergeCell ref="WQT38:WQT39"/>
    <mergeCell ref="WQU38:WQW38"/>
    <mergeCell ref="WQM39:WQO39"/>
    <mergeCell ref="WQU39:WQW39"/>
    <mergeCell ref="WPZ38:WPZ39"/>
    <mergeCell ref="WQA38:WQA39"/>
    <mergeCell ref="WQB38:WQB39"/>
    <mergeCell ref="WQC38:WQC39"/>
    <mergeCell ref="WQD38:WQD39"/>
    <mergeCell ref="WQE38:WQG38"/>
    <mergeCell ref="WQH38:WQH39"/>
    <mergeCell ref="WQI38:WQI39"/>
    <mergeCell ref="WQJ38:WQJ39"/>
    <mergeCell ref="WQE39:WQG39"/>
    <mergeCell ref="WPM38:WPM39"/>
    <mergeCell ref="WPN38:WPN39"/>
    <mergeCell ref="WPO38:WPQ38"/>
    <mergeCell ref="WPR38:WPR39"/>
    <mergeCell ref="WPS38:WPS39"/>
    <mergeCell ref="WPT38:WPT39"/>
    <mergeCell ref="WPU38:WPU39"/>
    <mergeCell ref="WPV38:WPV39"/>
    <mergeCell ref="WPW38:WPY38"/>
    <mergeCell ref="WPO39:WPQ39"/>
    <mergeCell ref="WPW39:WPY39"/>
    <mergeCell ref="WPB38:WPB39"/>
    <mergeCell ref="WPC38:WPC39"/>
    <mergeCell ref="WPD38:WPD39"/>
    <mergeCell ref="WPE38:WPE39"/>
    <mergeCell ref="WPF38:WPF39"/>
    <mergeCell ref="WPG38:WPI38"/>
    <mergeCell ref="WPJ38:WPJ39"/>
    <mergeCell ref="WPK38:WPK39"/>
    <mergeCell ref="WPL38:WPL39"/>
    <mergeCell ref="WPG39:WPI39"/>
    <mergeCell ref="WOO38:WOO39"/>
    <mergeCell ref="WOP38:WOP39"/>
    <mergeCell ref="WOQ38:WOS38"/>
    <mergeCell ref="WOT38:WOT39"/>
    <mergeCell ref="WOU38:WOU39"/>
    <mergeCell ref="WOV38:WOV39"/>
    <mergeCell ref="WOW38:WOW39"/>
    <mergeCell ref="WOX38:WOX39"/>
    <mergeCell ref="WOY38:WPA38"/>
    <mergeCell ref="WOQ39:WOS39"/>
    <mergeCell ref="WOY39:WPA39"/>
    <mergeCell ref="WOD38:WOD39"/>
    <mergeCell ref="WOE38:WOE39"/>
    <mergeCell ref="WOF38:WOF39"/>
    <mergeCell ref="WOG38:WOG39"/>
    <mergeCell ref="WOH38:WOH39"/>
    <mergeCell ref="WOI38:WOK38"/>
    <mergeCell ref="WOL38:WOL39"/>
    <mergeCell ref="WOM38:WOM39"/>
    <mergeCell ref="WON38:WON39"/>
    <mergeCell ref="WOI39:WOK39"/>
    <mergeCell ref="WNQ38:WNQ39"/>
    <mergeCell ref="WNR38:WNR39"/>
    <mergeCell ref="WNS38:WNU38"/>
    <mergeCell ref="WNV38:WNV39"/>
    <mergeCell ref="WNW38:WNW39"/>
    <mergeCell ref="WNX38:WNX39"/>
    <mergeCell ref="WNY38:WNY39"/>
    <mergeCell ref="WNZ38:WNZ39"/>
    <mergeCell ref="WOA38:WOC38"/>
    <mergeCell ref="WNS39:WNU39"/>
    <mergeCell ref="WOA39:WOC39"/>
    <mergeCell ref="WNF38:WNF39"/>
    <mergeCell ref="WNG38:WNG39"/>
    <mergeCell ref="WNH38:WNH39"/>
    <mergeCell ref="WNI38:WNI39"/>
    <mergeCell ref="WNJ38:WNJ39"/>
    <mergeCell ref="WNK38:WNM38"/>
    <mergeCell ref="WNN38:WNN39"/>
    <mergeCell ref="WNO38:WNO39"/>
    <mergeCell ref="WNP38:WNP39"/>
    <mergeCell ref="WNK39:WNM39"/>
    <mergeCell ref="WMS38:WMS39"/>
    <mergeCell ref="WMT38:WMT39"/>
    <mergeCell ref="WMU38:WMW38"/>
    <mergeCell ref="WMX38:WMX39"/>
    <mergeCell ref="WMY38:WMY39"/>
    <mergeCell ref="WMZ38:WMZ39"/>
    <mergeCell ref="WNA38:WNA39"/>
    <mergeCell ref="WNB38:WNB39"/>
    <mergeCell ref="WNC38:WNE38"/>
    <mergeCell ref="WMU39:WMW39"/>
    <mergeCell ref="WNC39:WNE39"/>
    <mergeCell ref="WMH38:WMH39"/>
    <mergeCell ref="WMI38:WMI39"/>
    <mergeCell ref="WMJ38:WMJ39"/>
    <mergeCell ref="WMK38:WMK39"/>
    <mergeCell ref="WML38:WML39"/>
    <mergeCell ref="WMM38:WMO38"/>
    <mergeCell ref="WMP38:WMP39"/>
    <mergeCell ref="WMQ38:WMQ39"/>
    <mergeCell ref="WMR38:WMR39"/>
    <mergeCell ref="WMM39:WMO39"/>
    <mergeCell ref="WLU38:WLU39"/>
    <mergeCell ref="WLV38:WLV39"/>
    <mergeCell ref="WLW38:WLY38"/>
    <mergeCell ref="WLZ38:WLZ39"/>
    <mergeCell ref="WMA38:WMA39"/>
    <mergeCell ref="WMB38:WMB39"/>
    <mergeCell ref="WMC38:WMC39"/>
    <mergeCell ref="WMD38:WMD39"/>
    <mergeCell ref="WME38:WMG38"/>
    <mergeCell ref="WLW39:WLY39"/>
    <mergeCell ref="WME39:WMG39"/>
    <mergeCell ref="WLJ38:WLJ39"/>
    <mergeCell ref="WLK38:WLK39"/>
    <mergeCell ref="WLL38:WLL39"/>
    <mergeCell ref="WLM38:WLM39"/>
    <mergeCell ref="WLN38:WLN39"/>
    <mergeCell ref="WLO38:WLQ38"/>
    <mergeCell ref="WLR38:WLR39"/>
    <mergeCell ref="WLS38:WLS39"/>
    <mergeCell ref="WLT38:WLT39"/>
    <mergeCell ref="WLO39:WLQ39"/>
    <mergeCell ref="WKW38:WKW39"/>
    <mergeCell ref="WKX38:WKX39"/>
    <mergeCell ref="WKY38:WLA38"/>
    <mergeCell ref="WLB38:WLB39"/>
    <mergeCell ref="WLC38:WLC39"/>
    <mergeCell ref="WLD38:WLD39"/>
    <mergeCell ref="WLE38:WLE39"/>
    <mergeCell ref="WLF38:WLF39"/>
    <mergeCell ref="WLG38:WLI38"/>
    <mergeCell ref="WKY39:WLA39"/>
    <mergeCell ref="WLG39:WLI39"/>
    <mergeCell ref="WKL38:WKL39"/>
    <mergeCell ref="WKM38:WKM39"/>
    <mergeCell ref="WKN38:WKN39"/>
    <mergeCell ref="WKO38:WKO39"/>
    <mergeCell ref="WKP38:WKP39"/>
    <mergeCell ref="WKQ38:WKS38"/>
    <mergeCell ref="WKT38:WKT39"/>
    <mergeCell ref="WKU38:WKU39"/>
    <mergeCell ref="WKV38:WKV39"/>
    <mergeCell ref="WKQ39:WKS39"/>
    <mergeCell ref="WJY38:WJY39"/>
    <mergeCell ref="WJZ38:WJZ39"/>
    <mergeCell ref="WKA38:WKC38"/>
    <mergeCell ref="WKD38:WKD39"/>
    <mergeCell ref="WKE38:WKE39"/>
    <mergeCell ref="WKF38:WKF39"/>
    <mergeCell ref="WKG38:WKG39"/>
    <mergeCell ref="WKH38:WKH39"/>
    <mergeCell ref="WKI38:WKK38"/>
    <mergeCell ref="WKA39:WKC39"/>
    <mergeCell ref="WKI39:WKK39"/>
    <mergeCell ref="WJN38:WJN39"/>
    <mergeCell ref="WJO38:WJO39"/>
    <mergeCell ref="WJP38:WJP39"/>
    <mergeCell ref="WJQ38:WJQ39"/>
    <mergeCell ref="WJR38:WJR39"/>
    <mergeCell ref="WJS38:WJU38"/>
    <mergeCell ref="WJV38:WJV39"/>
    <mergeCell ref="WJW38:WJW39"/>
    <mergeCell ref="WJX38:WJX39"/>
    <mergeCell ref="WJS39:WJU39"/>
    <mergeCell ref="WJA38:WJA39"/>
    <mergeCell ref="WJB38:WJB39"/>
    <mergeCell ref="WJC38:WJE38"/>
    <mergeCell ref="WJF38:WJF39"/>
    <mergeCell ref="WJG38:WJG39"/>
    <mergeCell ref="WJH38:WJH39"/>
    <mergeCell ref="WJI38:WJI39"/>
    <mergeCell ref="WJJ38:WJJ39"/>
    <mergeCell ref="WJK38:WJM38"/>
    <mergeCell ref="WJC39:WJE39"/>
    <mergeCell ref="WJK39:WJM39"/>
    <mergeCell ref="WIP38:WIP39"/>
    <mergeCell ref="WIQ38:WIQ39"/>
    <mergeCell ref="WIR38:WIR39"/>
    <mergeCell ref="WIS38:WIS39"/>
    <mergeCell ref="WIT38:WIT39"/>
    <mergeCell ref="WIU38:WIW38"/>
    <mergeCell ref="WIX38:WIX39"/>
    <mergeCell ref="WIY38:WIY39"/>
    <mergeCell ref="WIZ38:WIZ39"/>
    <mergeCell ref="WIU39:WIW39"/>
    <mergeCell ref="WIC38:WIC39"/>
    <mergeCell ref="WID38:WID39"/>
    <mergeCell ref="WIE38:WIG38"/>
    <mergeCell ref="WIH38:WIH39"/>
    <mergeCell ref="WII38:WII39"/>
    <mergeCell ref="WIJ38:WIJ39"/>
    <mergeCell ref="WIK38:WIK39"/>
    <mergeCell ref="WIL38:WIL39"/>
    <mergeCell ref="WIM38:WIO38"/>
    <mergeCell ref="WIE39:WIG39"/>
    <mergeCell ref="WIM39:WIO39"/>
    <mergeCell ref="WHR38:WHR39"/>
    <mergeCell ref="WHS38:WHS39"/>
    <mergeCell ref="WHT38:WHT39"/>
    <mergeCell ref="WHU38:WHU39"/>
    <mergeCell ref="WHV38:WHV39"/>
    <mergeCell ref="WHW38:WHY38"/>
    <mergeCell ref="WHZ38:WHZ39"/>
    <mergeCell ref="WIA38:WIA39"/>
    <mergeCell ref="WIB38:WIB39"/>
    <mergeCell ref="WHW39:WHY39"/>
    <mergeCell ref="WHE38:WHE39"/>
    <mergeCell ref="WHF38:WHF39"/>
    <mergeCell ref="WHG38:WHI38"/>
    <mergeCell ref="WHJ38:WHJ39"/>
    <mergeCell ref="WHK38:WHK39"/>
    <mergeCell ref="WHL38:WHL39"/>
    <mergeCell ref="WHM38:WHM39"/>
    <mergeCell ref="WHN38:WHN39"/>
    <mergeCell ref="WHO38:WHQ38"/>
    <mergeCell ref="WHG39:WHI39"/>
    <mergeCell ref="WHO39:WHQ39"/>
    <mergeCell ref="WGT38:WGT39"/>
    <mergeCell ref="WGU38:WGU39"/>
    <mergeCell ref="WGV38:WGV39"/>
    <mergeCell ref="WGW38:WGW39"/>
    <mergeCell ref="WGX38:WGX39"/>
    <mergeCell ref="WGY38:WHA38"/>
    <mergeCell ref="WHB38:WHB39"/>
    <mergeCell ref="WHC38:WHC39"/>
    <mergeCell ref="WHD38:WHD39"/>
    <mergeCell ref="WGY39:WHA39"/>
    <mergeCell ref="WGG38:WGG39"/>
    <mergeCell ref="WGH38:WGH39"/>
    <mergeCell ref="WGI38:WGK38"/>
    <mergeCell ref="WGL38:WGL39"/>
    <mergeCell ref="WGM38:WGM39"/>
    <mergeCell ref="WGN38:WGN39"/>
    <mergeCell ref="WGO38:WGO39"/>
    <mergeCell ref="WGP38:WGP39"/>
    <mergeCell ref="WGQ38:WGS38"/>
    <mergeCell ref="WGI39:WGK39"/>
    <mergeCell ref="WGQ39:WGS39"/>
    <mergeCell ref="WFV38:WFV39"/>
    <mergeCell ref="WFW38:WFW39"/>
    <mergeCell ref="WFX38:WFX39"/>
    <mergeCell ref="WFY38:WFY39"/>
    <mergeCell ref="WFZ38:WFZ39"/>
    <mergeCell ref="WGA38:WGC38"/>
    <mergeCell ref="WGD38:WGD39"/>
    <mergeCell ref="WGE38:WGE39"/>
    <mergeCell ref="WGF38:WGF39"/>
    <mergeCell ref="WGA39:WGC39"/>
    <mergeCell ref="WFI38:WFI39"/>
    <mergeCell ref="WFJ38:WFJ39"/>
    <mergeCell ref="WFK38:WFM38"/>
    <mergeCell ref="WFN38:WFN39"/>
    <mergeCell ref="WFO38:WFO39"/>
    <mergeCell ref="WFP38:WFP39"/>
    <mergeCell ref="WFQ38:WFQ39"/>
    <mergeCell ref="WFR38:WFR39"/>
    <mergeCell ref="WFS38:WFU38"/>
    <mergeCell ref="WFK39:WFM39"/>
    <mergeCell ref="WFS39:WFU39"/>
    <mergeCell ref="WEX38:WEX39"/>
    <mergeCell ref="WEY38:WEY39"/>
    <mergeCell ref="WEZ38:WEZ39"/>
    <mergeCell ref="WFA38:WFA39"/>
    <mergeCell ref="WFB38:WFB39"/>
    <mergeCell ref="WFC38:WFE38"/>
    <mergeCell ref="WFF38:WFF39"/>
    <mergeCell ref="WFG38:WFG39"/>
    <mergeCell ref="WFH38:WFH39"/>
    <mergeCell ref="WFC39:WFE39"/>
    <mergeCell ref="WEK38:WEK39"/>
    <mergeCell ref="WEL38:WEL39"/>
    <mergeCell ref="WEM38:WEO38"/>
    <mergeCell ref="WEP38:WEP39"/>
    <mergeCell ref="WEQ38:WEQ39"/>
    <mergeCell ref="WER38:WER39"/>
    <mergeCell ref="WES38:WES39"/>
    <mergeCell ref="WET38:WET39"/>
    <mergeCell ref="WEU38:WEW38"/>
    <mergeCell ref="WEM39:WEO39"/>
    <mergeCell ref="WEU39:WEW39"/>
    <mergeCell ref="WDZ38:WDZ39"/>
    <mergeCell ref="WEA38:WEA39"/>
    <mergeCell ref="WEB38:WEB39"/>
    <mergeCell ref="WEC38:WEC39"/>
    <mergeCell ref="WED38:WED39"/>
    <mergeCell ref="WEE38:WEG38"/>
    <mergeCell ref="WEH38:WEH39"/>
    <mergeCell ref="WEI38:WEI39"/>
    <mergeCell ref="WEJ38:WEJ39"/>
    <mergeCell ref="WEE39:WEG39"/>
    <mergeCell ref="WDM38:WDM39"/>
    <mergeCell ref="WDN38:WDN39"/>
    <mergeCell ref="WDO38:WDQ38"/>
    <mergeCell ref="WDR38:WDR39"/>
    <mergeCell ref="WDS38:WDS39"/>
    <mergeCell ref="WDT38:WDT39"/>
    <mergeCell ref="WDU38:WDU39"/>
    <mergeCell ref="WDV38:WDV39"/>
    <mergeCell ref="WDW38:WDY38"/>
    <mergeCell ref="WDO39:WDQ39"/>
    <mergeCell ref="WDW39:WDY39"/>
    <mergeCell ref="WDB38:WDB39"/>
    <mergeCell ref="WDC38:WDC39"/>
    <mergeCell ref="WDD38:WDD39"/>
    <mergeCell ref="WDE38:WDE39"/>
    <mergeCell ref="WDF38:WDF39"/>
    <mergeCell ref="WDG38:WDI38"/>
    <mergeCell ref="WDJ38:WDJ39"/>
    <mergeCell ref="WDK38:WDK39"/>
    <mergeCell ref="WDL38:WDL39"/>
    <mergeCell ref="WDG39:WDI39"/>
    <mergeCell ref="WCO38:WCO39"/>
    <mergeCell ref="WCP38:WCP39"/>
    <mergeCell ref="WCQ38:WCS38"/>
    <mergeCell ref="WCT38:WCT39"/>
    <mergeCell ref="WCU38:WCU39"/>
    <mergeCell ref="WCV38:WCV39"/>
    <mergeCell ref="WCW38:WCW39"/>
    <mergeCell ref="WCX38:WCX39"/>
    <mergeCell ref="WCY38:WDA38"/>
    <mergeCell ref="WCQ39:WCS39"/>
    <mergeCell ref="WCY39:WDA39"/>
    <mergeCell ref="WCD38:WCD39"/>
    <mergeCell ref="WCE38:WCE39"/>
    <mergeCell ref="WCF38:WCF39"/>
    <mergeCell ref="WCG38:WCG39"/>
    <mergeCell ref="WCH38:WCH39"/>
    <mergeCell ref="WCI38:WCK38"/>
    <mergeCell ref="WCL38:WCL39"/>
    <mergeCell ref="WCM38:WCM39"/>
    <mergeCell ref="WCN38:WCN39"/>
    <mergeCell ref="WCI39:WCK39"/>
    <mergeCell ref="WBQ38:WBQ39"/>
    <mergeCell ref="WBR38:WBR39"/>
    <mergeCell ref="WBS38:WBU38"/>
    <mergeCell ref="WBV38:WBV39"/>
    <mergeCell ref="WBW38:WBW39"/>
    <mergeCell ref="WBX38:WBX39"/>
    <mergeCell ref="WBY38:WBY39"/>
    <mergeCell ref="WBZ38:WBZ39"/>
    <mergeCell ref="WCA38:WCC38"/>
    <mergeCell ref="WBS39:WBU39"/>
    <mergeCell ref="WCA39:WCC39"/>
    <mergeCell ref="WBF38:WBF39"/>
    <mergeCell ref="WBG38:WBG39"/>
    <mergeCell ref="WBH38:WBH39"/>
    <mergeCell ref="WBI38:WBI39"/>
    <mergeCell ref="WBJ38:WBJ39"/>
    <mergeCell ref="WBK38:WBM38"/>
    <mergeCell ref="WBN38:WBN39"/>
    <mergeCell ref="WBO38:WBO39"/>
    <mergeCell ref="WBP38:WBP39"/>
    <mergeCell ref="WBK39:WBM39"/>
    <mergeCell ref="WAS38:WAS39"/>
    <mergeCell ref="WAT38:WAT39"/>
    <mergeCell ref="WAU38:WAW38"/>
    <mergeCell ref="WAX38:WAX39"/>
    <mergeCell ref="WAY38:WAY39"/>
    <mergeCell ref="WAZ38:WAZ39"/>
    <mergeCell ref="WBA38:WBA39"/>
    <mergeCell ref="WBB38:WBB39"/>
    <mergeCell ref="WBC38:WBE38"/>
    <mergeCell ref="WAU39:WAW39"/>
    <mergeCell ref="WBC39:WBE39"/>
    <mergeCell ref="WAH38:WAH39"/>
    <mergeCell ref="WAI38:WAI39"/>
    <mergeCell ref="WAJ38:WAJ39"/>
    <mergeCell ref="WAK38:WAK39"/>
    <mergeCell ref="WAL38:WAL39"/>
    <mergeCell ref="WAM38:WAO38"/>
    <mergeCell ref="WAP38:WAP39"/>
    <mergeCell ref="WAQ38:WAQ39"/>
    <mergeCell ref="WAR38:WAR39"/>
    <mergeCell ref="WAM39:WAO39"/>
    <mergeCell ref="VZU38:VZU39"/>
    <mergeCell ref="VZV38:VZV39"/>
    <mergeCell ref="VZW38:VZY38"/>
    <mergeCell ref="VZZ38:VZZ39"/>
    <mergeCell ref="WAA38:WAA39"/>
    <mergeCell ref="WAB38:WAB39"/>
    <mergeCell ref="WAC38:WAC39"/>
    <mergeCell ref="WAD38:WAD39"/>
    <mergeCell ref="WAE38:WAG38"/>
    <mergeCell ref="VZW39:VZY39"/>
    <mergeCell ref="WAE39:WAG39"/>
    <mergeCell ref="VZJ38:VZJ39"/>
    <mergeCell ref="VZK38:VZK39"/>
    <mergeCell ref="VZL38:VZL39"/>
    <mergeCell ref="VZM38:VZM39"/>
    <mergeCell ref="VZN38:VZN39"/>
    <mergeCell ref="VZO38:VZQ38"/>
    <mergeCell ref="VZR38:VZR39"/>
    <mergeCell ref="VZS38:VZS39"/>
    <mergeCell ref="VZT38:VZT39"/>
    <mergeCell ref="VZO39:VZQ39"/>
    <mergeCell ref="VYW38:VYW39"/>
    <mergeCell ref="VYX38:VYX39"/>
    <mergeCell ref="VYY38:VZA38"/>
    <mergeCell ref="VZB38:VZB39"/>
    <mergeCell ref="VZC38:VZC39"/>
    <mergeCell ref="VZD38:VZD39"/>
    <mergeCell ref="VZE38:VZE39"/>
    <mergeCell ref="VZF38:VZF39"/>
    <mergeCell ref="VZG38:VZI38"/>
    <mergeCell ref="VYY39:VZA39"/>
    <mergeCell ref="VZG39:VZI39"/>
    <mergeCell ref="VYL38:VYL39"/>
    <mergeCell ref="VYM38:VYM39"/>
    <mergeCell ref="VYN38:VYN39"/>
    <mergeCell ref="VYO38:VYO39"/>
    <mergeCell ref="VYP38:VYP39"/>
    <mergeCell ref="VYQ38:VYS38"/>
    <mergeCell ref="VYT38:VYT39"/>
    <mergeCell ref="VYU38:VYU39"/>
    <mergeCell ref="VYV38:VYV39"/>
    <mergeCell ref="VYQ39:VYS39"/>
    <mergeCell ref="VXY38:VXY39"/>
    <mergeCell ref="VXZ38:VXZ39"/>
    <mergeCell ref="VYA38:VYC38"/>
    <mergeCell ref="VYD38:VYD39"/>
    <mergeCell ref="VYE38:VYE39"/>
    <mergeCell ref="VYF38:VYF39"/>
    <mergeCell ref="VYG38:VYG39"/>
    <mergeCell ref="VYH38:VYH39"/>
    <mergeCell ref="VYI38:VYK38"/>
    <mergeCell ref="VYA39:VYC39"/>
    <mergeCell ref="VYI39:VYK39"/>
    <mergeCell ref="VXN38:VXN39"/>
    <mergeCell ref="VXO38:VXO39"/>
    <mergeCell ref="VXP38:VXP39"/>
    <mergeCell ref="VXQ38:VXQ39"/>
    <mergeCell ref="VXR38:VXR39"/>
    <mergeCell ref="VXS38:VXU38"/>
    <mergeCell ref="VXV38:VXV39"/>
    <mergeCell ref="VXW38:VXW39"/>
    <mergeCell ref="VXX38:VXX39"/>
    <mergeCell ref="VXS39:VXU39"/>
    <mergeCell ref="VXA38:VXA39"/>
    <mergeCell ref="VXB38:VXB39"/>
    <mergeCell ref="VXC38:VXE38"/>
    <mergeCell ref="VXF38:VXF39"/>
    <mergeCell ref="VXG38:VXG39"/>
    <mergeCell ref="VXH38:VXH39"/>
    <mergeCell ref="VXI38:VXI39"/>
    <mergeCell ref="VXJ38:VXJ39"/>
    <mergeCell ref="VXK38:VXM38"/>
    <mergeCell ref="VXC39:VXE39"/>
    <mergeCell ref="VXK39:VXM39"/>
    <mergeCell ref="VWP38:VWP39"/>
    <mergeCell ref="VWQ38:VWQ39"/>
    <mergeCell ref="VWR38:VWR39"/>
    <mergeCell ref="VWS38:VWS39"/>
    <mergeCell ref="VWT38:VWT39"/>
    <mergeCell ref="VWU38:VWW38"/>
    <mergeCell ref="VWX38:VWX39"/>
    <mergeCell ref="VWY38:VWY39"/>
    <mergeCell ref="VWZ38:VWZ39"/>
    <mergeCell ref="VWU39:VWW39"/>
    <mergeCell ref="VWC38:VWC39"/>
    <mergeCell ref="VWD38:VWD39"/>
    <mergeCell ref="VWE38:VWG38"/>
    <mergeCell ref="VWH38:VWH39"/>
    <mergeCell ref="VWI38:VWI39"/>
    <mergeCell ref="VWJ38:VWJ39"/>
    <mergeCell ref="VWK38:VWK39"/>
    <mergeCell ref="VWL38:VWL39"/>
    <mergeCell ref="VWM38:VWO38"/>
    <mergeCell ref="VWE39:VWG39"/>
    <mergeCell ref="VWM39:VWO39"/>
    <mergeCell ref="VVR38:VVR39"/>
    <mergeCell ref="VVS38:VVS39"/>
    <mergeCell ref="VVT38:VVT39"/>
    <mergeCell ref="VVU38:VVU39"/>
    <mergeCell ref="VVV38:VVV39"/>
    <mergeCell ref="VVW38:VVY38"/>
    <mergeCell ref="VVZ38:VVZ39"/>
    <mergeCell ref="VWA38:VWA39"/>
    <mergeCell ref="VWB38:VWB39"/>
    <mergeCell ref="VVW39:VVY39"/>
    <mergeCell ref="VVE38:VVE39"/>
    <mergeCell ref="VVF38:VVF39"/>
    <mergeCell ref="VVG38:VVI38"/>
    <mergeCell ref="VVJ38:VVJ39"/>
    <mergeCell ref="VVK38:VVK39"/>
    <mergeCell ref="VVL38:VVL39"/>
    <mergeCell ref="VVM38:VVM39"/>
    <mergeCell ref="VVN38:VVN39"/>
    <mergeCell ref="VVO38:VVQ38"/>
    <mergeCell ref="VVG39:VVI39"/>
    <mergeCell ref="VVO39:VVQ39"/>
    <mergeCell ref="VUT38:VUT39"/>
    <mergeCell ref="VUU38:VUU39"/>
    <mergeCell ref="VUV38:VUV39"/>
    <mergeCell ref="VUW38:VUW39"/>
    <mergeCell ref="VUX38:VUX39"/>
    <mergeCell ref="VUY38:VVA38"/>
    <mergeCell ref="VVB38:VVB39"/>
    <mergeCell ref="VVC38:VVC39"/>
    <mergeCell ref="VVD38:VVD39"/>
    <mergeCell ref="VUY39:VVA39"/>
    <mergeCell ref="VUG38:VUG39"/>
    <mergeCell ref="VUH38:VUH39"/>
    <mergeCell ref="VUI38:VUK38"/>
    <mergeCell ref="VUL38:VUL39"/>
    <mergeCell ref="VUM38:VUM39"/>
    <mergeCell ref="VUN38:VUN39"/>
    <mergeCell ref="VUO38:VUO39"/>
    <mergeCell ref="VUP38:VUP39"/>
    <mergeCell ref="VUQ38:VUS38"/>
    <mergeCell ref="VUI39:VUK39"/>
    <mergeCell ref="VUQ39:VUS39"/>
    <mergeCell ref="VTV38:VTV39"/>
    <mergeCell ref="VTW38:VTW39"/>
    <mergeCell ref="VTX38:VTX39"/>
    <mergeCell ref="VTY38:VTY39"/>
    <mergeCell ref="VTZ38:VTZ39"/>
    <mergeCell ref="VUA38:VUC38"/>
    <mergeCell ref="VUD38:VUD39"/>
    <mergeCell ref="VUE38:VUE39"/>
    <mergeCell ref="VUF38:VUF39"/>
    <mergeCell ref="VUA39:VUC39"/>
    <mergeCell ref="VTI38:VTI39"/>
    <mergeCell ref="VTJ38:VTJ39"/>
    <mergeCell ref="VTK38:VTM38"/>
    <mergeCell ref="VTN38:VTN39"/>
    <mergeCell ref="VTO38:VTO39"/>
    <mergeCell ref="VTP38:VTP39"/>
    <mergeCell ref="VTQ38:VTQ39"/>
    <mergeCell ref="VTR38:VTR39"/>
    <mergeCell ref="VTS38:VTU38"/>
    <mergeCell ref="VTK39:VTM39"/>
    <mergeCell ref="VTS39:VTU39"/>
    <mergeCell ref="VSX38:VSX39"/>
    <mergeCell ref="VSY38:VSY39"/>
    <mergeCell ref="VSZ38:VSZ39"/>
    <mergeCell ref="VTA38:VTA39"/>
    <mergeCell ref="VTB38:VTB39"/>
    <mergeCell ref="VTC38:VTE38"/>
    <mergeCell ref="VTF38:VTF39"/>
    <mergeCell ref="VTG38:VTG39"/>
    <mergeCell ref="VTH38:VTH39"/>
    <mergeCell ref="VTC39:VTE39"/>
    <mergeCell ref="VSK38:VSK39"/>
    <mergeCell ref="VSL38:VSL39"/>
    <mergeCell ref="VSM38:VSO38"/>
    <mergeCell ref="VSP38:VSP39"/>
    <mergeCell ref="VSQ38:VSQ39"/>
    <mergeCell ref="VSR38:VSR39"/>
    <mergeCell ref="VSS38:VSS39"/>
    <mergeCell ref="VST38:VST39"/>
    <mergeCell ref="VSU38:VSW38"/>
    <mergeCell ref="VSM39:VSO39"/>
    <mergeCell ref="VSU39:VSW39"/>
    <mergeCell ref="VRZ38:VRZ39"/>
    <mergeCell ref="VSA38:VSA39"/>
    <mergeCell ref="VSB38:VSB39"/>
    <mergeCell ref="VSC38:VSC39"/>
    <mergeCell ref="VSD38:VSD39"/>
    <mergeCell ref="VSE38:VSG38"/>
    <mergeCell ref="VSH38:VSH39"/>
    <mergeCell ref="VSI38:VSI39"/>
    <mergeCell ref="VSJ38:VSJ39"/>
    <mergeCell ref="VSE39:VSG39"/>
    <mergeCell ref="VRM38:VRM39"/>
    <mergeCell ref="VRN38:VRN39"/>
    <mergeCell ref="VRO38:VRQ38"/>
    <mergeCell ref="VRR38:VRR39"/>
    <mergeCell ref="VRS38:VRS39"/>
    <mergeCell ref="VRT38:VRT39"/>
    <mergeCell ref="VRU38:VRU39"/>
    <mergeCell ref="VRV38:VRV39"/>
    <mergeCell ref="VRW38:VRY38"/>
    <mergeCell ref="VRO39:VRQ39"/>
    <mergeCell ref="VRW39:VRY39"/>
    <mergeCell ref="VRB38:VRB39"/>
    <mergeCell ref="VRC38:VRC39"/>
    <mergeCell ref="VRD38:VRD39"/>
    <mergeCell ref="VRE38:VRE39"/>
    <mergeCell ref="VRF38:VRF39"/>
    <mergeCell ref="VRG38:VRI38"/>
    <mergeCell ref="VRJ38:VRJ39"/>
    <mergeCell ref="VRK38:VRK39"/>
    <mergeCell ref="VRL38:VRL39"/>
    <mergeCell ref="VRG39:VRI39"/>
    <mergeCell ref="VQO38:VQO39"/>
    <mergeCell ref="VQP38:VQP39"/>
    <mergeCell ref="VQQ38:VQS38"/>
    <mergeCell ref="VQT38:VQT39"/>
    <mergeCell ref="VQU38:VQU39"/>
    <mergeCell ref="VQV38:VQV39"/>
    <mergeCell ref="VQW38:VQW39"/>
    <mergeCell ref="VQX38:VQX39"/>
    <mergeCell ref="VQY38:VRA38"/>
    <mergeCell ref="VQQ39:VQS39"/>
    <mergeCell ref="VQY39:VRA39"/>
    <mergeCell ref="VQD38:VQD39"/>
    <mergeCell ref="VQE38:VQE39"/>
    <mergeCell ref="VQF38:VQF39"/>
    <mergeCell ref="VQG38:VQG39"/>
    <mergeCell ref="VQH38:VQH39"/>
    <mergeCell ref="VQI38:VQK38"/>
    <mergeCell ref="VQL38:VQL39"/>
    <mergeCell ref="VQM38:VQM39"/>
    <mergeCell ref="VQN38:VQN39"/>
    <mergeCell ref="VQI39:VQK39"/>
    <mergeCell ref="VPQ38:VPQ39"/>
    <mergeCell ref="VPR38:VPR39"/>
    <mergeCell ref="VPS38:VPU38"/>
    <mergeCell ref="VPV38:VPV39"/>
    <mergeCell ref="VPW38:VPW39"/>
    <mergeCell ref="VPX38:VPX39"/>
    <mergeCell ref="VPY38:VPY39"/>
    <mergeCell ref="VPZ38:VPZ39"/>
    <mergeCell ref="VQA38:VQC38"/>
    <mergeCell ref="VPS39:VPU39"/>
    <mergeCell ref="VQA39:VQC39"/>
    <mergeCell ref="VPF38:VPF39"/>
    <mergeCell ref="VPG38:VPG39"/>
    <mergeCell ref="VPH38:VPH39"/>
    <mergeCell ref="VPI38:VPI39"/>
    <mergeCell ref="VPJ38:VPJ39"/>
    <mergeCell ref="VPK38:VPM38"/>
    <mergeCell ref="VPN38:VPN39"/>
    <mergeCell ref="VPO38:VPO39"/>
    <mergeCell ref="VPP38:VPP39"/>
    <mergeCell ref="VPK39:VPM39"/>
    <mergeCell ref="VOS38:VOS39"/>
    <mergeCell ref="VOT38:VOT39"/>
    <mergeCell ref="VOU38:VOW38"/>
    <mergeCell ref="VOX38:VOX39"/>
    <mergeCell ref="VOY38:VOY39"/>
    <mergeCell ref="VOZ38:VOZ39"/>
    <mergeCell ref="VPA38:VPA39"/>
    <mergeCell ref="VPB38:VPB39"/>
    <mergeCell ref="VPC38:VPE38"/>
    <mergeCell ref="VOU39:VOW39"/>
    <mergeCell ref="VPC39:VPE39"/>
    <mergeCell ref="VOH38:VOH39"/>
    <mergeCell ref="VOI38:VOI39"/>
    <mergeCell ref="VOJ38:VOJ39"/>
    <mergeCell ref="VOK38:VOK39"/>
    <mergeCell ref="VOL38:VOL39"/>
    <mergeCell ref="VOM38:VOO38"/>
    <mergeCell ref="VOP38:VOP39"/>
    <mergeCell ref="VOQ38:VOQ39"/>
    <mergeCell ref="VOR38:VOR39"/>
    <mergeCell ref="VOM39:VOO39"/>
    <mergeCell ref="VNU38:VNU39"/>
    <mergeCell ref="VNV38:VNV39"/>
    <mergeCell ref="VNW38:VNY38"/>
    <mergeCell ref="VNZ38:VNZ39"/>
    <mergeCell ref="VOA38:VOA39"/>
    <mergeCell ref="VOB38:VOB39"/>
    <mergeCell ref="VOC38:VOC39"/>
    <mergeCell ref="VOD38:VOD39"/>
    <mergeCell ref="VOE38:VOG38"/>
    <mergeCell ref="VNW39:VNY39"/>
    <mergeCell ref="VOE39:VOG39"/>
    <mergeCell ref="VNJ38:VNJ39"/>
    <mergeCell ref="VNK38:VNK39"/>
    <mergeCell ref="VNL38:VNL39"/>
    <mergeCell ref="VNM38:VNM39"/>
    <mergeCell ref="VNN38:VNN39"/>
    <mergeCell ref="VNO38:VNQ38"/>
    <mergeCell ref="VNR38:VNR39"/>
    <mergeCell ref="VNS38:VNS39"/>
    <mergeCell ref="VNT38:VNT39"/>
    <mergeCell ref="VNO39:VNQ39"/>
    <mergeCell ref="VMW38:VMW39"/>
    <mergeCell ref="VMX38:VMX39"/>
    <mergeCell ref="VMY38:VNA38"/>
    <mergeCell ref="VNB38:VNB39"/>
    <mergeCell ref="VNC38:VNC39"/>
    <mergeCell ref="VND38:VND39"/>
    <mergeCell ref="VNE38:VNE39"/>
    <mergeCell ref="VNF38:VNF39"/>
    <mergeCell ref="VNG38:VNI38"/>
    <mergeCell ref="VMY39:VNA39"/>
    <mergeCell ref="VNG39:VNI39"/>
    <mergeCell ref="VML38:VML39"/>
    <mergeCell ref="VMM38:VMM39"/>
    <mergeCell ref="VMN38:VMN39"/>
    <mergeCell ref="VMO38:VMO39"/>
    <mergeCell ref="VMP38:VMP39"/>
    <mergeCell ref="VMQ38:VMS38"/>
    <mergeCell ref="VMT38:VMT39"/>
    <mergeCell ref="VMU38:VMU39"/>
    <mergeCell ref="VMV38:VMV39"/>
    <mergeCell ref="VMQ39:VMS39"/>
    <mergeCell ref="VLY38:VLY39"/>
    <mergeCell ref="VLZ38:VLZ39"/>
    <mergeCell ref="VMA38:VMC38"/>
    <mergeCell ref="VMD38:VMD39"/>
    <mergeCell ref="VME38:VME39"/>
    <mergeCell ref="VMF38:VMF39"/>
    <mergeCell ref="VMG38:VMG39"/>
    <mergeCell ref="VMH38:VMH39"/>
    <mergeCell ref="VMI38:VMK38"/>
    <mergeCell ref="VMA39:VMC39"/>
    <mergeCell ref="VMI39:VMK39"/>
    <mergeCell ref="VLN38:VLN39"/>
    <mergeCell ref="VLO38:VLO39"/>
    <mergeCell ref="VLP38:VLP39"/>
    <mergeCell ref="VLQ38:VLQ39"/>
    <mergeCell ref="VLR38:VLR39"/>
    <mergeCell ref="VLS38:VLU38"/>
    <mergeCell ref="VLV38:VLV39"/>
    <mergeCell ref="VLW38:VLW39"/>
    <mergeCell ref="VLX38:VLX39"/>
    <mergeCell ref="VLS39:VLU39"/>
    <mergeCell ref="VLA38:VLA39"/>
    <mergeCell ref="VLB38:VLB39"/>
    <mergeCell ref="VLC38:VLE38"/>
    <mergeCell ref="VLF38:VLF39"/>
    <mergeCell ref="VLG38:VLG39"/>
    <mergeCell ref="VLH38:VLH39"/>
    <mergeCell ref="VLI38:VLI39"/>
    <mergeCell ref="VLJ38:VLJ39"/>
    <mergeCell ref="VLK38:VLM38"/>
    <mergeCell ref="VLC39:VLE39"/>
    <mergeCell ref="VLK39:VLM39"/>
    <mergeCell ref="VKP38:VKP39"/>
    <mergeCell ref="VKQ38:VKQ39"/>
    <mergeCell ref="VKR38:VKR39"/>
    <mergeCell ref="VKS38:VKS39"/>
    <mergeCell ref="VKT38:VKT39"/>
    <mergeCell ref="VKU38:VKW38"/>
    <mergeCell ref="VKX38:VKX39"/>
    <mergeCell ref="VKY38:VKY39"/>
    <mergeCell ref="VKZ38:VKZ39"/>
    <mergeCell ref="VKU39:VKW39"/>
    <mergeCell ref="VKC38:VKC39"/>
    <mergeCell ref="VKD38:VKD39"/>
    <mergeCell ref="VKE38:VKG38"/>
    <mergeCell ref="VKH38:VKH39"/>
    <mergeCell ref="VKI38:VKI39"/>
    <mergeCell ref="VKJ38:VKJ39"/>
    <mergeCell ref="VKK38:VKK39"/>
    <mergeCell ref="VKL38:VKL39"/>
    <mergeCell ref="VKM38:VKO38"/>
    <mergeCell ref="VKE39:VKG39"/>
    <mergeCell ref="VKM39:VKO39"/>
    <mergeCell ref="VJR38:VJR39"/>
    <mergeCell ref="VJS38:VJS39"/>
    <mergeCell ref="VJT38:VJT39"/>
    <mergeCell ref="VJU38:VJU39"/>
    <mergeCell ref="VJV38:VJV39"/>
    <mergeCell ref="VJW38:VJY38"/>
    <mergeCell ref="VJZ38:VJZ39"/>
    <mergeCell ref="VKA38:VKA39"/>
    <mergeCell ref="VKB38:VKB39"/>
    <mergeCell ref="VJW39:VJY39"/>
    <mergeCell ref="VJE38:VJE39"/>
    <mergeCell ref="VJF38:VJF39"/>
    <mergeCell ref="VJG38:VJI38"/>
    <mergeCell ref="VJJ38:VJJ39"/>
    <mergeCell ref="VJK38:VJK39"/>
    <mergeCell ref="VJL38:VJL39"/>
    <mergeCell ref="VJM38:VJM39"/>
    <mergeCell ref="VJN38:VJN39"/>
    <mergeCell ref="VJO38:VJQ38"/>
    <mergeCell ref="VJG39:VJI39"/>
    <mergeCell ref="VJO39:VJQ39"/>
    <mergeCell ref="VIT38:VIT39"/>
    <mergeCell ref="VIU38:VIU39"/>
    <mergeCell ref="VIV38:VIV39"/>
    <mergeCell ref="VIW38:VIW39"/>
    <mergeCell ref="VIX38:VIX39"/>
    <mergeCell ref="VIY38:VJA38"/>
    <mergeCell ref="VJB38:VJB39"/>
    <mergeCell ref="VJC38:VJC39"/>
    <mergeCell ref="VJD38:VJD39"/>
    <mergeCell ref="VIY39:VJA39"/>
    <mergeCell ref="VIG38:VIG39"/>
    <mergeCell ref="VIH38:VIH39"/>
    <mergeCell ref="VII38:VIK38"/>
    <mergeCell ref="VIL38:VIL39"/>
    <mergeCell ref="VIM38:VIM39"/>
    <mergeCell ref="VIN38:VIN39"/>
    <mergeCell ref="VIO38:VIO39"/>
    <mergeCell ref="VIP38:VIP39"/>
    <mergeCell ref="VIQ38:VIS38"/>
    <mergeCell ref="VII39:VIK39"/>
    <mergeCell ref="VIQ39:VIS39"/>
    <mergeCell ref="VHV38:VHV39"/>
    <mergeCell ref="VHW38:VHW39"/>
    <mergeCell ref="VHX38:VHX39"/>
    <mergeCell ref="VHY38:VHY39"/>
    <mergeCell ref="VHZ38:VHZ39"/>
    <mergeCell ref="VIA38:VIC38"/>
    <mergeCell ref="VID38:VID39"/>
    <mergeCell ref="VIE38:VIE39"/>
    <mergeCell ref="VIF38:VIF39"/>
    <mergeCell ref="VIA39:VIC39"/>
    <mergeCell ref="VHI38:VHI39"/>
    <mergeCell ref="VHJ38:VHJ39"/>
    <mergeCell ref="VHK38:VHM38"/>
    <mergeCell ref="VHN38:VHN39"/>
    <mergeCell ref="VHO38:VHO39"/>
    <mergeCell ref="VHP38:VHP39"/>
    <mergeCell ref="VHQ38:VHQ39"/>
    <mergeCell ref="VHR38:VHR39"/>
    <mergeCell ref="VHS38:VHU38"/>
    <mergeCell ref="VHK39:VHM39"/>
    <mergeCell ref="VHS39:VHU39"/>
    <mergeCell ref="VGX38:VGX39"/>
    <mergeCell ref="VGY38:VGY39"/>
    <mergeCell ref="VGZ38:VGZ39"/>
    <mergeCell ref="VHA38:VHA39"/>
    <mergeCell ref="VHB38:VHB39"/>
    <mergeCell ref="VHC38:VHE38"/>
    <mergeCell ref="VHF38:VHF39"/>
    <mergeCell ref="VHG38:VHG39"/>
    <mergeCell ref="VHH38:VHH39"/>
    <mergeCell ref="VHC39:VHE39"/>
    <mergeCell ref="VGK38:VGK39"/>
    <mergeCell ref="VGL38:VGL39"/>
    <mergeCell ref="VGM38:VGO38"/>
    <mergeCell ref="VGP38:VGP39"/>
    <mergeCell ref="VGQ38:VGQ39"/>
    <mergeCell ref="VGR38:VGR39"/>
    <mergeCell ref="VGS38:VGS39"/>
    <mergeCell ref="VGT38:VGT39"/>
    <mergeCell ref="VGU38:VGW38"/>
    <mergeCell ref="VGM39:VGO39"/>
    <mergeCell ref="VGU39:VGW39"/>
    <mergeCell ref="VFZ38:VFZ39"/>
    <mergeCell ref="VGA38:VGA39"/>
    <mergeCell ref="VGB38:VGB39"/>
    <mergeCell ref="VGC38:VGC39"/>
    <mergeCell ref="VGD38:VGD39"/>
    <mergeCell ref="VGE38:VGG38"/>
    <mergeCell ref="VGH38:VGH39"/>
    <mergeCell ref="VGI38:VGI39"/>
    <mergeCell ref="VGJ38:VGJ39"/>
    <mergeCell ref="VGE39:VGG39"/>
    <mergeCell ref="VFM38:VFM39"/>
    <mergeCell ref="VFN38:VFN39"/>
    <mergeCell ref="VFO38:VFQ38"/>
    <mergeCell ref="VFR38:VFR39"/>
    <mergeCell ref="VFS38:VFS39"/>
    <mergeCell ref="VFT38:VFT39"/>
    <mergeCell ref="VFU38:VFU39"/>
    <mergeCell ref="VFV38:VFV39"/>
    <mergeCell ref="VFW38:VFY38"/>
    <mergeCell ref="VFO39:VFQ39"/>
    <mergeCell ref="VFW39:VFY39"/>
    <mergeCell ref="VFB38:VFB39"/>
    <mergeCell ref="VFC38:VFC39"/>
    <mergeCell ref="VFD38:VFD39"/>
    <mergeCell ref="VFE38:VFE39"/>
    <mergeCell ref="VFF38:VFF39"/>
    <mergeCell ref="VFG38:VFI38"/>
    <mergeCell ref="VFJ38:VFJ39"/>
    <mergeCell ref="VFK38:VFK39"/>
    <mergeCell ref="VFL38:VFL39"/>
    <mergeCell ref="VFG39:VFI39"/>
    <mergeCell ref="VEO38:VEO39"/>
    <mergeCell ref="VEP38:VEP39"/>
    <mergeCell ref="VEQ38:VES38"/>
    <mergeCell ref="VET38:VET39"/>
    <mergeCell ref="VEU38:VEU39"/>
    <mergeCell ref="VEV38:VEV39"/>
    <mergeCell ref="VEW38:VEW39"/>
    <mergeCell ref="VEX38:VEX39"/>
    <mergeCell ref="VEY38:VFA38"/>
    <mergeCell ref="VEQ39:VES39"/>
    <mergeCell ref="VEY39:VFA39"/>
    <mergeCell ref="VED38:VED39"/>
    <mergeCell ref="VEE38:VEE39"/>
    <mergeCell ref="VEF38:VEF39"/>
    <mergeCell ref="VEG38:VEG39"/>
    <mergeCell ref="VEH38:VEH39"/>
    <mergeCell ref="VEI38:VEK38"/>
    <mergeCell ref="VEL38:VEL39"/>
    <mergeCell ref="VEM38:VEM39"/>
    <mergeCell ref="VEN38:VEN39"/>
    <mergeCell ref="VEI39:VEK39"/>
    <mergeCell ref="VDQ38:VDQ39"/>
    <mergeCell ref="VDR38:VDR39"/>
    <mergeCell ref="VDS38:VDU38"/>
    <mergeCell ref="VDV38:VDV39"/>
    <mergeCell ref="VDW38:VDW39"/>
    <mergeCell ref="VDX38:VDX39"/>
    <mergeCell ref="VDY38:VDY39"/>
    <mergeCell ref="VDZ38:VDZ39"/>
    <mergeCell ref="VEA38:VEC38"/>
    <mergeCell ref="VDS39:VDU39"/>
    <mergeCell ref="VEA39:VEC39"/>
    <mergeCell ref="VDF38:VDF39"/>
    <mergeCell ref="VDG38:VDG39"/>
    <mergeCell ref="VDH38:VDH39"/>
    <mergeCell ref="VDI38:VDI39"/>
    <mergeCell ref="VDJ38:VDJ39"/>
    <mergeCell ref="VDK38:VDM38"/>
    <mergeCell ref="VDN38:VDN39"/>
    <mergeCell ref="VDO38:VDO39"/>
    <mergeCell ref="VDP38:VDP39"/>
    <mergeCell ref="VDK39:VDM39"/>
    <mergeCell ref="VCS38:VCS39"/>
    <mergeCell ref="VCT38:VCT39"/>
    <mergeCell ref="VCU38:VCW38"/>
    <mergeCell ref="VCX38:VCX39"/>
    <mergeCell ref="VCY38:VCY39"/>
    <mergeCell ref="VCZ38:VCZ39"/>
    <mergeCell ref="VDA38:VDA39"/>
    <mergeCell ref="VDB38:VDB39"/>
    <mergeCell ref="VDC38:VDE38"/>
    <mergeCell ref="VCU39:VCW39"/>
    <mergeCell ref="VDC39:VDE39"/>
    <mergeCell ref="VCH38:VCH39"/>
    <mergeCell ref="VCI38:VCI39"/>
    <mergeCell ref="VCJ38:VCJ39"/>
    <mergeCell ref="VCK38:VCK39"/>
    <mergeCell ref="VCL38:VCL39"/>
    <mergeCell ref="VCM38:VCO38"/>
    <mergeCell ref="VCP38:VCP39"/>
    <mergeCell ref="VCQ38:VCQ39"/>
    <mergeCell ref="VCR38:VCR39"/>
    <mergeCell ref="VCM39:VCO39"/>
    <mergeCell ref="VBU38:VBU39"/>
    <mergeCell ref="VBV38:VBV39"/>
    <mergeCell ref="VBW38:VBY38"/>
    <mergeCell ref="VBZ38:VBZ39"/>
    <mergeCell ref="VCA38:VCA39"/>
    <mergeCell ref="VCB38:VCB39"/>
    <mergeCell ref="VCC38:VCC39"/>
    <mergeCell ref="VCD38:VCD39"/>
    <mergeCell ref="VCE38:VCG38"/>
    <mergeCell ref="VBW39:VBY39"/>
    <mergeCell ref="VCE39:VCG39"/>
    <mergeCell ref="VBJ38:VBJ39"/>
    <mergeCell ref="VBK38:VBK39"/>
    <mergeCell ref="VBL38:VBL39"/>
    <mergeCell ref="VBM38:VBM39"/>
    <mergeCell ref="VBN38:VBN39"/>
    <mergeCell ref="VBO38:VBQ38"/>
    <mergeCell ref="VBR38:VBR39"/>
    <mergeCell ref="VBS38:VBS39"/>
    <mergeCell ref="VBT38:VBT39"/>
    <mergeCell ref="VBO39:VBQ39"/>
    <mergeCell ref="VAW38:VAW39"/>
    <mergeCell ref="VAX38:VAX39"/>
    <mergeCell ref="VAY38:VBA38"/>
    <mergeCell ref="VBB38:VBB39"/>
    <mergeCell ref="VBC38:VBC39"/>
    <mergeCell ref="VBD38:VBD39"/>
    <mergeCell ref="VBE38:VBE39"/>
    <mergeCell ref="VBF38:VBF39"/>
    <mergeCell ref="VBG38:VBI38"/>
    <mergeCell ref="VAY39:VBA39"/>
    <mergeCell ref="VBG39:VBI39"/>
    <mergeCell ref="VAL38:VAL39"/>
    <mergeCell ref="VAM38:VAM39"/>
    <mergeCell ref="VAN38:VAN39"/>
    <mergeCell ref="VAO38:VAO39"/>
    <mergeCell ref="VAP38:VAP39"/>
    <mergeCell ref="VAQ38:VAS38"/>
    <mergeCell ref="VAT38:VAT39"/>
    <mergeCell ref="VAU38:VAU39"/>
    <mergeCell ref="VAV38:VAV39"/>
    <mergeCell ref="VAQ39:VAS39"/>
    <mergeCell ref="UZY38:UZY39"/>
    <mergeCell ref="UZZ38:UZZ39"/>
    <mergeCell ref="VAA38:VAC38"/>
    <mergeCell ref="VAD38:VAD39"/>
    <mergeCell ref="VAE38:VAE39"/>
    <mergeCell ref="VAF38:VAF39"/>
    <mergeCell ref="VAG38:VAG39"/>
    <mergeCell ref="VAH38:VAH39"/>
    <mergeCell ref="VAI38:VAK38"/>
    <mergeCell ref="VAA39:VAC39"/>
    <mergeCell ref="VAI39:VAK39"/>
    <mergeCell ref="UZN38:UZN39"/>
    <mergeCell ref="UZO38:UZO39"/>
    <mergeCell ref="UZP38:UZP39"/>
    <mergeCell ref="UZQ38:UZQ39"/>
    <mergeCell ref="UZR38:UZR39"/>
    <mergeCell ref="UZS38:UZU38"/>
    <mergeCell ref="UZV38:UZV39"/>
    <mergeCell ref="UZW38:UZW39"/>
    <mergeCell ref="UZX38:UZX39"/>
    <mergeCell ref="UZS39:UZU39"/>
    <mergeCell ref="UZA38:UZA39"/>
    <mergeCell ref="UZB38:UZB39"/>
    <mergeCell ref="UZC38:UZE38"/>
    <mergeCell ref="UZF38:UZF39"/>
    <mergeCell ref="UZG38:UZG39"/>
    <mergeCell ref="UZH38:UZH39"/>
    <mergeCell ref="UZI38:UZI39"/>
    <mergeCell ref="UZJ38:UZJ39"/>
    <mergeCell ref="UZK38:UZM38"/>
    <mergeCell ref="UZC39:UZE39"/>
    <mergeCell ref="UZK39:UZM39"/>
    <mergeCell ref="UYP38:UYP39"/>
    <mergeCell ref="UYQ38:UYQ39"/>
    <mergeCell ref="UYR38:UYR39"/>
    <mergeCell ref="UYS38:UYS39"/>
    <mergeCell ref="UYT38:UYT39"/>
    <mergeCell ref="UYU38:UYW38"/>
    <mergeCell ref="UYX38:UYX39"/>
    <mergeCell ref="UYY38:UYY39"/>
    <mergeCell ref="UYZ38:UYZ39"/>
    <mergeCell ref="UYU39:UYW39"/>
    <mergeCell ref="UYC38:UYC39"/>
    <mergeCell ref="UYD38:UYD39"/>
    <mergeCell ref="UYE38:UYG38"/>
    <mergeCell ref="UYH38:UYH39"/>
    <mergeCell ref="UYI38:UYI39"/>
    <mergeCell ref="UYJ38:UYJ39"/>
    <mergeCell ref="UYK38:UYK39"/>
    <mergeCell ref="UYL38:UYL39"/>
    <mergeCell ref="UYM38:UYO38"/>
    <mergeCell ref="UYE39:UYG39"/>
    <mergeCell ref="UYM39:UYO39"/>
    <mergeCell ref="UXR38:UXR39"/>
    <mergeCell ref="UXS38:UXS39"/>
    <mergeCell ref="UXT38:UXT39"/>
    <mergeCell ref="UXU38:UXU39"/>
    <mergeCell ref="UXV38:UXV39"/>
    <mergeCell ref="UXW38:UXY38"/>
    <mergeCell ref="UXZ38:UXZ39"/>
    <mergeCell ref="UYA38:UYA39"/>
    <mergeCell ref="UYB38:UYB39"/>
    <mergeCell ref="UXW39:UXY39"/>
    <mergeCell ref="UXE38:UXE39"/>
    <mergeCell ref="UXF38:UXF39"/>
    <mergeCell ref="UXG38:UXI38"/>
    <mergeCell ref="UXJ38:UXJ39"/>
    <mergeCell ref="UXK38:UXK39"/>
    <mergeCell ref="UXL38:UXL39"/>
    <mergeCell ref="UXM38:UXM39"/>
    <mergeCell ref="UXN38:UXN39"/>
    <mergeCell ref="UXO38:UXQ38"/>
    <mergeCell ref="UXG39:UXI39"/>
    <mergeCell ref="UXO39:UXQ39"/>
    <mergeCell ref="UWT38:UWT39"/>
    <mergeCell ref="UWU38:UWU39"/>
    <mergeCell ref="UWV38:UWV39"/>
    <mergeCell ref="UWW38:UWW39"/>
    <mergeCell ref="UWX38:UWX39"/>
    <mergeCell ref="UWY38:UXA38"/>
    <mergeCell ref="UXB38:UXB39"/>
    <mergeCell ref="UXC38:UXC39"/>
    <mergeCell ref="UXD38:UXD39"/>
    <mergeCell ref="UWY39:UXA39"/>
    <mergeCell ref="UWG38:UWG39"/>
    <mergeCell ref="UWH38:UWH39"/>
    <mergeCell ref="UWI38:UWK38"/>
    <mergeCell ref="UWL38:UWL39"/>
    <mergeCell ref="UWM38:UWM39"/>
    <mergeCell ref="UWN38:UWN39"/>
    <mergeCell ref="UWO38:UWO39"/>
    <mergeCell ref="UWP38:UWP39"/>
    <mergeCell ref="UWQ38:UWS38"/>
    <mergeCell ref="UWI39:UWK39"/>
    <mergeCell ref="UWQ39:UWS39"/>
    <mergeCell ref="UVV38:UVV39"/>
    <mergeCell ref="UVW38:UVW39"/>
    <mergeCell ref="UVX38:UVX39"/>
    <mergeCell ref="UVY38:UVY39"/>
    <mergeCell ref="UVZ38:UVZ39"/>
    <mergeCell ref="UWA38:UWC38"/>
    <mergeCell ref="UWD38:UWD39"/>
    <mergeCell ref="UWE38:UWE39"/>
    <mergeCell ref="UWF38:UWF39"/>
    <mergeCell ref="UWA39:UWC39"/>
    <mergeCell ref="UVI38:UVI39"/>
    <mergeCell ref="UVJ38:UVJ39"/>
    <mergeCell ref="UVK38:UVM38"/>
    <mergeCell ref="UVN38:UVN39"/>
    <mergeCell ref="UVO38:UVO39"/>
    <mergeCell ref="UVP38:UVP39"/>
    <mergeCell ref="UVQ38:UVQ39"/>
    <mergeCell ref="UVR38:UVR39"/>
    <mergeCell ref="UVS38:UVU38"/>
    <mergeCell ref="UVK39:UVM39"/>
    <mergeCell ref="UVS39:UVU39"/>
    <mergeCell ref="UUX38:UUX39"/>
    <mergeCell ref="UUY38:UUY39"/>
    <mergeCell ref="UUZ38:UUZ39"/>
    <mergeCell ref="UVA38:UVA39"/>
    <mergeCell ref="UVB38:UVB39"/>
    <mergeCell ref="UVC38:UVE38"/>
    <mergeCell ref="UVF38:UVF39"/>
    <mergeCell ref="UVG38:UVG39"/>
    <mergeCell ref="UVH38:UVH39"/>
    <mergeCell ref="UVC39:UVE39"/>
    <mergeCell ref="UUK38:UUK39"/>
    <mergeCell ref="UUL38:UUL39"/>
    <mergeCell ref="UUM38:UUO38"/>
    <mergeCell ref="UUP38:UUP39"/>
    <mergeCell ref="UUQ38:UUQ39"/>
    <mergeCell ref="UUR38:UUR39"/>
    <mergeCell ref="UUS38:UUS39"/>
    <mergeCell ref="UUT38:UUT39"/>
    <mergeCell ref="UUU38:UUW38"/>
    <mergeCell ref="UUM39:UUO39"/>
    <mergeCell ref="UUU39:UUW39"/>
    <mergeCell ref="UTZ38:UTZ39"/>
    <mergeCell ref="UUA38:UUA39"/>
    <mergeCell ref="UUB38:UUB39"/>
    <mergeCell ref="UUC38:UUC39"/>
    <mergeCell ref="UUD38:UUD39"/>
    <mergeCell ref="UUE38:UUG38"/>
    <mergeCell ref="UUH38:UUH39"/>
    <mergeCell ref="UUI38:UUI39"/>
    <mergeCell ref="UUJ38:UUJ39"/>
    <mergeCell ref="UUE39:UUG39"/>
    <mergeCell ref="UTM38:UTM39"/>
    <mergeCell ref="UTN38:UTN39"/>
    <mergeCell ref="UTO38:UTQ38"/>
    <mergeCell ref="UTR38:UTR39"/>
    <mergeCell ref="UTS38:UTS39"/>
    <mergeCell ref="UTT38:UTT39"/>
    <mergeCell ref="UTU38:UTU39"/>
    <mergeCell ref="UTV38:UTV39"/>
    <mergeCell ref="UTW38:UTY38"/>
    <mergeCell ref="UTO39:UTQ39"/>
    <mergeCell ref="UTW39:UTY39"/>
    <mergeCell ref="UTB38:UTB39"/>
    <mergeCell ref="UTC38:UTC39"/>
    <mergeCell ref="UTD38:UTD39"/>
    <mergeCell ref="UTE38:UTE39"/>
    <mergeCell ref="UTF38:UTF39"/>
    <mergeCell ref="UTG38:UTI38"/>
    <mergeCell ref="UTJ38:UTJ39"/>
    <mergeCell ref="UTK38:UTK39"/>
    <mergeCell ref="UTL38:UTL39"/>
    <mergeCell ref="UTG39:UTI39"/>
    <mergeCell ref="USO38:USO39"/>
    <mergeCell ref="USP38:USP39"/>
    <mergeCell ref="USQ38:USS38"/>
    <mergeCell ref="UST38:UST39"/>
    <mergeCell ref="USU38:USU39"/>
    <mergeCell ref="USV38:USV39"/>
    <mergeCell ref="USW38:USW39"/>
    <mergeCell ref="USX38:USX39"/>
    <mergeCell ref="USY38:UTA38"/>
    <mergeCell ref="USQ39:USS39"/>
    <mergeCell ref="USY39:UTA39"/>
    <mergeCell ref="USD38:USD39"/>
    <mergeCell ref="USE38:USE39"/>
    <mergeCell ref="USF38:USF39"/>
    <mergeCell ref="USG38:USG39"/>
    <mergeCell ref="USH38:USH39"/>
    <mergeCell ref="USI38:USK38"/>
    <mergeCell ref="USL38:USL39"/>
    <mergeCell ref="USM38:USM39"/>
    <mergeCell ref="USN38:USN39"/>
    <mergeCell ref="USI39:USK39"/>
    <mergeCell ref="URQ38:URQ39"/>
    <mergeCell ref="URR38:URR39"/>
    <mergeCell ref="URS38:URU38"/>
    <mergeCell ref="URV38:URV39"/>
    <mergeCell ref="URW38:URW39"/>
    <mergeCell ref="URX38:URX39"/>
    <mergeCell ref="URY38:URY39"/>
    <mergeCell ref="URZ38:URZ39"/>
    <mergeCell ref="USA38:USC38"/>
    <mergeCell ref="URS39:URU39"/>
    <mergeCell ref="USA39:USC39"/>
    <mergeCell ref="URF38:URF39"/>
    <mergeCell ref="URG38:URG39"/>
    <mergeCell ref="URH38:URH39"/>
    <mergeCell ref="URI38:URI39"/>
    <mergeCell ref="URJ38:URJ39"/>
    <mergeCell ref="URK38:URM38"/>
    <mergeCell ref="URN38:URN39"/>
    <mergeCell ref="URO38:URO39"/>
    <mergeCell ref="URP38:URP39"/>
    <mergeCell ref="URK39:URM39"/>
    <mergeCell ref="UQS38:UQS39"/>
    <mergeCell ref="UQT38:UQT39"/>
    <mergeCell ref="UQU38:UQW38"/>
    <mergeCell ref="UQX38:UQX39"/>
    <mergeCell ref="UQY38:UQY39"/>
    <mergeCell ref="UQZ38:UQZ39"/>
    <mergeCell ref="URA38:URA39"/>
    <mergeCell ref="URB38:URB39"/>
    <mergeCell ref="URC38:URE38"/>
    <mergeCell ref="UQU39:UQW39"/>
    <mergeCell ref="URC39:URE39"/>
    <mergeCell ref="UQH38:UQH39"/>
    <mergeCell ref="UQI38:UQI39"/>
    <mergeCell ref="UQJ38:UQJ39"/>
    <mergeCell ref="UQK38:UQK39"/>
    <mergeCell ref="UQL38:UQL39"/>
    <mergeCell ref="UQM38:UQO38"/>
    <mergeCell ref="UQP38:UQP39"/>
    <mergeCell ref="UQQ38:UQQ39"/>
    <mergeCell ref="UQR38:UQR39"/>
    <mergeCell ref="UQM39:UQO39"/>
    <mergeCell ref="UPU38:UPU39"/>
    <mergeCell ref="UPV38:UPV39"/>
    <mergeCell ref="UPW38:UPY38"/>
    <mergeCell ref="UPZ38:UPZ39"/>
    <mergeCell ref="UQA38:UQA39"/>
    <mergeCell ref="UQB38:UQB39"/>
    <mergeCell ref="UQC38:UQC39"/>
    <mergeCell ref="UQD38:UQD39"/>
    <mergeCell ref="UQE38:UQG38"/>
    <mergeCell ref="UPW39:UPY39"/>
    <mergeCell ref="UQE39:UQG39"/>
    <mergeCell ref="UPJ38:UPJ39"/>
    <mergeCell ref="UPK38:UPK39"/>
    <mergeCell ref="UPL38:UPL39"/>
    <mergeCell ref="UPM38:UPM39"/>
    <mergeCell ref="UPN38:UPN39"/>
    <mergeCell ref="UPO38:UPQ38"/>
    <mergeCell ref="UPR38:UPR39"/>
    <mergeCell ref="UPS38:UPS39"/>
    <mergeCell ref="UPT38:UPT39"/>
    <mergeCell ref="UPO39:UPQ39"/>
    <mergeCell ref="UOW38:UOW39"/>
    <mergeCell ref="UOX38:UOX39"/>
    <mergeCell ref="UOY38:UPA38"/>
    <mergeCell ref="UPB38:UPB39"/>
    <mergeCell ref="UPC38:UPC39"/>
    <mergeCell ref="UPD38:UPD39"/>
    <mergeCell ref="UPE38:UPE39"/>
    <mergeCell ref="UPF38:UPF39"/>
    <mergeCell ref="UPG38:UPI38"/>
    <mergeCell ref="UOY39:UPA39"/>
    <mergeCell ref="UPG39:UPI39"/>
    <mergeCell ref="UOL38:UOL39"/>
    <mergeCell ref="UOM38:UOM39"/>
    <mergeCell ref="UON38:UON39"/>
    <mergeCell ref="UOO38:UOO39"/>
    <mergeCell ref="UOP38:UOP39"/>
    <mergeCell ref="UOQ38:UOS38"/>
    <mergeCell ref="UOT38:UOT39"/>
    <mergeCell ref="UOU38:UOU39"/>
    <mergeCell ref="UOV38:UOV39"/>
    <mergeCell ref="UOQ39:UOS39"/>
    <mergeCell ref="UNY38:UNY39"/>
    <mergeCell ref="UNZ38:UNZ39"/>
    <mergeCell ref="UOA38:UOC38"/>
    <mergeCell ref="UOD38:UOD39"/>
    <mergeCell ref="UOE38:UOE39"/>
    <mergeCell ref="UOF38:UOF39"/>
    <mergeCell ref="UOG38:UOG39"/>
    <mergeCell ref="UOH38:UOH39"/>
    <mergeCell ref="UOI38:UOK38"/>
    <mergeCell ref="UOA39:UOC39"/>
    <mergeCell ref="UOI39:UOK39"/>
    <mergeCell ref="UNN38:UNN39"/>
    <mergeCell ref="UNO38:UNO39"/>
    <mergeCell ref="UNP38:UNP39"/>
    <mergeCell ref="UNQ38:UNQ39"/>
    <mergeCell ref="UNR38:UNR39"/>
    <mergeCell ref="UNS38:UNU38"/>
    <mergeCell ref="UNV38:UNV39"/>
    <mergeCell ref="UNW38:UNW39"/>
    <mergeCell ref="UNX38:UNX39"/>
    <mergeCell ref="UNS39:UNU39"/>
    <mergeCell ref="UNA38:UNA39"/>
    <mergeCell ref="UNB38:UNB39"/>
    <mergeCell ref="UNC38:UNE38"/>
    <mergeCell ref="UNF38:UNF39"/>
    <mergeCell ref="UNG38:UNG39"/>
    <mergeCell ref="UNH38:UNH39"/>
    <mergeCell ref="UNI38:UNI39"/>
    <mergeCell ref="UNJ38:UNJ39"/>
    <mergeCell ref="UNK38:UNM38"/>
    <mergeCell ref="UNC39:UNE39"/>
    <mergeCell ref="UNK39:UNM39"/>
    <mergeCell ref="UMP38:UMP39"/>
    <mergeCell ref="UMQ38:UMQ39"/>
    <mergeCell ref="UMR38:UMR39"/>
    <mergeCell ref="UMS38:UMS39"/>
    <mergeCell ref="UMT38:UMT39"/>
    <mergeCell ref="UMU38:UMW38"/>
    <mergeCell ref="UMX38:UMX39"/>
    <mergeCell ref="UMY38:UMY39"/>
    <mergeCell ref="UMZ38:UMZ39"/>
    <mergeCell ref="UMU39:UMW39"/>
    <mergeCell ref="UMC38:UMC39"/>
    <mergeCell ref="UMD38:UMD39"/>
    <mergeCell ref="UME38:UMG38"/>
    <mergeCell ref="UMH38:UMH39"/>
    <mergeCell ref="UMI38:UMI39"/>
    <mergeCell ref="UMJ38:UMJ39"/>
    <mergeCell ref="UMK38:UMK39"/>
    <mergeCell ref="UML38:UML39"/>
    <mergeCell ref="UMM38:UMO38"/>
    <mergeCell ref="UME39:UMG39"/>
    <mergeCell ref="UMM39:UMO39"/>
    <mergeCell ref="ULR38:ULR39"/>
    <mergeCell ref="ULS38:ULS39"/>
    <mergeCell ref="ULT38:ULT39"/>
    <mergeCell ref="ULU38:ULU39"/>
    <mergeCell ref="ULV38:ULV39"/>
    <mergeCell ref="ULW38:ULY38"/>
    <mergeCell ref="ULZ38:ULZ39"/>
    <mergeCell ref="UMA38:UMA39"/>
    <mergeCell ref="UMB38:UMB39"/>
    <mergeCell ref="ULW39:ULY39"/>
    <mergeCell ref="ULE38:ULE39"/>
    <mergeCell ref="ULF38:ULF39"/>
    <mergeCell ref="ULG38:ULI38"/>
    <mergeCell ref="ULJ38:ULJ39"/>
    <mergeCell ref="ULK38:ULK39"/>
    <mergeCell ref="ULL38:ULL39"/>
    <mergeCell ref="ULM38:ULM39"/>
    <mergeCell ref="ULN38:ULN39"/>
    <mergeCell ref="ULO38:ULQ38"/>
    <mergeCell ref="ULG39:ULI39"/>
    <mergeCell ref="ULO39:ULQ39"/>
    <mergeCell ref="UKT38:UKT39"/>
    <mergeCell ref="UKU38:UKU39"/>
    <mergeCell ref="UKV38:UKV39"/>
    <mergeCell ref="UKW38:UKW39"/>
    <mergeCell ref="UKX38:UKX39"/>
    <mergeCell ref="UKY38:ULA38"/>
    <mergeCell ref="ULB38:ULB39"/>
    <mergeCell ref="ULC38:ULC39"/>
    <mergeCell ref="ULD38:ULD39"/>
    <mergeCell ref="UKY39:ULA39"/>
    <mergeCell ref="UKG38:UKG39"/>
    <mergeCell ref="UKH38:UKH39"/>
    <mergeCell ref="UKI38:UKK38"/>
    <mergeCell ref="UKL38:UKL39"/>
    <mergeCell ref="UKM38:UKM39"/>
    <mergeCell ref="UKN38:UKN39"/>
    <mergeCell ref="UKO38:UKO39"/>
    <mergeCell ref="UKP38:UKP39"/>
    <mergeCell ref="UKQ38:UKS38"/>
    <mergeCell ref="UKI39:UKK39"/>
    <mergeCell ref="UKQ39:UKS39"/>
    <mergeCell ref="UJV38:UJV39"/>
    <mergeCell ref="UJW38:UJW39"/>
    <mergeCell ref="UJX38:UJX39"/>
    <mergeCell ref="UJY38:UJY39"/>
    <mergeCell ref="UJZ38:UJZ39"/>
    <mergeCell ref="UKA38:UKC38"/>
    <mergeCell ref="UKD38:UKD39"/>
    <mergeCell ref="UKE38:UKE39"/>
    <mergeCell ref="UKF38:UKF39"/>
    <mergeCell ref="UKA39:UKC39"/>
    <mergeCell ref="UJI38:UJI39"/>
    <mergeCell ref="UJJ38:UJJ39"/>
    <mergeCell ref="UJK38:UJM38"/>
    <mergeCell ref="UJN38:UJN39"/>
    <mergeCell ref="UJO38:UJO39"/>
    <mergeCell ref="UJP38:UJP39"/>
    <mergeCell ref="UJQ38:UJQ39"/>
    <mergeCell ref="UJR38:UJR39"/>
    <mergeCell ref="UJS38:UJU38"/>
    <mergeCell ref="UJK39:UJM39"/>
    <mergeCell ref="UJS39:UJU39"/>
    <mergeCell ref="UIX38:UIX39"/>
    <mergeCell ref="UIY38:UIY39"/>
    <mergeCell ref="UIZ38:UIZ39"/>
    <mergeCell ref="UJA38:UJA39"/>
    <mergeCell ref="UJB38:UJB39"/>
    <mergeCell ref="UJC38:UJE38"/>
    <mergeCell ref="UJF38:UJF39"/>
    <mergeCell ref="UJG38:UJG39"/>
    <mergeCell ref="UJH38:UJH39"/>
    <mergeCell ref="UJC39:UJE39"/>
    <mergeCell ref="UIK38:UIK39"/>
    <mergeCell ref="UIL38:UIL39"/>
    <mergeCell ref="UIM38:UIO38"/>
    <mergeCell ref="UIP38:UIP39"/>
    <mergeCell ref="UIQ38:UIQ39"/>
    <mergeCell ref="UIR38:UIR39"/>
    <mergeCell ref="UIS38:UIS39"/>
    <mergeCell ref="UIT38:UIT39"/>
    <mergeCell ref="UIU38:UIW38"/>
    <mergeCell ref="UIM39:UIO39"/>
    <mergeCell ref="UIU39:UIW39"/>
    <mergeCell ref="UHZ38:UHZ39"/>
    <mergeCell ref="UIA38:UIA39"/>
    <mergeCell ref="UIB38:UIB39"/>
    <mergeCell ref="UIC38:UIC39"/>
    <mergeCell ref="UID38:UID39"/>
    <mergeCell ref="UIE38:UIG38"/>
    <mergeCell ref="UIH38:UIH39"/>
    <mergeCell ref="UII38:UII39"/>
    <mergeCell ref="UIJ38:UIJ39"/>
    <mergeCell ref="UIE39:UIG39"/>
    <mergeCell ref="UHM38:UHM39"/>
    <mergeCell ref="UHN38:UHN39"/>
    <mergeCell ref="UHO38:UHQ38"/>
    <mergeCell ref="UHR38:UHR39"/>
    <mergeCell ref="UHS38:UHS39"/>
    <mergeCell ref="UHT38:UHT39"/>
    <mergeCell ref="UHU38:UHU39"/>
    <mergeCell ref="UHV38:UHV39"/>
    <mergeCell ref="UHW38:UHY38"/>
    <mergeCell ref="UHO39:UHQ39"/>
    <mergeCell ref="UHW39:UHY39"/>
    <mergeCell ref="UHB38:UHB39"/>
    <mergeCell ref="UHC38:UHC39"/>
    <mergeCell ref="UHD38:UHD39"/>
    <mergeCell ref="UHE38:UHE39"/>
    <mergeCell ref="UHF38:UHF39"/>
    <mergeCell ref="UHG38:UHI38"/>
    <mergeCell ref="UHJ38:UHJ39"/>
    <mergeCell ref="UHK38:UHK39"/>
    <mergeCell ref="UHL38:UHL39"/>
    <mergeCell ref="UHG39:UHI39"/>
    <mergeCell ref="UGO38:UGO39"/>
    <mergeCell ref="UGP38:UGP39"/>
    <mergeCell ref="UGQ38:UGS38"/>
    <mergeCell ref="UGT38:UGT39"/>
    <mergeCell ref="UGU38:UGU39"/>
    <mergeCell ref="UGV38:UGV39"/>
    <mergeCell ref="UGW38:UGW39"/>
    <mergeCell ref="UGX38:UGX39"/>
    <mergeCell ref="UGY38:UHA38"/>
    <mergeCell ref="UGQ39:UGS39"/>
    <mergeCell ref="UGY39:UHA39"/>
    <mergeCell ref="UGD38:UGD39"/>
    <mergeCell ref="UGE38:UGE39"/>
    <mergeCell ref="UGF38:UGF39"/>
    <mergeCell ref="UGG38:UGG39"/>
    <mergeCell ref="UGH38:UGH39"/>
    <mergeCell ref="UGI38:UGK38"/>
    <mergeCell ref="UGL38:UGL39"/>
    <mergeCell ref="UGM38:UGM39"/>
    <mergeCell ref="UGN38:UGN39"/>
    <mergeCell ref="UGI39:UGK39"/>
    <mergeCell ref="UFQ38:UFQ39"/>
    <mergeCell ref="UFR38:UFR39"/>
    <mergeCell ref="UFS38:UFU38"/>
    <mergeCell ref="UFV38:UFV39"/>
    <mergeCell ref="UFW38:UFW39"/>
    <mergeCell ref="UFX38:UFX39"/>
    <mergeCell ref="UFY38:UFY39"/>
    <mergeCell ref="UFZ38:UFZ39"/>
    <mergeCell ref="UGA38:UGC38"/>
    <mergeCell ref="UFS39:UFU39"/>
    <mergeCell ref="UGA39:UGC39"/>
    <mergeCell ref="UFF38:UFF39"/>
    <mergeCell ref="UFG38:UFG39"/>
    <mergeCell ref="UFH38:UFH39"/>
    <mergeCell ref="UFI38:UFI39"/>
    <mergeCell ref="UFJ38:UFJ39"/>
    <mergeCell ref="UFK38:UFM38"/>
    <mergeCell ref="UFN38:UFN39"/>
    <mergeCell ref="UFO38:UFO39"/>
    <mergeCell ref="UFP38:UFP39"/>
    <mergeCell ref="UFK39:UFM39"/>
    <mergeCell ref="UES38:UES39"/>
    <mergeCell ref="UET38:UET39"/>
    <mergeCell ref="UEU38:UEW38"/>
    <mergeCell ref="UEX38:UEX39"/>
    <mergeCell ref="UEY38:UEY39"/>
    <mergeCell ref="UEZ38:UEZ39"/>
    <mergeCell ref="UFA38:UFA39"/>
    <mergeCell ref="UFB38:UFB39"/>
    <mergeCell ref="UFC38:UFE38"/>
    <mergeCell ref="UEU39:UEW39"/>
    <mergeCell ref="UFC39:UFE39"/>
    <mergeCell ref="UEH38:UEH39"/>
    <mergeCell ref="UEI38:UEI39"/>
    <mergeCell ref="UEJ38:UEJ39"/>
    <mergeCell ref="UEK38:UEK39"/>
    <mergeCell ref="UEL38:UEL39"/>
    <mergeCell ref="UEM38:UEO38"/>
    <mergeCell ref="UEP38:UEP39"/>
    <mergeCell ref="UEQ38:UEQ39"/>
    <mergeCell ref="UER38:UER39"/>
    <mergeCell ref="UEM39:UEO39"/>
    <mergeCell ref="UDU38:UDU39"/>
    <mergeCell ref="UDV38:UDV39"/>
    <mergeCell ref="UDW38:UDY38"/>
    <mergeCell ref="UDZ38:UDZ39"/>
    <mergeCell ref="UEA38:UEA39"/>
    <mergeCell ref="UEB38:UEB39"/>
    <mergeCell ref="UEC38:UEC39"/>
    <mergeCell ref="UED38:UED39"/>
    <mergeCell ref="UEE38:UEG38"/>
    <mergeCell ref="UDW39:UDY39"/>
    <mergeCell ref="UEE39:UEG39"/>
    <mergeCell ref="UDJ38:UDJ39"/>
    <mergeCell ref="UDK38:UDK39"/>
    <mergeCell ref="UDL38:UDL39"/>
    <mergeCell ref="UDM38:UDM39"/>
    <mergeCell ref="UDN38:UDN39"/>
    <mergeCell ref="UDO38:UDQ38"/>
    <mergeCell ref="UDR38:UDR39"/>
    <mergeCell ref="UDS38:UDS39"/>
    <mergeCell ref="UDT38:UDT39"/>
    <mergeCell ref="UDO39:UDQ39"/>
    <mergeCell ref="UCW38:UCW39"/>
    <mergeCell ref="UCX38:UCX39"/>
    <mergeCell ref="UCY38:UDA38"/>
    <mergeCell ref="UDB38:UDB39"/>
    <mergeCell ref="UDC38:UDC39"/>
    <mergeCell ref="UDD38:UDD39"/>
    <mergeCell ref="UDE38:UDE39"/>
    <mergeCell ref="UDF38:UDF39"/>
    <mergeCell ref="UDG38:UDI38"/>
    <mergeCell ref="UCY39:UDA39"/>
    <mergeCell ref="UDG39:UDI39"/>
    <mergeCell ref="UCL38:UCL39"/>
    <mergeCell ref="UCM38:UCM39"/>
    <mergeCell ref="UCN38:UCN39"/>
    <mergeCell ref="UCO38:UCO39"/>
    <mergeCell ref="UCP38:UCP39"/>
    <mergeCell ref="UCQ38:UCS38"/>
    <mergeCell ref="UCT38:UCT39"/>
    <mergeCell ref="UCU38:UCU39"/>
    <mergeCell ref="UCV38:UCV39"/>
    <mergeCell ref="UCQ39:UCS39"/>
    <mergeCell ref="UBY38:UBY39"/>
    <mergeCell ref="UBZ38:UBZ39"/>
    <mergeCell ref="UCA38:UCC38"/>
    <mergeCell ref="UCD38:UCD39"/>
    <mergeCell ref="UCE38:UCE39"/>
    <mergeCell ref="UCF38:UCF39"/>
    <mergeCell ref="UCG38:UCG39"/>
    <mergeCell ref="UCH38:UCH39"/>
    <mergeCell ref="UCI38:UCK38"/>
    <mergeCell ref="UCA39:UCC39"/>
    <mergeCell ref="UCI39:UCK39"/>
    <mergeCell ref="UBN38:UBN39"/>
    <mergeCell ref="UBO38:UBO39"/>
    <mergeCell ref="UBP38:UBP39"/>
    <mergeCell ref="UBQ38:UBQ39"/>
    <mergeCell ref="UBR38:UBR39"/>
    <mergeCell ref="UBS38:UBU38"/>
    <mergeCell ref="UBV38:UBV39"/>
    <mergeCell ref="UBW38:UBW39"/>
    <mergeCell ref="UBX38:UBX39"/>
    <mergeCell ref="UBS39:UBU39"/>
    <mergeCell ref="UBA38:UBA39"/>
    <mergeCell ref="UBB38:UBB39"/>
    <mergeCell ref="UBC38:UBE38"/>
    <mergeCell ref="UBF38:UBF39"/>
    <mergeCell ref="UBG38:UBG39"/>
    <mergeCell ref="UBH38:UBH39"/>
    <mergeCell ref="UBI38:UBI39"/>
    <mergeCell ref="UBJ38:UBJ39"/>
    <mergeCell ref="UBK38:UBM38"/>
    <mergeCell ref="UBC39:UBE39"/>
    <mergeCell ref="UBK39:UBM39"/>
    <mergeCell ref="UAP38:UAP39"/>
    <mergeCell ref="UAQ38:UAQ39"/>
    <mergeCell ref="UAR38:UAR39"/>
    <mergeCell ref="UAS38:UAS39"/>
    <mergeCell ref="UAT38:UAT39"/>
    <mergeCell ref="UAU38:UAW38"/>
    <mergeCell ref="UAX38:UAX39"/>
    <mergeCell ref="UAY38:UAY39"/>
    <mergeCell ref="UAZ38:UAZ39"/>
    <mergeCell ref="UAU39:UAW39"/>
    <mergeCell ref="UAC38:UAC39"/>
    <mergeCell ref="UAD38:UAD39"/>
    <mergeCell ref="UAE38:UAG38"/>
    <mergeCell ref="UAH38:UAH39"/>
    <mergeCell ref="UAI38:UAI39"/>
    <mergeCell ref="UAJ38:UAJ39"/>
    <mergeCell ref="UAK38:UAK39"/>
    <mergeCell ref="UAL38:UAL39"/>
    <mergeCell ref="UAM38:UAO38"/>
    <mergeCell ref="UAE39:UAG39"/>
    <mergeCell ref="UAM39:UAO39"/>
    <mergeCell ref="TZR38:TZR39"/>
    <mergeCell ref="TZS38:TZS39"/>
    <mergeCell ref="TZT38:TZT39"/>
    <mergeCell ref="TZU38:TZU39"/>
    <mergeCell ref="TZV38:TZV39"/>
    <mergeCell ref="TZW38:TZY38"/>
    <mergeCell ref="TZZ38:TZZ39"/>
    <mergeCell ref="UAA38:UAA39"/>
    <mergeCell ref="UAB38:UAB39"/>
    <mergeCell ref="TZW39:TZY39"/>
    <mergeCell ref="TZE38:TZE39"/>
    <mergeCell ref="TZF38:TZF39"/>
    <mergeCell ref="TZG38:TZI38"/>
    <mergeCell ref="TZJ38:TZJ39"/>
    <mergeCell ref="TZK38:TZK39"/>
    <mergeCell ref="TZL38:TZL39"/>
    <mergeCell ref="TZM38:TZM39"/>
    <mergeCell ref="TZN38:TZN39"/>
    <mergeCell ref="TZO38:TZQ38"/>
    <mergeCell ref="TZG39:TZI39"/>
    <mergeCell ref="TZO39:TZQ39"/>
    <mergeCell ref="TYT38:TYT39"/>
    <mergeCell ref="TYU38:TYU39"/>
    <mergeCell ref="TYV38:TYV39"/>
    <mergeCell ref="TYW38:TYW39"/>
    <mergeCell ref="TYX38:TYX39"/>
    <mergeCell ref="TYY38:TZA38"/>
    <mergeCell ref="TZB38:TZB39"/>
    <mergeCell ref="TZC38:TZC39"/>
    <mergeCell ref="TZD38:TZD39"/>
    <mergeCell ref="TYY39:TZA39"/>
    <mergeCell ref="TYG38:TYG39"/>
    <mergeCell ref="TYH38:TYH39"/>
    <mergeCell ref="TYI38:TYK38"/>
    <mergeCell ref="TYL38:TYL39"/>
    <mergeCell ref="TYM38:TYM39"/>
    <mergeCell ref="TYN38:TYN39"/>
    <mergeCell ref="TYO38:TYO39"/>
    <mergeCell ref="TYP38:TYP39"/>
    <mergeCell ref="TYQ38:TYS38"/>
    <mergeCell ref="TYI39:TYK39"/>
    <mergeCell ref="TYQ39:TYS39"/>
    <mergeCell ref="TXV38:TXV39"/>
    <mergeCell ref="TXW38:TXW39"/>
    <mergeCell ref="TXX38:TXX39"/>
    <mergeCell ref="TXY38:TXY39"/>
    <mergeCell ref="TXZ38:TXZ39"/>
    <mergeCell ref="TYA38:TYC38"/>
    <mergeCell ref="TYD38:TYD39"/>
    <mergeCell ref="TYE38:TYE39"/>
    <mergeCell ref="TYF38:TYF39"/>
    <mergeCell ref="TYA39:TYC39"/>
    <mergeCell ref="TXI38:TXI39"/>
    <mergeCell ref="TXJ38:TXJ39"/>
    <mergeCell ref="TXK38:TXM38"/>
    <mergeCell ref="TXN38:TXN39"/>
    <mergeCell ref="TXO38:TXO39"/>
    <mergeCell ref="TXP38:TXP39"/>
    <mergeCell ref="TXQ38:TXQ39"/>
    <mergeCell ref="TXR38:TXR39"/>
    <mergeCell ref="TXS38:TXU38"/>
    <mergeCell ref="TXK39:TXM39"/>
    <mergeCell ref="TXS39:TXU39"/>
    <mergeCell ref="TWX38:TWX39"/>
    <mergeCell ref="TWY38:TWY39"/>
    <mergeCell ref="TWZ38:TWZ39"/>
    <mergeCell ref="TXA38:TXA39"/>
    <mergeCell ref="TXB38:TXB39"/>
    <mergeCell ref="TXC38:TXE38"/>
    <mergeCell ref="TXF38:TXF39"/>
    <mergeCell ref="TXG38:TXG39"/>
    <mergeCell ref="TXH38:TXH39"/>
    <mergeCell ref="TXC39:TXE39"/>
    <mergeCell ref="TWK38:TWK39"/>
    <mergeCell ref="TWL38:TWL39"/>
    <mergeCell ref="TWM38:TWO38"/>
    <mergeCell ref="TWP38:TWP39"/>
    <mergeCell ref="TWQ38:TWQ39"/>
    <mergeCell ref="TWR38:TWR39"/>
    <mergeCell ref="TWS38:TWS39"/>
    <mergeCell ref="TWT38:TWT39"/>
    <mergeCell ref="TWU38:TWW38"/>
    <mergeCell ref="TWM39:TWO39"/>
    <mergeCell ref="TWU39:TWW39"/>
    <mergeCell ref="TVZ38:TVZ39"/>
    <mergeCell ref="TWA38:TWA39"/>
    <mergeCell ref="TWB38:TWB39"/>
    <mergeCell ref="TWC38:TWC39"/>
    <mergeCell ref="TWD38:TWD39"/>
    <mergeCell ref="TWE38:TWG38"/>
    <mergeCell ref="TWH38:TWH39"/>
    <mergeCell ref="TWI38:TWI39"/>
    <mergeCell ref="TWJ38:TWJ39"/>
    <mergeCell ref="TWE39:TWG39"/>
    <mergeCell ref="TVM38:TVM39"/>
    <mergeCell ref="TVN38:TVN39"/>
    <mergeCell ref="TVO38:TVQ38"/>
    <mergeCell ref="TVR38:TVR39"/>
    <mergeCell ref="TVS38:TVS39"/>
    <mergeCell ref="TVT38:TVT39"/>
    <mergeCell ref="TVU38:TVU39"/>
    <mergeCell ref="TVV38:TVV39"/>
    <mergeCell ref="TVW38:TVY38"/>
    <mergeCell ref="TVO39:TVQ39"/>
    <mergeCell ref="TVW39:TVY39"/>
    <mergeCell ref="TVB38:TVB39"/>
    <mergeCell ref="TVC38:TVC39"/>
    <mergeCell ref="TVD38:TVD39"/>
    <mergeCell ref="TVE38:TVE39"/>
    <mergeCell ref="TVF38:TVF39"/>
    <mergeCell ref="TVG38:TVI38"/>
    <mergeCell ref="TVJ38:TVJ39"/>
    <mergeCell ref="TVK38:TVK39"/>
    <mergeCell ref="TVL38:TVL39"/>
    <mergeCell ref="TVG39:TVI39"/>
    <mergeCell ref="TUO38:TUO39"/>
    <mergeCell ref="TUP38:TUP39"/>
    <mergeCell ref="TUQ38:TUS38"/>
    <mergeCell ref="TUT38:TUT39"/>
    <mergeCell ref="TUU38:TUU39"/>
    <mergeCell ref="TUV38:TUV39"/>
    <mergeCell ref="TUW38:TUW39"/>
    <mergeCell ref="TUX38:TUX39"/>
    <mergeCell ref="TUY38:TVA38"/>
    <mergeCell ref="TUQ39:TUS39"/>
    <mergeCell ref="TUY39:TVA39"/>
    <mergeCell ref="TUD38:TUD39"/>
    <mergeCell ref="TUE38:TUE39"/>
    <mergeCell ref="TUF38:TUF39"/>
    <mergeCell ref="TUG38:TUG39"/>
    <mergeCell ref="TUH38:TUH39"/>
    <mergeCell ref="TUI38:TUK38"/>
    <mergeCell ref="TUL38:TUL39"/>
    <mergeCell ref="TUM38:TUM39"/>
    <mergeCell ref="TUN38:TUN39"/>
    <mergeCell ref="TUI39:TUK39"/>
    <mergeCell ref="TTQ38:TTQ39"/>
    <mergeCell ref="TTR38:TTR39"/>
    <mergeCell ref="TTS38:TTU38"/>
    <mergeCell ref="TTV38:TTV39"/>
    <mergeCell ref="TTW38:TTW39"/>
    <mergeCell ref="TTX38:TTX39"/>
    <mergeCell ref="TTY38:TTY39"/>
    <mergeCell ref="TTZ38:TTZ39"/>
    <mergeCell ref="TUA38:TUC38"/>
    <mergeCell ref="TTS39:TTU39"/>
    <mergeCell ref="TUA39:TUC39"/>
    <mergeCell ref="TTF38:TTF39"/>
    <mergeCell ref="TTG38:TTG39"/>
    <mergeCell ref="TTH38:TTH39"/>
    <mergeCell ref="TTI38:TTI39"/>
    <mergeCell ref="TTJ38:TTJ39"/>
    <mergeCell ref="TTK38:TTM38"/>
    <mergeCell ref="TTN38:TTN39"/>
    <mergeCell ref="TTO38:TTO39"/>
    <mergeCell ref="TTP38:TTP39"/>
    <mergeCell ref="TTK39:TTM39"/>
    <mergeCell ref="TSS38:TSS39"/>
    <mergeCell ref="TST38:TST39"/>
    <mergeCell ref="TSU38:TSW38"/>
    <mergeCell ref="TSX38:TSX39"/>
    <mergeCell ref="TSY38:TSY39"/>
    <mergeCell ref="TSZ38:TSZ39"/>
    <mergeCell ref="TTA38:TTA39"/>
    <mergeCell ref="TTB38:TTB39"/>
    <mergeCell ref="TTC38:TTE38"/>
    <mergeCell ref="TSU39:TSW39"/>
    <mergeCell ref="TTC39:TTE39"/>
    <mergeCell ref="TSH38:TSH39"/>
    <mergeCell ref="TSI38:TSI39"/>
    <mergeCell ref="TSJ38:TSJ39"/>
    <mergeCell ref="TSK38:TSK39"/>
    <mergeCell ref="TSL38:TSL39"/>
    <mergeCell ref="TSM38:TSO38"/>
    <mergeCell ref="TSP38:TSP39"/>
    <mergeCell ref="TSQ38:TSQ39"/>
    <mergeCell ref="TSR38:TSR39"/>
    <mergeCell ref="TSM39:TSO39"/>
    <mergeCell ref="TRU38:TRU39"/>
    <mergeCell ref="TRV38:TRV39"/>
    <mergeCell ref="TRW38:TRY38"/>
    <mergeCell ref="TRZ38:TRZ39"/>
    <mergeCell ref="TSA38:TSA39"/>
    <mergeCell ref="TSB38:TSB39"/>
    <mergeCell ref="TSC38:TSC39"/>
    <mergeCell ref="TSD38:TSD39"/>
    <mergeCell ref="TSE38:TSG38"/>
    <mergeCell ref="TRW39:TRY39"/>
    <mergeCell ref="TSE39:TSG39"/>
    <mergeCell ref="TRJ38:TRJ39"/>
    <mergeCell ref="TRK38:TRK39"/>
    <mergeCell ref="TRL38:TRL39"/>
    <mergeCell ref="TRM38:TRM39"/>
    <mergeCell ref="TRN38:TRN39"/>
    <mergeCell ref="TRO38:TRQ38"/>
    <mergeCell ref="TRR38:TRR39"/>
    <mergeCell ref="TRS38:TRS39"/>
    <mergeCell ref="TRT38:TRT39"/>
    <mergeCell ref="TRO39:TRQ39"/>
    <mergeCell ref="TQW38:TQW39"/>
    <mergeCell ref="TQX38:TQX39"/>
    <mergeCell ref="TQY38:TRA38"/>
    <mergeCell ref="TRB38:TRB39"/>
    <mergeCell ref="TRC38:TRC39"/>
    <mergeCell ref="TRD38:TRD39"/>
    <mergeCell ref="TRE38:TRE39"/>
    <mergeCell ref="TRF38:TRF39"/>
    <mergeCell ref="TRG38:TRI38"/>
    <mergeCell ref="TQY39:TRA39"/>
    <mergeCell ref="TRG39:TRI39"/>
    <mergeCell ref="TQL38:TQL39"/>
    <mergeCell ref="TQM38:TQM39"/>
    <mergeCell ref="TQN38:TQN39"/>
    <mergeCell ref="TQO38:TQO39"/>
    <mergeCell ref="TQP38:TQP39"/>
    <mergeCell ref="TQQ38:TQS38"/>
    <mergeCell ref="TQT38:TQT39"/>
    <mergeCell ref="TQU38:TQU39"/>
    <mergeCell ref="TQV38:TQV39"/>
    <mergeCell ref="TQQ39:TQS39"/>
    <mergeCell ref="TPY38:TPY39"/>
    <mergeCell ref="TPZ38:TPZ39"/>
    <mergeCell ref="TQA38:TQC38"/>
    <mergeCell ref="TQD38:TQD39"/>
    <mergeCell ref="TQE38:TQE39"/>
    <mergeCell ref="TQF38:TQF39"/>
    <mergeCell ref="TQG38:TQG39"/>
    <mergeCell ref="TQH38:TQH39"/>
    <mergeCell ref="TQI38:TQK38"/>
    <mergeCell ref="TQA39:TQC39"/>
    <mergeCell ref="TQI39:TQK39"/>
    <mergeCell ref="TPN38:TPN39"/>
    <mergeCell ref="TPO38:TPO39"/>
    <mergeCell ref="TPP38:TPP39"/>
    <mergeCell ref="TPQ38:TPQ39"/>
    <mergeCell ref="TPR38:TPR39"/>
    <mergeCell ref="TPS38:TPU38"/>
    <mergeCell ref="TPV38:TPV39"/>
    <mergeCell ref="TPW38:TPW39"/>
    <mergeCell ref="TPX38:TPX39"/>
    <mergeCell ref="TPS39:TPU39"/>
    <mergeCell ref="TPA38:TPA39"/>
    <mergeCell ref="TPB38:TPB39"/>
    <mergeCell ref="TPC38:TPE38"/>
    <mergeCell ref="TPF38:TPF39"/>
    <mergeCell ref="TPG38:TPG39"/>
    <mergeCell ref="TPH38:TPH39"/>
    <mergeCell ref="TPI38:TPI39"/>
    <mergeCell ref="TPJ38:TPJ39"/>
    <mergeCell ref="TPK38:TPM38"/>
    <mergeCell ref="TPC39:TPE39"/>
    <mergeCell ref="TPK39:TPM39"/>
    <mergeCell ref="TOP38:TOP39"/>
    <mergeCell ref="TOQ38:TOQ39"/>
    <mergeCell ref="TOR38:TOR39"/>
    <mergeCell ref="TOS38:TOS39"/>
    <mergeCell ref="TOT38:TOT39"/>
    <mergeCell ref="TOU38:TOW38"/>
    <mergeCell ref="TOX38:TOX39"/>
    <mergeCell ref="TOY38:TOY39"/>
    <mergeCell ref="TOZ38:TOZ39"/>
    <mergeCell ref="TOU39:TOW39"/>
    <mergeCell ref="TOC38:TOC39"/>
    <mergeCell ref="TOD38:TOD39"/>
    <mergeCell ref="TOE38:TOG38"/>
    <mergeCell ref="TOH38:TOH39"/>
    <mergeCell ref="TOI38:TOI39"/>
    <mergeCell ref="TOJ38:TOJ39"/>
    <mergeCell ref="TOK38:TOK39"/>
    <mergeCell ref="TOL38:TOL39"/>
    <mergeCell ref="TOM38:TOO38"/>
    <mergeCell ref="TOE39:TOG39"/>
    <mergeCell ref="TOM39:TOO39"/>
    <mergeCell ref="TNR38:TNR39"/>
    <mergeCell ref="TNS38:TNS39"/>
    <mergeCell ref="TNT38:TNT39"/>
    <mergeCell ref="TNU38:TNU39"/>
    <mergeCell ref="TNV38:TNV39"/>
    <mergeCell ref="TNW38:TNY38"/>
    <mergeCell ref="TNZ38:TNZ39"/>
    <mergeCell ref="TOA38:TOA39"/>
    <mergeCell ref="TOB38:TOB39"/>
    <mergeCell ref="TNW39:TNY39"/>
    <mergeCell ref="TNE38:TNE39"/>
    <mergeCell ref="TNF38:TNF39"/>
    <mergeCell ref="TNG38:TNI38"/>
    <mergeCell ref="TNJ38:TNJ39"/>
    <mergeCell ref="TNK38:TNK39"/>
    <mergeCell ref="TNL38:TNL39"/>
    <mergeCell ref="TNM38:TNM39"/>
    <mergeCell ref="TNN38:TNN39"/>
    <mergeCell ref="TNO38:TNQ38"/>
    <mergeCell ref="TNG39:TNI39"/>
    <mergeCell ref="TNO39:TNQ39"/>
    <mergeCell ref="TMT38:TMT39"/>
    <mergeCell ref="TMU38:TMU39"/>
    <mergeCell ref="TMV38:TMV39"/>
    <mergeCell ref="TMW38:TMW39"/>
    <mergeCell ref="TMX38:TMX39"/>
    <mergeCell ref="TMY38:TNA38"/>
    <mergeCell ref="TNB38:TNB39"/>
    <mergeCell ref="TNC38:TNC39"/>
    <mergeCell ref="TND38:TND39"/>
    <mergeCell ref="TMY39:TNA39"/>
    <mergeCell ref="TMG38:TMG39"/>
    <mergeCell ref="TMH38:TMH39"/>
    <mergeCell ref="TMI38:TMK38"/>
    <mergeCell ref="TML38:TML39"/>
    <mergeCell ref="TMM38:TMM39"/>
    <mergeCell ref="TMN38:TMN39"/>
    <mergeCell ref="TMO38:TMO39"/>
    <mergeCell ref="TMP38:TMP39"/>
    <mergeCell ref="TMQ38:TMS38"/>
    <mergeCell ref="TMI39:TMK39"/>
    <mergeCell ref="TMQ39:TMS39"/>
    <mergeCell ref="TLV38:TLV39"/>
    <mergeCell ref="TLW38:TLW39"/>
    <mergeCell ref="TLX38:TLX39"/>
    <mergeCell ref="TLY38:TLY39"/>
    <mergeCell ref="TLZ38:TLZ39"/>
    <mergeCell ref="TMA38:TMC38"/>
    <mergeCell ref="TMD38:TMD39"/>
    <mergeCell ref="TME38:TME39"/>
    <mergeCell ref="TMF38:TMF39"/>
    <mergeCell ref="TMA39:TMC39"/>
    <mergeCell ref="TLI38:TLI39"/>
    <mergeCell ref="TLJ38:TLJ39"/>
    <mergeCell ref="TLK38:TLM38"/>
    <mergeCell ref="TLN38:TLN39"/>
    <mergeCell ref="TLO38:TLO39"/>
    <mergeCell ref="TLP38:TLP39"/>
    <mergeCell ref="TLQ38:TLQ39"/>
    <mergeCell ref="TLR38:TLR39"/>
    <mergeCell ref="TLS38:TLU38"/>
    <mergeCell ref="TLK39:TLM39"/>
    <mergeCell ref="TLS39:TLU39"/>
    <mergeCell ref="TKX38:TKX39"/>
    <mergeCell ref="TKY38:TKY39"/>
    <mergeCell ref="TKZ38:TKZ39"/>
    <mergeCell ref="TLA38:TLA39"/>
    <mergeCell ref="TLB38:TLB39"/>
    <mergeCell ref="TLC38:TLE38"/>
    <mergeCell ref="TLF38:TLF39"/>
    <mergeCell ref="TLG38:TLG39"/>
    <mergeCell ref="TLH38:TLH39"/>
    <mergeCell ref="TLC39:TLE39"/>
    <mergeCell ref="TKK38:TKK39"/>
    <mergeCell ref="TKL38:TKL39"/>
    <mergeCell ref="TKM38:TKO38"/>
    <mergeCell ref="TKP38:TKP39"/>
    <mergeCell ref="TKQ38:TKQ39"/>
    <mergeCell ref="TKR38:TKR39"/>
    <mergeCell ref="TKS38:TKS39"/>
    <mergeCell ref="TKT38:TKT39"/>
    <mergeCell ref="TKU38:TKW38"/>
    <mergeCell ref="TKM39:TKO39"/>
    <mergeCell ref="TKU39:TKW39"/>
    <mergeCell ref="TJZ38:TJZ39"/>
    <mergeCell ref="TKA38:TKA39"/>
    <mergeCell ref="TKB38:TKB39"/>
    <mergeCell ref="TKC38:TKC39"/>
    <mergeCell ref="TKD38:TKD39"/>
    <mergeCell ref="TKE38:TKG38"/>
    <mergeCell ref="TKH38:TKH39"/>
    <mergeCell ref="TKI38:TKI39"/>
    <mergeCell ref="TKJ38:TKJ39"/>
    <mergeCell ref="TKE39:TKG39"/>
    <mergeCell ref="TJM38:TJM39"/>
    <mergeCell ref="TJN38:TJN39"/>
    <mergeCell ref="TJO38:TJQ38"/>
    <mergeCell ref="TJR38:TJR39"/>
    <mergeCell ref="TJS38:TJS39"/>
    <mergeCell ref="TJT38:TJT39"/>
    <mergeCell ref="TJU38:TJU39"/>
    <mergeCell ref="TJV38:TJV39"/>
    <mergeCell ref="TJW38:TJY38"/>
    <mergeCell ref="TJO39:TJQ39"/>
    <mergeCell ref="TJW39:TJY39"/>
    <mergeCell ref="TJB38:TJB39"/>
    <mergeCell ref="TJC38:TJC39"/>
    <mergeCell ref="TJD38:TJD39"/>
    <mergeCell ref="TJE38:TJE39"/>
    <mergeCell ref="TJF38:TJF39"/>
    <mergeCell ref="TJG38:TJI38"/>
    <mergeCell ref="TJJ38:TJJ39"/>
    <mergeCell ref="TJK38:TJK39"/>
    <mergeCell ref="TJL38:TJL39"/>
    <mergeCell ref="TJG39:TJI39"/>
    <mergeCell ref="TIO38:TIO39"/>
    <mergeCell ref="TIP38:TIP39"/>
    <mergeCell ref="TIQ38:TIS38"/>
    <mergeCell ref="TIT38:TIT39"/>
    <mergeCell ref="TIU38:TIU39"/>
    <mergeCell ref="TIV38:TIV39"/>
    <mergeCell ref="TIW38:TIW39"/>
    <mergeCell ref="TIX38:TIX39"/>
    <mergeCell ref="TIY38:TJA38"/>
    <mergeCell ref="TIQ39:TIS39"/>
    <mergeCell ref="TIY39:TJA39"/>
    <mergeCell ref="TID38:TID39"/>
    <mergeCell ref="TIE38:TIE39"/>
    <mergeCell ref="TIF38:TIF39"/>
    <mergeCell ref="TIG38:TIG39"/>
    <mergeCell ref="TIH38:TIH39"/>
    <mergeCell ref="TII38:TIK38"/>
    <mergeCell ref="TIL38:TIL39"/>
    <mergeCell ref="TIM38:TIM39"/>
    <mergeCell ref="TIN38:TIN39"/>
    <mergeCell ref="TII39:TIK39"/>
    <mergeCell ref="THQ38:THQ39"/>
    <mergeCell ref="THR38:THR39"/>
    <mergeCell ref="THS38:THU38"/>
    <mergeCell ref="THV38:THV39"/>
    <mergeCell ref="THW38:THW39"/>
    <mergeCell ref="THX38:THX39"/>
    <mergeCell ref="THY38:THY39"/>
    <mergeCell ref="THZ38:THZ39"/>
    <mergeCell ref="TIA38:TIC38"/>
    <mergeCell ref="THS39:THU39"/>
    <mergeCell ref="TIA39:TIC39"/>
    <mergeCell ref="THF38:THF39"/>
    <mergeCell ref="THG38:THG39"/>
    <mergeCell ref="THH38:THH39"/>
    <mergeCell ref="THI38:THI39"/>
    <mergeCell ref="THJ38:THJ39"/>
    <mergeCell ref="THK38:THM38"/>
    <mergeCell ref="THN38:THN39"/>
    <mergeCell ref="THO38:THO39"/>
    <mergeCell ref="THP38:THP39"/>
    <mergeCell ref="THK39:THM39"/>
    <mergeCell ref="TGS38:TGS39"/>
    <mergeCell ref="TGT38:TGT39"/>
    <mergeCell ref="TGU38:TGW38"/>
    <mergeCell ref="TGX38:TGX39"/>
    <mergeCell ref="TGY38:TGY39"/>
    <mergeCell ref="TGZ38:TGZ39"/>
    <mergeCell ref="THA38:THA39"/>
    <mergeCell ref="THB38:THB39"/>
    <mergeCell ref="THC38:THE38"/>
    <mergeCell ref="TGU39:TGW39"/>
    <mergeCell ref="THC39:THE39"/>
    <mergeCell ref="TGH38:TGH39"/>
    <mergeCell ref="TGI38:TGI39"/>
    <mergeCell ref="TGJ38:TGJ39"/>
    <mergeCell ref="TGK38:TGK39"/>
    <mergeCell ref="TGL38:TGL39"/>
    <mergeCell ref="TGM38:TGO38"/>
    <mergeCell ref="TGP38:TGP39"/>
    <mergeCell ref="TGQ38:TGQ39"/>
    <mergeCell ref="TGR38:TGR39"/>
    <mergeCell ref="TGM39:TGO39"/>
    <mergeCell ref="TFU38:TFU39"/>
    <mergeCell ref="TFV38:TFV39"/>
    <mergeCell ref="TFW38:TFY38"/>
    <mergeCell ref="TFZ38:TFZ39"/>
    <mergeCell ref="TGA38:TGA39"/>
    <mergeCell ref="TGB38:TGB39"/>
    <mergeCell ref="TGC38:TGC39"/>
    <mergeCell ref="TGD38:TGD39"/>
    <mergeCell ref="TGE38:TGG38"/>
    <mergeCell ref="TFW39:TFY39"/>
    <mergeCell ref="TGE39:TGG39"/>
    <mergeCell ref="TFJ38:TFJ39"/>
    <mergeCell ref="TFK38:TFK39"/>
    <mergeCell ref="TFL38:TFL39"/>
    <mergeCell ref="TFM38:TFM39"/>
    <mergeCell ref="TFN38:TFN39"/>
    <mergeCell ref="TFO38:TFQ38"/>
    <mergeCell ref="TFR38:TFR39"/>
    <mergeCell ref="TFS38:TFS39"/>
    <mergeCell ref="TFT38:TFT39"/>
    <mergeCell ref="TFO39:TFQ39"/>
    <mergeCell ref="TEW38:TEW39"/>
    <mergeCell ref="TEX38:TEX39"/>
    <mergeCell ref="TEY38:TFA38"/>
    <mergeCell ref="TFB38:TFB39"/>
    <mergeCell ref="TFC38:TFC39"/>
    <mergeCell ref="TFD38:TFD39"/>
    <mergeCell ref="TFE38:TFE39"/>
    <mergeCell ref="TFF38:TFF39"/>
    <mergeCell ref="TFG38:TFI38"/>
    <mergeCell ref="TEY39:TFA39"/>
    <mergeCell ref="TFG39:TFI39"/>
    <mergeCell ref="TEL38:TEL39"/>
    <mergeCell ref="TEM38:TEM39"/>
    <mergeCell ref="TEN38:TEN39"/>
    <mergeCell ref="TEO38:TEO39"/>
    <mergeCell ref="TEP38:TEP39"/>
    <mergeCell ref="TEQ38:TES38"/>
    <mergeCell ref="TET38:TET39"/>
    <mergeCell ref="TEU38:TEU39"/>
    <mergeCell ref="TEV38:TEV39"/>
    <mergeCell ref="TEQ39:TES39"/>
    <mergeCell ref="TDY38:TDY39"/>
    <mergeCell ref="TDZ38:TDZ39"/>
    <mergeCell ref="TEA38:TEC38"/>
    <mergeCell ref="TED38:TED39"/>
    <mergeCell ref="TEE38:TEE39"/>
    <mergeCell ref="TEF38:TEF39"/>
    <mergeCell ref="TEG38:TEG39"/>
    <mergeCell ref="TEH38:TEH39"/>
    <mergeCell ref="TEI38:TEK38"/>
    <mergeCell ref="TEA39:TEC39"/>
    <mergeCell ref="TEI39:TEK39"/>
    <mergeCell ref="TDN38:TDN39"/>
    <mergeCell ref="TDO38:TDO39"/>
    <mergeCell ref="TDP38:TDP39"/>
    <mergeCell ref="TDQ38:TDQ39"/>
    <mergeCell ref="TDR38:TDR39"/>
    <mergeCell ref="TDS38:TDU38"/>
    <mergeCell ref="TDV38:TDV39"/>
    <mergeCell ref="TDW38:TDW39"/>
    <mergeCell ref="TDX38:TDX39"/>
    <mergeCell ref="TDS39:TDU39"/>
    <mergeCell ref="TDA38:TDA39"/>
    <mergeCell ref="TDB38:TDB39"/>
    <mergeCell ref="TDC38:TDE38"/>
    <mergeCell ref="TDF38:TDF39"/>
    <mergeCell ref="TDG38:TDG39"/>
    <mergeCell ref="TDH38:TDH39"/>
    <mergeCell ref="TDI38:TDI39"/>
    <mergeCell ref="TDJ38:TDJ39"/>
    <mergeCell ref="TDK38:TDM38"/>
    <mergeCell ref="TDC39:TDE39"/>
    <mergeCell ref="TDK39:TDM39"/>
    <mergeCell ref="TCP38:TCP39"/>
    <mergeCell ref="TCQ38:TCQ39"/>
    <mergeCell ref="TCR38:TCR39"/>
    <mergeCell ref="TCS38:TCS39"/>
    <mergeCell ref="TCT38:TCT39"/>
    <mergeCell ref="TCU38:TCW38"/>
    <mergeCell ref="TCX38:TCX39"/>
    <mergeCell ref="TCY38:TCY39"/>
    <mergeCell ref="TCZ38:TCZ39"/>
    <mergeCell ref="TCU39:TCW39"/>
    <mergeCell ref="TCC38:TCC39"/>
    <mergeCell ref="TCD38:TCD39"/>
    <mergeCell ref="TCE38:TCG38"/>
    <mergeCell ref="TCH38:TCH39"/>
    <mergeCell ref="TCI38:TCI39"/>
    <mergeCell ref="TCJ38:TCJ39"/>
    <mergeCell ref="TCK38:TCK39"/>
    <mergeCell ref="TCL38:TCL39"/>
    <mergeCell ref="TCM38:TCO38"/>
    <mergeCell ref="TCE39:TCG39"/>
    <mergeCell ref="TCM39:TCO39"/>
    <mergeCell ref="TBR38:TBR39"/>
    <mergeCell ref="TBS38:TBS39"/>
    <mergeCell ref="TBT38:TBT39"/>
    <mergeCell ref="TBU38:TBU39"/>
    <mergeCell ref="TBV38:TBV39"/>
    <mergeCell ref="TBW38:TBY38"/>
    <mergeCell ref="TBZ38:TBZ39"/>
    <mergeCell ref="TCA38:TCA39"/>
    <mergeCell ref="TCB38:TCB39"/>
    <mergeCell ref="TBW39:TBY39"/>
    <mergeCell ref="TBE38:TBE39"/>
    <mergeCell ref="TBF38:TBF39"/>
    <mergeCell ref="TBG38:TBI38"/>
    <mergeCell ref="TBJ38:TBJ39"/>
    <mergeCell ref="TBK38:TBK39"/>
    <mergeCell ref="TBL38:TBL39"/>
    <mergeCell ref="TBM38:TBM39"/>
    <mergeCell ref="TBN38:TBN39"/>
    <mergeCell ref="TBO38:TBQ38"/>
    <mergeCell ref="TBG39:TBI39"/>
    <mergeCell ref="TBO39:TBQ39"/>
    <mergeCell ref="TAT38:TAT39"/>
    <mergeCell ref="TAU38:TAU39"/>
    <mergeCell ref="TAV38:TAV39"/>
    <mergeCell ref="TAW38:TAW39"/>
    <mergeCell ref="TAX38:TAX39"/>
    <mergeCell ref="TAY38:TBA38"/>
    <mergeCell ref="TBB38:TBB39"/>
    <mergeCell ref="TBC38:TBC39"/>
    <mergeCell ref="TBD38:TBD39"/>
    <mergeCell ref="TAY39:TBA39"/>
    <mergeCell ref="TAG38:TAG39"/>
    <mergeCell ref="TAH38:TAH39"/>
    <mergeCell ref="TAI38:TAK38"/>
    <mergeCell ref="TAL38:TAL39"/>
    <mergeCell ref="TAM38:TAM39"/>
    <mergeCell ref="TAN38:TAN39"/>
    <mergeCell ref="TAO38:TAO39"/>
    <mergeCell ref="TAP38:TAP39"/>
    <mergeCell ref="TAQ38:TAS38"/>
    <mergeCell ref="TAI39:TAK39"/>
    <mergeCell ref="TAQ39:TAS39"/>
    <mergeCell ref="SZV38:SZV39"/>
    <mergeCell ref="SZW38:SZW39"/>
    <mergeCell ref="SZX38:SZX39"/>
    <mergeCell ref="SZY38:SZY39"/>
    <mergeCell ref="SZZ38:SZZ39"/>
    <mergeCell ref="TAA38:TAC38"/>
    <mergeCell ref="TAD38:TAD39"/>
    <mergeCell ref="TAE38:TAE39"/>
    <mergeCell ref="TAF38:TAF39"/>
    <mergeCell ref="TAA39:TAC39"/>
    <mergeCell ref="SZI38:SZI39"/>
    <mergeCell ref="SZJ38:SZJ39"/>
    <mergeCell ref="SZK38:SZM38"/>
    <mergeCell ref="SZN38:SZN39"/>
    <mergeCell ref="SZO38:SZO39"/>
    <mergeCell ref="SZP38:SZP39"/>
    <mergeCell ref="SZQ38:SZQ39"/>
    <mergeCell ref="SZR38:SZR39"/>
    <mergeCell ref="SZS38:SZU38"/>
    <mergeCell ref="SZK39:SZM39"/>
    <mergeCell ref="SZS39:SZU39"/>
    <mergeCell ref="SYX38:SYX39"/>
    <mergeCell ref="SYY38:SYY39"/>
    <mergeCell ref="SYZ38:SYZ39"/>
    <mergeCell ref="SZA38:SZA39"/>
    <mergeCell ref="SZB38:SZB39"/>
    <mergeCell ref="SZC38:SZE38"/>
    <mergeCell ref="SZF38:SZF39"/>
    <mergeCell ref="SZG38:SZG39"/>
    <mergeCell ref="SZH38:SZH39"/>
    <mergeCell ref="SZC39:SZE39"/>
    <mergeCell ref="SYK38:SYK39"/>
    <mergeCell ref="SYL38:SYL39"/>
    <mergeCell ref="SYM38:SYO38"/>
    <mergeCell ref="SYP38:SYP39"/>
    <mergeCell ref="SYQ38:SYQ39"/>
    <mergeCell ref="SYR38:SYR39"/>
    <mergeCell ref="SYS38:SYS39"/>
    <mergeCell ref="SYT38:SYT39"/>
    <mergeCell ref="SYU38:SYW38"/>
    <mergeCell ref="SYM39:SYO39"/>
    <mergeCell ref="SYU39:SYW39"/>
    <mergeCell ref="SXZ38:SXZ39"/>
    <mergeCell ref="SYA38:SYA39"/>
    <mergeCell ref="SYB38:SYB39"/>
    <mergeCell ref="SYC38:SYC39"/>
    <mergeCell ref="SYD38:SYD39"/>
    <mergeCell ref="SYE38:SYG38"/>
    <mergeCell ref="SYH38:SYH39"/>
    <mergeCell ref="SYI38:SYI39"/>
    <mergeCell ref="SYJ38:SYJ39"/>
    <mergeCell ref="SYE39:SYG39"/>
    <mergeCell ref="SXM38:SXM39"/>
    <mergeCell ref="SXN38:SXN39"/>
    <mergeCell ref="SXO38:SXQ38"/>
    <mergeCell ref="SXR38:SXR39"/>
    <mergeCell ref="SXS38:SXS39"/>
    <mergeCell ref="SXT38:SXT39"/>
    <mergeCell ref="SXU38:SXU39"/>
    <mergeCell ref="SXV38:SXV39"/>
    <mergeCell ref="SXW38:SXY38"/>
    <mergeCell ref="SXO39:SXQ39"/>
    <mergeCell ref="SXW39:SXY39"/>
    <mergeCell ref="SXB38:SXB39"/>
    <mergeCell ref="SXC38:SXC39"/>
    <mergeCell ref="SXD38:SXD39"/>
    <mergeCell ref="SXE38:SXE39"/>
    <mergeCell ref="SXF38:SXF39"/>
    <mergeCell ref="SXG38:SXI38"/>
    <mergeCell ref="SXJ38:SXJ39"/>
    <mergeCell ref="SXK38:SXK39"/>
    <mergeCell ref="SXL38:SXL39"/>
    <mergeCell ref="SXG39:SXI39"/>
    <mergeCell ref="SWO38:SWO39"/>
    <mergeCell ref="SWP38:SWP39"/>
    <mergeCell ref="SWQ38:SWS38"/>
    <mergeCell ref="SWT38:SWT39"/>
    <mergeCell ref="SWU38:SWU39"/>
    <mergeCell ref="SWV38:SWV39"/>
    <mergeCell ref="SWW38:SWW39"/>
    <mergeCell ref="SWX38:SWX39"/>
    <mergeCell ref="SWY38:SXA38"/>
    <mergeCell ref="SWQ39:SWS39"/>
    <mergeCell ref="SWY39:SXA39"/>
    <mergeCell ref="SWD38:SWD39"/>
    <mergeCell ref="SWE38:SWE39"/>
    <mergeCell ref="SWF38:SWF39"/>
    <mergeCell ref="SWG38:SWG39"/>
    <mergeCell ref="SWH38:SWH39"/>
    <mergeCell ref="SWI38:SWK38"/>
    <mergeCell ref="SWL38:SWL39"/>
    <mergeCell ref="SWM38:SWM39"/>
    <mergeCell ref="SWN38:SWN39"/>
    <mergeCell ref="SWI39:SWK39"/>
    <mergeCell ref="SVQ38:SVQ39"/>
    <mergeCell ref="SVR38:SVR39"/>
    <mergeCell ref="SVS38:SVU38"/>
    <mergeCell ref="SVV38:SVV39"/>
    <mergeCell ref="SVW38:SVW39"/>
    <mergeCell ref="SVX38:SVX39"/>
    <mergeCell ref="SVY38:SVY39"/>
    <mergeCell ref="SVZ38:SVZ39"/>
    <mergeCell ref="SWA38:SWC38"/>
    <mergeCell ref="SVS39:SVU39"/>
    <mergeCell ref="SWA39:SWC39"/>
    <mergeCell ref="SVF38:SVF39"/>
    <mergeCell ref="SVG38:SVG39"/>
    <mergeCell ref="SVH38:SVH39"/>
    <mergeCell ref="SVI38:SVI39"/>
    <mergeCell ref="SVJ38:SVJ39"/>
    <mergeCell ref="SVK38:SVM38"/>
    <mergeCell ref="SVN38:SVN39"/>
    <mergeCell ref="SVO38:SVO39"/>
    <mergeCell ref="SVP38:SVP39"/>
    <mergeCell ref="SVK39:SVM39"/>
    <mergeCell ref="SUS38:SUS39"/>
    <mergeCell ref="SUT38:SUT39"/>
    <mergeCell ref="SUU38:SUW38"/>
    <mergeCell ref="SUX38:SUX39"/>
    <mergeCell ref="SUY38:SUY39"/>
    <mergeCell ref="SUZ38:SUZ39"/>
    <mergeCell ref="SVA38:SVA39"/>
    <mergeCell ref="SVB38:SVB39"/>
    <mergeCell ref="SVC38:SVE38"/>
    <mergeCell ref="SUU39:SUW39"/>
    <mergeCell ref="SVC39:SVE39"/>
    <mergeCell ref="SUH38:SUH39"/>
    <mergeCell ref="SUI38:SUI39"/>
    <mergeCell ref="SUJ38:SUJ39"/>
    <mergeCell ref="SUK38:SUK39"/>
    <mergeCell ref="SUL38:SUL39"/>
    <mergeCell ref="SUM38:SUO38"/>
    <mergeCell ref="SUP38:SUP39"/>
    <mergeCell ref="SUQ38:SUQ39"/>
    <mergeCell ref="SUR38:SUR39"/>
    <mergeCell ref="SUM39:SUO39"/>
    <mergeCell ref="STU38:STU39"/>
    <mergeCell ref="STV38:STV39"/>
    <mergeCell ref="STW38:STY38"/>
    <mergeCell ref="STZ38:STZ39"/>
    <mergeCell ref="SUA38:SUA39"/>
    <mergeCell ref="SUB38:SUB39"/>
    <mergeCell ref="SUC38:SUC39"/>
    <mergeCell ref="SUD38:SUD39"/>
    <mergeCell ref="SUE38:SUG38"/>
    <mergeCell ref="STW39:STY39"/>
    <mergeCell ref="SUE39:SUG39"/>
    <mergeCell ref="STJ38:STJ39"/>
    <mergeCell ref="STK38:STK39"/>
    <mergeCell ref="STL38:STL39"/>
    <mergeCell ref="STM38:STM39"/>
    <mergeCell ref="STN38:STN39"/>
    <mergeCell ref="STO38:STQ38"/>
    <mergeCell ref="STR38:STR39"/>
    <mergeCell ref="STS38:STS39"/>
    <mergeCell ref="STT38:STT39"/>
    <mergeCell ref="STO39:STQ39"/>
    <mergeCell ref="SSW38:SSW39"/>
    <mergeCell ref="SSX38:SSX39"/>
    <mergeCell ref="SSY38:STA38"/>
    <mergeCell ref="STB38:STB39"/>
    <mergeCell ref="STC38:STC39"/>
    <mergeCell ref="STD38:STD39"/>
    <mergeCell ref="STE38:STE39"/>
    <mergeCell ref="STF38:STF39"/>
    <mergeCell ref="STG38:STI38"/>
    <mergeCell ref="SSY39:STA39"/>
    <mergeCell ref="STG39:STI39"/>
    <mergeCell ref="SSL38:SSL39"/>
    <mergeCell ref="SSM38:SSM39"/>
    <mergeCell ref="SSN38:SSN39"/>
    <mergeCell ref="SSO38:SSO39"/>
    <mergeCell ref="SSP38:SSP39"/>
    <mergeCell ref="SSQ38:SSS38"/>
    <mergeCell ref="SST38:SST39"/>
    <mergeCell ref="SSU38:SSU39"/>
    <mergeCell ref="SSV38:SSV39"/>
    <mergeCell ref="SSQ39:SSS39"/>
    <mergeCell ref="SRY38:SRY39"/>
    <mergeCell ref="SRZ38:SRZ39"/>
    <mergeCell ref="SSA38:SSC38"/>
    <mergeCell ref="SSD38:SSD39"/>
    <mergeCell ref="SSE38:SSE39"/>
    <mergeCell ref="SSF38:SSF39"/>
    <mergeCell ref="SSG38:SSG39"/>
    <mergeCell ref="SSH38:SSH39"/>
    <mergeCell ref="SSI38:SSK38"/>
    <mergeCell ref="SSA39:SSC39"/>
    <mergeCell ref="SSI39:SSK39"/>
    <mergeCell ref="SRN38:SRN39"/>
    <mergeCell ref="SRO38:SRO39"/>
    <mergeCell ref="SRP38:SRP39"/>
    <mergeCell ref="SRQ38:SRQ39"/>
    <mergeCell ref="SRR38:SRR39"/>
    <mergeCell ref="SRS38:SRU38"/>
    <mergeCell ref="SRV38:SRV39"/>
    <mergeCell ref="SRW38:SRW39"/>
    <mergeCell ref="SRX38:SRX39"/>
    <mergeCell ref="SRS39:SRU39"/>
    <mergeCell ref="SRA38:SRA39"/>
    <mergeCell ref="SRB38:SRB39"/>
    <mergeCell ref="SRC38:SRE38"/>
    <mergeCell ref="SRF38:SRF39"/>
    <mergeCell ref="SRG38:SRG39"/>
    <mergeCell ref="SRH38:SRH39"/>
    <mergeCell ref="SRI38:SRI39"/>
    <mergeCell ref="SRJ38:SRJ39"/>
    <mergeCell ref="SRK38:SRM38"/>
    <mergeCell ref="SRC39:SRE39"/>
    <mergeCell ref="SRK39:SRM39"/>
    <mergeCell ref="SQP38:SQP39"/>
    <mergeCell ref="SQQ38:SQQ39"/>
    <mergeCell ref="SQR38:SQR39"/>
    <mergeCell ref="SQS38:SQS39"/>
    <mergeCell ref="SQT38:SQT39"/>
    <mergeCell ref="SQU38:SQW38"/>
    <mergeCell ref="SQX38:SQX39"/>
    <mergeCell ref="SQY38:SQY39"/>
    <mergeCell ref="SQZ38:SQZ39"/>
    <mergeCell ref="SQU39:SQW39"/>
    <mergeCell ref="SQC38:SQC39"/>
    <mergeCell ref="SQD38:SQD39"/>
    <mergeCell ref="SQE38:SQG38"/>
    <mergeCell ref="SQH38:SQH39"/>
    <mergeCell ref="SQI38:SQI39"/>
    <mergeCell ref="SQJ38:SQJ39"/>
    <mergeCell ref="SQK38:SQK39"/>
    <mergeCell ref="SQL38:SQL39"/>
    <mergeCell ref="SQM38:SQO38"/>
    <mergeCell ref="SQE39:SQG39"/>
    <mergeCell ref="SQM39:SQO39"/>
    <mergeCell ref="SPR38:SPR39"/>
    <mergeCell ref="SPS38:SPS39"/>
    <mergeCell ref="SPT38:SPT39"/>
    <mergeCell ref="SPU38:SPU39"/>
    <mergeCell ref="SPV38:SPV39"/>
    <mergeCell ref="SPW38:SPY38"/>
    <mergeCell ref="SPZ38:SPZ39"/>
    <mergeCell ref="SQA38:SQA39"/>
    <mergeCell ref="SQB38:SQB39"/>
    <mergeCell ref="SPW39:SPY39"/>
    <mergeCell ref="SPE38:SPE39"/>
    <mergeCell ref="SPF38:SPF39"/>
    <mergeCell ref="SPG38:SPI38"/>
    <mergeCell ref="SPJ38:SPJ39"/>
    <mergeCell ref="SPK38:SPK39"/>
    <mergeCell ref="SPL38:SPL39"/>
    <mergeCell ref="SPM38:SPM39"/>
    <mergeCell ref="SPN38:SPN39"/>
    <mergeCell ref="SPO38:SPQ38"/>
    <mergeCell ref="SPG39:SPI39"/>
    <mergeCell ref="SPO39:SPQ39"/>
    <mergeCell ref="SOT38:SOT39"/>
    <mergeCell ref="SOU38:SOU39"/>
    <mergeCell ref="SOV38:SOV39"/>
    <mergeCell ref="SOW38:SOW39"/>
    <mergeCell ref="SOX38:SOX39"/>
    <mergeCell ref="SOY38:SPA38"/>
    <mergeCell ref="SPB38:SPB39"/>
    <mergeCell ref="SPC38:SPC39"/>
    <mergeCell ref="SPD38:SPD39"/>
    <mergeCell ref="SOY39:SPA39"/>
    <mergeCell ref="SOG38:SOG39"/>
    <mergeCell ref="SOH38:SOH39"/>
    <mergeCell ref="SOI38:SOK38"/>
    <mergeCell ref="SOL38:SOL39"/>
    <mergeCell ref="SOM38:SOM39"/>
    <mergeCell ref="SON38:SON39"/>
    <mergeCell ref="SOO38:SOO39"/>
    <mergeCell ref="SOP38:SOP39"/>
    <mergeCell ref="SOQ38:SOS38"/>
    <mergeCell ref="SOI39:SOK39"/>
    <mergeCell ref="SOQ39:SOS39"/>
    <mergeCell ref="SNV38:SNV39"/>
    <mergeCell ref="SNW38:SNW39"/>
    <mergeCell ref="SNX38:SNX39"/>
    <mergeCell ref="SNY38:SNY39"/>
    <mergeCell ref="SNZ38:SNZ39"/>
    <mergeCell ref="SOA38:SOC38"/>
    <mergeCell ref="SOD38:SOD39"/>
    <mergeCell ref="SOE38:SOE39"/>
    <mergeCell ref="SOF38:SOF39"/>
    <mergeCell ref="SOA39:SOC39"/>
    <mergeCell ref="SNI38:SNI39"/>
    <mergeCell ref="SNJ38:SNJ39"/>
    <mergeCell ref="SNK38:SNM38"/>
    <mergeCell ref="SNN38:SNN39"/>
    <mergeCell ref="SNO38:SNO39"/>
    <mergeCell ref="SNP38:SNP39"/>
    <mergeCell ref="SNQ38:SNQ39"/>
    <mergeCell ref="SNR38:SNR39"/>
    <mergeCell ref="SNS38:SNU38"/>
    <mergeCell ref="SNK39:SNM39"/>
    <mergeCell ref="SNS39:SNU39"/>
    <mergeCell ref="SMX38:SMX39"/>
    <mergeCell ref="SMY38:SMY39"/>
    <mergeCell ref="SMZ38:SMZ39"/>
    <mergeCell ref="SNA38:SNA39"/>
    <mergeCell ref="SNB38:SNB39"/>
    <mergeCell ref="SNC38:SNE38"/>
    <mergeCell ref="SNF38:SNF39"/>
    <mergeCell ref="SNG38:SNG39"/>
    <mergeCell ref="SNH38:SNH39"/>
    <mergeCell ref="SNC39:SNE39"/>
    <mergeCell ref="SMK38:SMK39"/>
    <mergeCell ref="SML38:SML39"/>
    <mergeCell ref="SMM38:SMO38"/>
    <mergeCell ref="SMP38:SMP39"/>
    <mergeCell ref="SMQ38:SMQ39"/>
    <mergeCell ref="SMR38:SMR39"/>
    <mergeCell ref="SMS38:SMS39"/>
    <mergeCell ref="SMT38:SMT39"/>
    <mergeCell ref="SMU38:SMW38"/>
    <mergeCell ref="SMM39:SMO39"/>
    <mergeCell ref="SMU39:SMW39"/>
    <mergeCell ref="SLZ38:SLZ39"/>
    <mergeCell ref="SMA38:SMA39"/>
    <mergeCell ref="SMB38:SMB39"/>
    <mergeCell ref="SMC38:SMC39"/>
    <mergeCell ref="SMD38:SMD39"/>
    <mergeCell ref="SME38:SMG38"/>
    <mergeCell ref="SMH38:SMH39"/>
    <mergeCell ref="SMI38:SMI39"/>
    <mergeCell ref="SMJ38:SMJ39"/>
    <mergeCell ref="SME39:SMG39"/>
    <mergeCell ref="SLM38:SLM39"/>
    <mergeCell ref="SLN38:SLN39"/>
    <mergeCell ref="SLO38:SLQ38"/>
    <mergeCell ref="SLR38:SLR39"/>
    <mergeCell ref="SLS38:SLS39"/>
    <mergeCell ref="SLT38:SLT39"/>
    <mergeCell ref="SLU38:SLU39"/>
    <mergeCell ref="SLV38:SLV39"/>
    <mergeCell ref="SLW38:SLY38"/>
    <mergeCell ref="SLO39:SLQ39"/>
    <mergeCell ref="SLW39:SLY39"/>
    <mergeCell ref="SLB38:SLB39"/>
    <mergeCell ref="SLC38:SLC39"/>
    <mergeCell ref="SLD38:SLD39"/>
    <mergeCell ref="SLE38:SLE39"/>
    <mergeCell ref="SLF38:SLF39"/>
    <mergeCell ref="SLG38:SLI38"/>
    <mergeCell ref="SLJ38:SLJ39"/>
    <mergeCell ref="SLK38:SLK39"/>
    <mergeCell ref="SLL38:SLL39"/>
    <mergeCell ref="SLG39:SLI39"/>
    <mergeCell ref="SKO38:SKO39"/>
    <mergeCell ref="SKP38:SKP39"/>
    <mergeCell ref="SKQ38:SKS38"/>
    <mergeCell ref="SKT38:SKT39"/>
    <mergeCell ref="SKU38:SKU39"/>
    <mergeCell ref="SKV38:SKV39"/>
    <mergeCell ref="SKW38:SKW39"/>
    <mergeCell ref="SKX38:SKX39"/>
    <mergeCell ref="SKY38:SLA38"/>
    <mergeCell ref="SKQ39:SKS39"/>
    <mergeCell ref="SKY39:SLA39"/>
    <mergeCell ref="SKD38:SKD39"/>
    <mergeCell ref="SKE38:SKE39"/>
    <mergeCell ref="SKF38:SKF39"/>
    <mergeCell ref="SKG38:SKG39"/>
    <mergeCell ref="SKH38:SKH39"/>
    <mergeCell ref="SKI38:SKK38"/>
    <mergeCell ref="SKL38:SKL39"/>
    <mergeCell ref="SKM38:SKM39"/>
    <mergeCell ref="SKN38:SKN39"/>
    <mergeCell ref="SKI39:SKK39"/>
    <mergeCell ref="SJQ38:SJQ39"/>
    <mergeCell ref="SJR38:SJR39"/>
    <mergeCell ref="SJS38:SJU38"/>
    <mergeCell ref="SJV38:SJV39"/>
    <mergeCell ref="SJW38:SJW39"/>
    <mergeCell ref="SJX38:SJX39"/>
    <mergeCell ref="SJY38:SJY39"/>
    <mergeCell ref="SJZ38:SJZ39"/>
    <mergeCell ref="SKA38:SKC38"/>
    <mergeCell ref="SJS39:SJU39"/>
    <mergeCell ref="SKA39:SKC39"/>
    <mergeCell ref="SJF38:SJF39"/>
    <mergeCell ref="SJG38:SJG39"/>
    <mergeCell ref="SJH38:SJH39"/>
    <mergeCell ref="SJI38:SJI39"/>
    <mergeCell ref="SJJ38:SJJ39"/>
    <mergeCell ref="SJK38:SJM38"/>
    <mergeCell ref="SJN38:SJN39"/>
    <mergeCell ref="SJO38:SJO39"/>
    <mergeCell ref="SJP38:SJP39"/>
    <mergeCell ref="SJK39:SJM39"/>
    <mergeCell ref="SIS38:SIS39"/>
    <mergeCell ref="SIT38:SIT39"/>
    <mergeCell ref="SIU38:SIW38"/>
    <mergeCell ref="SIX38:SIX39"/>
    <mergeCell ref="SIY38:SIY39"/>
    <mergeCell ref="SIZ38:SIZ39"/>
    <mergeCell ref="SJA38:SJA39"/>
    <mergeCell ref="SJB38:SJB39"/>
    <mergeCell ref="SJC38:SJE38"/>
    <mergeCell ref="SIU39:SIW39"/>
    <mergeCell ref="SJC39:SJE39"/>
    <mergeCell ref="SIH38:SIH39"/>
    <mergeCell ref="SII38:SII39"/>
    <mergeCell ref="SIJ38:SIJ39"/>
    <mergeCell ref="SIK38:SIK39"/>
    <mergeCell ref="SIL38:SIL39"/>
    <mergeCell ref="SIM38:SIO38"/>
    <mergeCell ref="SIP38:SIP39"/>
    <mergeCell ref="SIQ38:SIQ39"/>
    <mergeCell ref="SIR38:SIR39"/>
    <mergeCell ref="SIM39:SIO39"/>
    <mergeCell ref="SHU38:SHU39"/>
    <mergeCell ref="SHV38:SHV39"/>
    <mergeCell ref="SHW38:SHY38"/>
    <mergeCell ref="SHZ38:SHZ39"/>
    <mergeCell ref="SIA38:SIA39"/>
    <mergeCell ref="SIB38:SIB39"/>
    <mergeCell ref="SIC38:SIC39"/>
    <mergeCell ref="SID38:SID39"/>
    <mergeCell ref="SIE38:SIG38"/>
    <mergeCell ref="SHW39:SHY39"/>
    <mergeCell ref="SIE39:SIG39"/>
    <mergeCell ref="SHJ38:SHJ39"/>
    <mergeCell ref="SHK38:SHK39"/>
    <mergeCell ref="SHL38:SHL39"/>
    <mergeCell ref="SHM38:SHM39"/>
    <mergeCell ref="SHN38:SHN39"/>
    <mergeCell ref="SHO38:SHQ38"/>
    <mergeCell ref="SHR38:SHR39"/>
    <mergeCell ref="SHS38:SHS39"/>
    <mergeCell ref="SHT38:SHT39"/>
    <mergeCell ref="SHO39:SHQ39"/>
    <mergeCell ref="SGW38:SGW39"/>
    <mergeCell ref="SGX38:SGX39"/>
    <mergeCell ref="SGY38:SHA38"/>
    <mergeCell ref="SHB38:SHB39"/>
    <mergeCell ref="SHC38:SHC39"/>
    <mergeCell ref="SHD38:SHD39"/>
    <mergeCell ref="SHE38:SHE39"/>
    <mergeCell ref="SHF38:SHF39"/>
    <mergeCell ref="SHG38:SHI38"/>
    <mergeCell ref="SGY39:SHA39"/>
    <mergeCell ref="SHG39:SHI39"/>
    <mergeCell ref="SGL38:SGL39"/>
    <mergeCell ref="SGM38:SGM39"/>
    <mergeCell ref="SGN38:SGN39"/>
    <mergeCell ref="SGO38:SGO39"/>
    <mergeCell ref="SGP38:SGP39"/>
    <mergeCell ref="SGQ38:SGS38"/>
    <mergeCell ref="SGT38:SGT39"/>
    <mergeCell ref="SGU38:SGU39"/>
    <mergeCell ref="SGV38:SGV39"/>
    <mergeCell ref="SGQ39:SGS39"/>
    <mergeCell ref="SFY38:SFY39"/>
    <mergeCell ref="SFZ38:SFZ39"/>
    <mergeCell ref="SGA38:SGC38"/>
    <mergeCell ref="SGD38:SGD39"/>
    <mergeCell ref="SGE38:SGE39"/>
    <mergeCell ref="SGF38:SGF39"/>
    <mergeCell ref="SGG38:SGG39"/>
    <mergeCell ref="SGH38:SGH39"/>
    <mergeCell ref="SGI38:SGK38"/>
    <mergeCell ref="SGA39:SGC39"/>
    <mergeCell ref="SGI39:SGK39"/>
    <mergeCell ref="SFN38:SFN39"/>
    <mergeCell ref="SFO38:SFO39"/>
    <mergeCell ref="SFP38:SFP39"/>
    <mergeCell ref="SFQ38:SFQ39"/>
    <mergeCell ref="SFR38:SFR39"/>
    <mergeCell ref="SFS38:SFU38"/>
    <mergeCell ref="SFV38:SFV39"/>
    <mergeCell ref="SFW38:SFW39"/>
    <mergeCell ref="SFX38:SFX39"/>
    <mergeCell ref="SFS39:SFU39"/>
    <mergeCell ref="SFA38:SFA39"/>
    <mergeCell ref="SFB38:SFB39"/>
    <mergeCell ref="SFC38:SFE38"/>
    <mergeCell ref="SFF38:SFF39"/>
    <mergeCell ref="SFG38:SFG39"/>
    <mergeCell ref="SFH38:SFH39"/>
    <mergeCell ref="SFI38:SFI39"/>
    <mergeCell ref="SFJ38:SFJ39"/>
    <mergeCell ref="SFK38:SFM38"/>
    <mergeCell ref="SFC39:SFE39"/>
    <mergeCell ref="SFK39:SFM39"/>
    <mergeCell ref="SEP38:SEP39"/>
    <mergeCell ref="SEQ38:SEQ39"/>
    <mergeCell ref="SER38:SER39"/>
    <mergeCell ref="SES38:SES39"/>
    <mergeCell ref="SET38:SET39"/>
    <mergeCell ref="SEU38:SEW38"/>
    <mergeCell ref="SEX38:SEX39"/>
    <mergeCell ref="SEY38:SEY39"/>
    <mergeCell ref="SEZ38:SEZ39"/>
    <mergeCell ref="SEU39:SEW39"/>
    <mergeCell ref="SEC38:SEC39"/>
    <mergeCell ref="SED38:SED39"/>
    <mergeCell ref="SEE38:SEG38"/>
    <mergeCell ref="SEH38:SEH39"/>
    <mergeCell ref="SEI38:SEI39"/>
    <mergeCell ref="SEJ38:SEJ39"/>
    <mergeCell ref="SEK38:SEK39"/>
    <mergeCell ref="SEL38:SEL39"/>
    <mergeCell ref="SEM38:SEO38"/>
    <mergeCell ref="SEE39:SEG39"/>
    <mergeCell ref="SEM39:SEO39"/>
    <mergeCell ref="SDR38:SDR39"/>
    <mergeCell ref="SDS38:SDS39"/>
    <mergeCell ref="SDT38:SDT39"/>
    <mergeCell ref="SDU38:SDU39"/>
    <mergeCell ref="SDV38:SDV39"/>
    <mergeCell ref="SDW38:SDY38"/>
    <mergeCell ref="SDZ38:SDZ39"/>
    <mergeCell ref="SEA38:SEA39"/>
    <mergeCell ref="SEB38:SEB39"/>
    <mergeCell ref="SDW39:SDY39"/>
    <mergeCell ref="SDE38:SDE39"/>
    <mergeCell ref="SDF38:SDF39"/>
    <mergeCell ref="SDG38:SDI38"/>
    <mergeCell ref="SDJ38:SDJ39"/>
    <mergeCell ref="SDK38:SDK39"/>
    <mergeCell ref="SDL38:SDL39"/>
    <mergeCell ref="SDM38:SDM39"/>
    <mergeCell ref="SDN38:SDN39"/>
    <mergeCell ref="SDO38:SDQ38"/>
    <mergeCell ref="SDG39:SDI39"/>
    <mergeCell ref="SDO39:SDQ39"/>
    <mergeCell ref="SCT38:SCT39"/>
    <mergeCell ref="SCU38:SCU39"/>
    <mergeCell ref="SCV38:SCV39"/>
    <mergeCell ref="SCW38:SCW39"/>
    <mergeCell ref="SCX38:SCX39"/>
    <mergeCell ref="SCY38:SDA38"/>
    <mergeCell ref="SDB38:SDB39"/>
    <mergeCell ref="SDC38:SDC39"/>
    <mergeCell ref="SDD38:SDD39"/>
    <mergeCell ref="SCY39:SDA39"/>
    <mergeCell ref="SCG38:SCG39"/>
    <mergeCell ref="SCH38:SCH39"/>
    <mergeCell ref="SCI38:SCK38"/>
    <mergeCell ref="SCL38:SCL39"/>
    <mergeCell ref="SCM38:SCM39"/>
    <mergeCell ref="SCN38:SCN39"/>
    <mergeCell ref="SCO38:SCO39"/>
    <mergeCell ref="SCP38:SCP39"/>
    <mergeCell ref="SCQ38:SCS38"/>
    <mergeCell ref="SCI39:SCK39"/>
    <mergeCell ref="SCQ39:SCS39"/>
    <mergeCell ref="SBV38:SBV39"/>
    <mergeCell ref="SBW38:SBW39"/>
    <mergeCell ref="SBX38:SBX39"/>
    <mergeCell ref="SBY38:SBY39"/>
    <mergeCell ref="SBZ38:SBZ39"/>
    <mergeCell ref="SCA38:SCC38"/>
    <mergeCell ref="SCD38:SCD39"/>
    <mergeCell ref="SCE38:SCE39"/>
    <mergeCell ref="SCF38:SCF39"/>
    <mergeCell ref="SCA39:SCC39"/>
    <mergeCell ref="SBI38:SBI39"/>
    <mergeCell ref="SBJ38:SBJ39"/>
    <mergeCell ref="SBK38:SBM38"/>
    <mergeCell ref="SBN38:SBN39"/>
    <mergeCell ref="SBO38:SBO39"/>
    <mergeCell ref="SBP38:SBP39"/>
    <mergeCell ref="SBQ38:SBQ39"/>
    <mergeCell ref="SBR38:SBR39"/>
    <mergeCell ref="SBS38:SBU38"/>
    <mergeCell ref="SBK39:SBM39"/>
    <mergeCell ref="SBS39:SBU39"/>
    <mergeCell ref="SAX38:SAX39"/>
    <mergeCell ref="SAY38:SAY39"/>
    <mergeCell ref="SAZ38:SAZ39"/>
    <mergeCell ref="SBA38:SBA39"/>
    <mergeCell ref="SBB38:SBB39"/>
    <mergeCell ref="SBC38:SBE38"/>
    <mergeCell ref="SBF38:SBF39"/>
    <mergeCell ref="SBG38:SBG39"/>
    <mergeCell ref="SBH38:SBH39"/>
    <mergeCell ref="SBC39:SBE39"/>
    <mergeCell ref="SAK38:SAK39"/>
    <mergeCell ref="SAL38:SAL39"/>
    <mergeCell ref="SAM38:SAO38"/>
    <mergeCell ref="SAP38:SAP39"/>
    <mergeCell ref="SAQ38:SAQ39"/>
    <mergeCell ref="SAR38:SAR39"/>
    <mergeCell ref="SAS38:SAS39"/>
    <mergeCell ref="SAT38:SAT39"/>
    <mergeCell ref="SAU38:SAW38"/>
    <mergeCell ref="SAM39:SAO39"/>
    <mergeCell ref="SAU39:SAW39"/>
    <mergeCell ref="RZZ38:RZZ39"/>
    <mergeCell ref="SAA38:SAA39"/>
    <mergeCell ref="SAB38:SAB39"/>
    <mergeCell ref="SAC38:SAC39"/>
    <mergeCell ref="SAD38:SAD39"/>
    <mergeCell ref="SAE38:SAG38"/>
    <mergeCell ref="SAH38:SAH39"/>
    <mergeCell ref="SAI38:SAI39"/>
    <mergeCell ref="SAJ38:SAJ39"/>
    <mergeCell ref="SAE39:SAG39"/>
    <mergeCell ref="RZM38:RZM39"/>
    <mergeCell ref="RZN38:RZN39"/>
    <mergeCell ref="RZO38:RZQ38"/>
    <mergeCell ref="RZR38:RZR39"/>
    <mergeCell ref="RZS38:RZS39"/>
    <mergeCell ref="RZT38:RZT39"/>
    <mergeCell ref="RZU38:RZU39"/>
    <mergeCell ref="RZV38:RZV39"/>
    <mergeCell ref="RZW38:RZY38"/>
    <mergeCell ref="RZO39:RZQ39"/>
    <mergeCell ref="RZW39:RZY39"/>
    <mergeCell ref="RZB38:RZB39"/>
    <mergeCell ref="RZC38:RZC39"/>
    <mergeCell ref="RZD38:RZD39"/>
    <mergeCell ref="RZE38:RZE39"/>
    <mergeCell ref="RZF38:RZF39"/>
    <mergeCell ref="RZG38:RZI38"/>
    <mergeCell ref="RZJ38:RZJ39"/>
    <mergeCell ref="RZK38:RZK39"/>
    <mergeCell ref="RZL38:RZL39"/>
    <mergeCell ref="RZG39:RZI39"/>
    <mergeCell ref="RYO38:RYO39"/>
    <mergeCell ref="RYP38:RYP39"/>
    <mergeCell ref="RYQ38:RYS38"/>
    <mergeCell ref="RYT38:RYT39"/>
    <mergeCell ref="RYU38:RYU39"/>
    <mergeCell ref="RYV38:RYV39"/>
    <mergeCell ref="RYW38:RYW39"/>
    <mergeCell ref="RYX38:RYX39"/>
    <mergeCell ref="RYY38:RZA38"/>
    <mergeCell ref="RYQ39:RYS39"/>
    <mergeCell ref="RYY39:RZA39"/>
    <mergeCell ref="RYD38:RYD39"/>
    <mergeCell ref="RYE38:RYE39"/>
    <mergeCell ref="RYF38:RYF39"/>
    <mergeCell ref="RYG38:RYG39"/>
    <mergeCell ref="RYH38:RYH39"/>
    <mergeCell ref="RYI38:RYK38"/>
    <mergeCell ref="RYL38:RYL39"/>
    <mergeCell ref="RYM38:RYM39"/>
    <mergeCell ref="RYN38:RYN39"/>
    <mergeCell ref="RYI39:RYK39"/>
    <mergeCell ref="RXQ38:RXQ39"/>
    <mergeCell ref="RXR38:RXR39"/>
    <mergeCell ref="RXS38:RXU38"/>
    <mergeCell ref="RXV38:RXV39"/>
    <mergeCell ref="RXW38:RXW39"/>
    <mergeCell ref="RXX38:RXX39"/>
    <mergeCell ref="RXY38:RXY39"/>
    <mergeCell ref="RXZ38:RXZ39"/>
    <mergeCell ref="RYA38:RYC38"/>
    <mergeCell ref="RXS39:RXU39"/>
    <mergeCell ref="RYA39:RYC39"/>
    <mergeCell ref="RXF38:RXF39"/>
    <mergeCell ref="RXG38:RXG39"/>
    <mergeCell ref="RXH38:RXH39"/>
    <mergeCell ref="RXI38:RXI39"/>
    <mergeCell ref="RXJ38:RXJ39"/>
    <mergeCell ref="RXK38:RXM38"/>
    <mergeCell ref="RXN38:RXN39"/>
    <mergeCell ref="RXO38:RXO39"/>
    <mergeCell ref="RXP38:RXP39"/>
    <mergeCell ref="RXK39:RXM39"/>
    <mergeCell ref="RWS38:RWS39"/>
    <mergeCell ref="RWT38:RWT39"/>
    <mergeCell ref="RWU38:RWW38"/>
    <mergeCell ref="RWX38:RWX39"/>
    <mergeCell ref="RWY38:RWY39"/>
    <mergeCell ref="RWZ38:RWZ39"/>
    <mergeCell ref="RXA38:RXA39"/>
    <mergeCell ref="RXB38:RXB39"/>
    <mergeCell ref="RXC38:RXE38"/>
    <mergeCell ref="RWU39:RWW39"/>
    <mergeCell ref="RXC39:RXE39"/>
    <mergeCell ref="RWH38:RWH39"/>
    <mergeCell ref="RWI38:RWI39"/>
    <mergeCell ref="RWJ38:RWJ39"/>
    <mergeCell ref="RWK38:RWK39"/>
    <mergeCell ref="RWL38:RWL39"/>
    <mergeCell ref="RWM38:RWO38"/>
    <mergeCell ref="RWP38:RWP39"/>
    <mergeCell ref="RWQ38:RWQ39"/>
    <mergeCell ref="RWR38:RWR39"/>
    <mergeCell ref="RWM39:RWO39"/>
    <mergeCell ref="RVU38:RVU39"/>
    <mergeCell ref="RVV38:RVV39"/>
    <mergeCell ref="RVW38:RVY38"/>
    <mergeCell ref="RVZ38:RVZ39"/>
    <mergeCell ref="RWA38:RWA39"/>
    <mergeCell ref="RWB38:RWB39"/>
    <mergeCell ref="RWC38:RWC39"/>
    <mergeCell ref="RWD38:RWD39"/>
    <mergeCell ref="RWE38:RWG38"/>
    <mergeCell ref="RVW39:RVY39"/>
    <mergeCell ref="RWE39:RWG39"/>
    <mergeCell ref="RVJ38:RVJ39"/>
    <mergeCell ref="RVK38:RVK39"/>
    <mergeCell ref="RVL38:RVL39"/>
    <mergeCell ref="RVM38:RVM39"/>
    <mergeCell ref="RVN38:RVN39"/>
    <mergeCell ref="RVO38:RVQ38"/>
    <mergeCell ref="RVR38:RVR39"/>
    <mergeCell ref="RVS38:RVS39"/>
    <mergeCell ref="RVT38:RVT39"/>
    <mergeCell ref="RVO39:RVQ39"/>
    <mergeCell ref="RUW38:RUW39"/>
    <mergeCell ref="RUX38:RUX39"/>
    <mergeCell ref="RUY38:RVA38"/>
    <mergeCell ref="RVB38:RVB39"/>
    <mergeCell ref="RVC38:RVC39"/>
    <mergeCell ref="RVD38:RVD39"/>
    <mergeCell ref="RVE38:RVE39"/>
    <mergeCell ref="RVF38:RVF39"/>
    <mergeCell ref="RVG38:RVI38"/>
    <mergeCell ref="RUY39:RVA39"/>
    <mergeCell ref="RVG39:RVI39"/>
    <mergeCell ref="RUL38:RUL39"/>
    <mergeCell ref="RUM38:RUM39"/>
    <mergeCell ref="RUN38:RUN39"/>
    <mergeCell ref="RUO38:RUO39"/>
    <mergeCell ref="RUP38:RUP39"/>
    <mergeCell ref="RUQ38:RUS38"/>
    <mergeCell ref="RUT38:RUT39"/>
    <mergeCell ref="RUU38:RUU39"/>
    <mergeCell ref="RUV38:RUV39"/>
    <mergeCell ref="RUQ39:RUS39"/>
    <mergeCell ref="RTY38:RTY39"/>
    <mergeCell ref="RTZ38:RTZ39"/>
    <mergeCell ref="RUA38:RUC38"/>
    <mergeCell ref="RUD38:RUD39"/>
    <mergeCell ref="RUE38:RUE39"/>
    <mergeCell ref="RUF38:RUF39"/>
    <mergeCell ref="RUG38:RUG39"/>
    <mergeCell ref="RUH38:RUH39"/>
    <mergeCell ref="RUI38:RUK38"/>
    <mergeCell ref="RUA39:RUC39"/>
    <mergeCell ref="RUI39:RUK39"/>
    <mergeCell ref="RTN38:RTN39"/>
    <mergeCell ref="RTO38:RTO39"/>
    <mergeCell ref="RTP38:RTP39"/>
    <mergeCell ref="RTQ38:RTQ39"/>
    <mergeCell ref="RTR38:RTR39"/>
    <mergeCell ref="RTS38:RTU38"/>
    <mergeCell ref="RTV38:RTV39"/>
    <mergeCell ref="RTW38:RTW39"/>
    <mergeCell ref="RTX38:RTX39"/>
    <mergeCell ref="RTS39:RTU39"/>
    <mergeCell ref="RTA38:RTA39"/>
    <mergeCell ref="RTB38:RTB39"/>
    <mergeCell ref="RTC38:RTE38"/>
    <mergeCell ref="RTF38:RTF39"/>
    <mergeCell ref="RTG38:RTG39"/>
    <mergeCell ref="RTH38:RTH39"/>
    <mergeCell ref="RTI38:RTI39"/>
    <mergeCell ref="RTJ38:RTJ39"/>
    <mergeCell ref="RTK38:RTM38"/>
    <mergeCell ref="RTC39:RTE39"/>
    <mergeCell ref="RTK39:RTM39"/>
    <mergeCell ref="RSP38:RSP39"/>
    <mergeCell ref="RSQ38:RSQ39"/>
    <mergeCell ref="RSR38:RSR39"/>
    <mergeCell ref="RSS38:RSS39"/>
    <mergeCell ref="RST38:RST39"/>
    <mergeCell ref="RSU38:RSW38"/>
    <mergeCell ref="RSX38:RSX39"/>
    <mergeCell ref="RSY38:RSY39"/>
    <mergeCell ref="RSZ38:RSZ39"/>
    <mergeCell ref="RSU39:RSW39"/>
    <mergeCell ref="RSC38:RSC39"/>
    <mergeCell ref="RSD38:RSD39"/>
    <mergeCell ref="RSE38:RSG38"/>
    <mergeCell ref="RSH38:RSH39"/>
    <mergeCell ref="RSI38:RSI39"/>
    <mergeCell ref="RSJ38:RSJ39"/>
    <mergeCell ref="RSK38:RSK39"/>
    <mergeCell ref="RSL38:RSL39"/>
    <mergeCell ref="RSM38:RSO38"/>
    <mergeCell ref="RSE39:RSG39"/>
    <mergeCell ref="RSM39:RSO39"/>
    <mergeCell ref="RRR38:RRR39"/>
    <mergeCell ref="RRS38:RRS39"/>
    <mergeCell ref="RRT38:RRT39"/>
    <mergeCell ref="RRU38:RRU39"/>
    <mergeCell ref="RRV38:RRV39"/>
    <mergeCell ref="RRW38:RRY38"/>
    <mergeCell ref="RRZ38:RRZ39"/>
    <mergeCell ref="RSA38:RSA39"/>
    <mergeCell ref="RSB38:RSB39"/>
    <mergeCell ref="RRW39:RRY39"/>
    <mergeCell ref="RRE38:RRE39"/>
    <mergeCell ref="RRF38:RRF39"/>
    <mergeCell ref="RRG38:RRI38"/>
    <mergeCell ref="RRJ38:RRJ39"/>
    <mergeCell ref="RRK38:RRK39"/>
    <mergeCell ref="RRL38:RRL39"/>
    <mergeCell ref="RRM38:RRM39"/>
    <mergeCell ref="RRN38:RRN39"/>
    <mergeCell ref="RRO38:RRQ38"/>
    <mergeCell ref="RRG39:RRI39"/>
    <mergeCell ref="RRO39:RRQ39"/>
    <mergeCell ref="RQT38:RQT39"/>
    <mergeCell ref="RQU38:RQU39"/>
    <mergeCell ref="RQV38:RQV39"/>
    <mergeCell ref="RQW38:RQW39"/>
    <mergeCell ref="RQX38:RQX39"/>
    <mergeCell ref="RQY38:RRA38"/>
    <mergeCell ref="RRB38:RRB39"/>
    <mergeCell ref="RRC38:RRC39"/>
    <mergeCell ref="RRD38:RRD39"/>
    <mergeCell ref="RQY39:RRA39"/>
    <mergeCell ref="RQG38:RQG39"/>
    <mergeCell ref="RQH38:RQH39"/>
    <mergeCell ref="RQI38:RQK38"/>
    <mergeCell ref="RQL38:RQL39"/>
    <mergeCell ref="RQM38:RQM39"/>
    <mergeCell ref="RQN38:RQN39"/>
    <mergeCell ref="RQO38:RQO39"/>
    <mergeCell ref="RQP38:RQP39"/>
    <mergeCell ref="RQQ38:RQS38"/>
    <mergeCell ref="RQI39:RQK39"/>
    <mergeCell ref="RQQ39:RQS39"/>
    <mergeCell ref="RPV38:RPV39"/>
    <mergeCell ref="RPW38:RPW39"/>
    <mergeCell ref="RPX38:RPX39"/>
    <mergeCell ref="RPY38:RPY39"/>
    <mergeCell ref="RPZ38:RPZ39"/>
    <mergeCell ref="RQA38:RQC38"/>
    <mergeCell ref="RQD38:RQD39"/>
    <mergeCell ref="RQE38:RQE39"/>
    <mergeCell ref="RQF38:RQF39"/>
    <mergeCell ref="RQA39:RQC39"/>
    <mergeCell ref="RPI38:RPI39"/>
    <mergeCell ref="RPJ38:RPJ39"/>
    <mergeCell ref="RPK38:RPM38"/>
    <mergeCell ref="RPN38:RPN39"/>
    <mergeCell ref="RPO38:RPO39"/>
    <mergeCell ref="RPP38:RPP39"/>
    <mergeCell ref="RPQ38:RPQ39"/>
    <mergeCell ref="RPR38:RPR39"/>
    <mergeCell ref="RPS38:RPU38"/>
    <mergeCell ref="RPK39:RPM39"/>
    <mergeCell ref="RPS39:RPU39"/>
    <mergeCell ref="ROX38:ROX39"/>
    <mergeCell ref="ROY38:ROY39"/>
    <mergeCell ref="ROZ38:ROZ39"/>
    <mergeCell ref="RPA38:RPA39"/>
    <mergeCell ref="RPB38:RPB39"/>
    <mergeCell ref="RPC38:RPE38"/>
    <mergeCell ref="RPF38:RPF39"/>
    <mergeCell ref="RPG38:RPG39"/>
    <mergeCell ref="RPH38:RPH39"/>
    <mergeCell ref="RPC39:RPE39"/>
    <mergeCell ref="ROK38:ROK39"/>
    <mergeCell ref="ROL38:ROL39"/>
    <mergeCell ref="ROM38:ROO38"/>
    <mergeCell ref="ROP38:ROP39"/>
    <mergeCell ref="ROQ38:ROQ39"/>
    <mergeCell ref="ROR38:ROR39"/>
    <mergeCell ref="ROS38:ROS39"/>
    <mergeCell ref="ROT38:ROT39"/>
    <mergeCell ref="ROU38:ROW38"/>
    <mergeCell ref="ROM39:ROO39"/>
    <mergeCell ref="ROU39:ROW39"/>
    <mergeCell ref="RNZ38:RNZ39"/>
    <mergeCell ref="ROA38:ROA39"/>
    <mergeCell ref="ROB38:ROB39"/>
    <mergeCell ref="ROC38:ROC39"/>
    <mergeCell ref="ROD38:ROD39"/>
    <mergeCell ref="ROE38:ROG38"/>
    <mergeCell ref="ROH38:ROH39"/>
    <mergeCell ref="ROI38:ROI39"/>
    <mergeCell ref="ROJ38:ROJ39"/>
    <mergeCell ref="ROE39:ROG39"/>
    <mergeCell ref="RNM38:RNM39"/>
    <mergeCell ref="RNN38:RNN39"/>
    <mergeCell ref="RNO38:RNQ38"/>
    <mergeCell ref="RNR38:RNR39"/>
    <mergeCell ref="RNS38:RNS39"/>
    <mergeCell ref="RNT38:RNT39"/>
    <mergeCell ref="RNU38:RNU39"/>
    <mergeCell ref="RNV38:RNV39"/>
    <mergeCell ref="RNW38:RNY38"/>
    <mergeCell ref="RNO39:RNQ39"/>
    <mergeCell ref="RNW39:RNY39"/>
    <mergeCell ref="RNB38:RNB39"/>
    <mergeCell ref="RNC38:RNC39"/>
    <mergeCell ref="RND38:RND39"/>
    <mergeCell ref="RNE38:RNE39"/>
    <mergeCell ref="RNF38:RNF39"/>
    <mergeCell ref="RNG38:RNI38"/>
    <mergeCell ref="RNJ38:RNJ39"/>
    <mergeCell ref="RNK38:RNK39"/>
    <mergeCell ref="RNL38:RNL39"/>
    <mergeCell ref="RNG39:RNI39"/>
    <mergeCell ref="RMO38:RMO39"/>
    <mergeCell ref="RMP38:RMP39"/>
    <mergeCell ref="RMQ38:RMS38"/>
    <mergeCell ref="RMT38:RMT39"/>
    <mergeCell ref="RMU38:RMU39"/>
    <mergeCell ref="RMV38:RMV39"/>
    <mergeCell ref="RMW38:RMW39"/>
    <mergeCell ref="RMX38:RMX39"/>
    <mergeCell ref="RMY38:RNA38"/>
    <mergeCell ref="RMQ39:RMS39"/>
    <mergeCell ref="RMY39:RNA39"/>
    <mergeCell ref="RMD38:RMD39"/>
    <mergeCell ref="RME38:RME39"/>
    <mergeCell ref="RMF38:RMF39"/>
    <mergeCell ref="RMG38:RMG39"/>
    <mergeCell ref="RMH38:RMH39"/>
    <mergeCell ref="RMI38:RMK38"/>
    <mergeCell ref="RML38:RML39"/>
    <mergeCell ref="RMM38:RMM39"/>
    <mergeCell ref="RMN38:RMN39"/>
    <mergeCell ref="RMI39:RMK39"/>
    <mergeCell ref="RLQ38:RLQ39"/>
    <mergeCell ref="RLR38:RLR39"/>
    <mergeCell ref="RLS38:RLU38"/>
    <mergeCell ref="RLV38:RLV39"/>
    <mergeCell ref="RLW38:RLW39"/>
    <mergeCell ref="RLX38:RLX39"/>
    <mergeCell ref="RLY38:RLY39"/>
    <mergeCell ref="RLZ38:RLZ39"/>
    <mergeCell ref="RMA38:RMC38"/>
    <mergeCell ref="RLS39:RLU39"/>
    <mergeCell ref="RMA39:RMC39"/>
    <mergeCell ref="RLF38:RLF39"/>
    <mergeCell ref="RLG38:RLG39"/>
    <mergeCell ref="RLH38:RLH39"/>
    <mergeCell ref="RLI38:RLI39"/>
    <mergeCell ref="RLJ38:RLJ39"/>
    <mergeCell ref="RLK38:RLM38"/>
    <mergeCell ref="RLN38:RLN39"/>
    <mergeCell ref="RLO38:RLO39"/>
    <mergeCell ref="RLP38:RLP39"/>
    <mergeCell ref="RLK39:RLM39"/>
    <mergeCell ref="RKS38:RKS39"/>
    <mergeCell ref="RKT38:RKT39"/>
    <mergeCell ref="RKU38:RKW38"/>
    <mergeCell ref="RKX38:RKX39"/>
    <mergeCell ref="RKY38:RKY39"/>
    <mergeCell ref="RKZ38:RKZ39"/>
    <mergeCell ref="RLA38:RLA39"/>
    <mergeCell ref="RLB38:RLB39"/>
    <mergeCell ref="RLC38:RLE38"/>
    <mergeCell ref="RKU39:RKW39"/>
    <mergeCell ref="RLC39:RLE39"/>
    <mergeCell ref="RKH38:RKH39"/>
    <mergeCell ref="RKI38:RKI39"/>
    <mergeCell ref="RKJ38:RKJ39"/>
    <mergeCell ref="RKK38:RKK39"/>
    <mergeCell ref="RKL38:RKL39"/>
    <mergeCell ref="RKM38:RKO38"/>
    <mergeCell ref="RKP38:RKP39"/>
    <mergeCell ref="RKQ38:RKQ39"/>
    <mergeCell ref="RKR38:RKR39"/>
    <mergeCell ref="RKM39:RKO39"/>
    <mergeCell ref="RJU38:RJU39"/>
    <mergeCell ref="RJV38:RJV39"/>
    <mergeCell ref="RJW38:RJY38"/>
    <mergeCell ref="RJZ38:RJZ39"/>
    <mergeCell ref="RKA38:RKA39"/>
    <mergeCell ref="RKB38:RKB39"/>
    <mergeCell ref="RKC38:RKC39"/>
    <mergeCell ref="RKD38:RKD39"/>
    <mergeCell ref="RKE38:RKG38"/>
    <mergeCell ref="RJW39:RJY39"/>
    <mergeCell ref="RKE39:RKG39"/>
    <mergeCell ref="RJJ38:RJJ39"/>
    <mergeCell ref="RJK38:RJK39"/>
    <mergeCell ref="RJL38:RJL39"/>
    <mergeCell ref="RJM38:RJM39"/>
    <mergeCell ref="RJN38:RJN39"/>
    <mergeCell ref="RJO38:RJQ38"/>
    <mergeCell ref="RJR38:RJR39"/>
    <mergeCell ref="RJS38:RJS39"/>
    <mergeCell ref="RJT38:RJT39"/>
    <mergeCell ref="RJO39:RJQ39"/>
    <mergeCell ref="RIW38:RIW39"/>
    <mergeCell ref="RIX38:RIX39"/>
    <mergeCell ref="RIY38:RJA38"/>
    <mergeCell ref="RJB38:RJB39"/>
    <mergeCell ref="RJC38:RJC39"/>
    <mergeCell ref="RJD38:RJD39"/>
    <mergeCell ref="RJE38:RJE39"/>
    <mergeCell ref="RJF38:RJF39"/>
    <mergeCell ref="RJG38:RJI38"/>
    <mergeCell ref="RIY39:RJA39"/>
    <mergeCell ref="RJG39:RJI39"/>
    <mergeCell ref="RIL38:RIL39"/>
    <mergeCell ref="RIM38:RIM39"/>
    <mergeCell ref="RIN38:RIN39"/>
    <mergeCell ref="RIO38:RIO39"/>
    <mergeCell ref="RIP38:RIP39"/>
    <mergeCell ref="RIQ38:RIS38"/>
    <mergeCell ref="RIT38:RIT39"/>
    <mergeCell ref="RIU38:RIU39"/>
    <mergeCell ref="RIV38:RIV39"/>
    <mergeCell ref="RIQ39:RIS39"/>
    <mergeCell ref="RHY38:RHY39"/>
    <mergeCell ref="RHZ38:RHZ39"/>
    <mergeCell ref="RIA38:RIC38"/>
    <mergeCell ref="RID38:RID39"/>
    <mergeCell ref="RIE38:RIE39"/>
    <mergeCell ref="RIF38:RIF39"/>
    <mergeCell ref="RIG38:RIG39"/>
    <mergeCell ref="RIH38:RIH39"/>
    <mergeCell ref="RII38:RIK38"/>
    <mergeCell ref="RIA39:RIC39"/>
    <mergeCell ref="RII39:RIK39"/>
    <mergeCell ref="RHN38:RHN39"/>
    <mergeCell ref="RHO38:RHO39"/>
    <mergeCell ref="RHP38:RHP39"/>
    <mergeCell ref="RHQ38:RHQ39"/>
    <mergeCell ref="RHR38:RHR39"/>
    <mergeCell ref="RHS38:RHU38"/>
    <mergeCell ref="RHV38:RHV39"/>
    <mergeCell ref="RHW38:RHW39"/>
    <mergeCell ref="RHX38:RHX39"/>
    <mergeCell ref="RHS39:RHU39"/>
    <mergeCell ref="RHA38:RHA39"/>
    <mergeCell ref="RHB38:RHB39"/>
    <mergeCell ref="RHC38:RHE38"/>
    <mergeCell ref="RHF38:RHF39"/>
    <mergeCell ref="RHG38:RHG39"/>
    <mergeCell ref="RHH38:RHH39"/>
    <mergeCell ref="RHI38:RHI39"/>
    <mergeCell ref="RHJ38:RHJ39"/>
    <mergeCell ref="RHK38:RHM38"/>
    <mergeCell ref="RHC39:RHE39"/>
    <mergeCell ref="RHK39:RHM39"/>
    <mergeCell ref="RGP38:RGP39"/>
    <mergeCell ref="RGQ38:RGQ39"/>
    <mergeCell ref="RGR38:RGR39"/>
    <mergeCell ref="RGS38:RGS39"/>
    <mergeCell ref="RGT38:RGT39"/>
    <mergeCell ref="RGU38:RGW38"/>
    <mergeCell ref="RGX38:RGX39"/>
    <mergeCell ref="RGY38:RGY39"/>
    <mergeCell ref="RGZ38:RGZ39"/>
    <mergeCell ref="RGU39:RGW39"/>
    <mergeCell ref="RGC38:RGC39"/>
    <mergeCell ref="RGD38:RGD39"/>
    <mergeCell ref="RGE38:RGG38"/>
    <mergeCell ref="RGH38:RGH39"/>
    <mergeCell ref="RGI38:RGI39"/>
    <mergeCell ref="RGJ38:RGJ39"/>
    <mergeCell ref="RGK38:RGK39"/>
    <mergeCell ref="RGL38:RGL39"/>
    <mergeCell ref="RGM38:RGO38"/>
    <mergeCell ref="RGE39:RGG39"/>
    <mergeCell ref="RGM39:RGO39"/>
    <mergeCell ref="RFR38:RFR39"/>
    <mergeCell ref="RFS38:RFS39"/>
    <mergeCell ref="RFT38:RFT39"/>
    <mergeCell ref="RFU38:RFU39"/>
    <mergeCell ref="RFV38:RFV39"/>
    <mergeCell ref="RFW38:RFY38"/>
    <mergeCell ref="RFZ38:RFZ39"/>
    <mergeCell ref="RGA38:RGA39"/>
    <mergeCell ref="RGB38:RGB39"/>
    <mergeCell ref="RFW39:RFY39"/>
    <mergeCell ref="RFE38:RFE39"/>
    <mergeCell ref="RFF38:RFF39"/>
    <mergeCell ref="RFG38:RFI38"/>
    <mergeCell ref="RFJ38:RFJ39"/>
    <mergeCell ref="RFK38:RFK39"/>
    <mergeCell ref="RFL38:RFL39"/>
    <mergeCell ref="RFM38:RFM39"/>
    <mergeCell ref="RFN38:RFN39"/>
    <mergeCell ref="RFO38:RFQ38"/>
    <mergeCell ref="RFG39:RFI39"/>
    <mergeCell ref="RFO39:RFQ39"/>
    <mergeCell ref="RET38:RET39"/>
    <mergeCell ref="REU38:REU39"/>
    <mergeCell ref="REV38:REV39"/>
    <mergeCell ref="REW38:REW39"/>
    <mergeCell ref="REX38:REX39"/>
    <mergeCell ref="REY38:RFA38"/>
    <mergeCell ref="RFB38:RFB39"/>
    <mergeCell ref="RFC38:RFC39"/>
    <mergeCell ref="RFD38:RFD39"/>
    <mergeCell ref="REY39:RFA39"/>
    <mergeCell ref="REG38:REG39"/>
    <mergeCell ref="REH38:REH39"/>
    <mergeCell ref="REI38:REK38"/>
    <mergeCell ref="REL38:REL39"/>
    <mergeCell ref="REM38:REM39"/>
    <mergeCell ref="REN38:REN39"/>
    <mergeCell ref="REO38:REO39"/>
    <mergeCell ref="REP38:REP39"/>
    <mergeCell ref="REQ38:RES38"/>
    <mergeCell ref="REI39:REK39"/>
    <mergeCell ref="REQ39:RES39"/>
    <mergeCell ref="RDV38:RDV39"/>
    <mergeCell ref="RDW38:RDW39"/>
    <mergeCell ref="RDX38:RDX39"/>
    <mergeCell ref="RDY38:RDY39"/>
    <mergeCell ref="RDZ38:RDZ39"/>
    <mergeCell ref="REA38:REC38"/>
    <mergeCell ref="RED38:RED39"/>
    <mergeCell ref="REE38:REE39"/>
    <mergeCell ref="REF38:REF39"/>
    <mergeCell ref="REA39:REC39"/>
    <mergeCell ref="RDI38:RDI39"/>
    <mergeCell ref="RDJ38:RDJ39"/>
    <mergeCell ref="RDK38:RDM38"/>
    <mergeCell ref="RDN38:RDN39"/>
    <mergeCell ref="RDO38:RDO39"/>
    <mergeCell ref="RDP38:RDP39"/>
    <mergeCell ref="RDQ38:RDQ39"/>
    <mergeCell ref="RDR38:RDR39"/>
    <mergeCell ref="RDS38:RDU38"/>
    <mergeCell ref="RDK39:RDM39"/>
    <mergeCell ref="RDS39:RDU39"/>
    <mergeCell ref="RCX38:RCX39"/>
    <mergeCell ref="RCY38:RCY39"/>
    <mergeCell ref="RCZ38:RCZ39"/>
    <mergeCell ref="RDA38:RDA39"/>
    <mergeCell ref="RDB38:RDB39"/>
    <mergeCell ref="RDC38:RDE38"/>
    <mergeCell ref="RDF38:RDF39"/>
    <mergeCell ref="RDG38:RDG39"/>
    <mergeCell ref="RDH38:RDH39"/>
    <mergeCell ref="RDC39:RDE39"/>
    <mergeCell ref="RCK38:RCK39"/>
    <mergeCell ref="RCL38:RCL39"/>
    <mergeCell ref="RCM38:RCO38"/>
    <mergeCell ref="RCP38:RCP39"/>
    <mergeCell ref="RCQ38:RCQ39"/>
    <mergeCell ref="RCR38:RCR39"/>
    <mergeCell ref="RCS38:RCS39"/>
    <mergeCell ref="RCT38:RCT39"/>
    <mergeCell ref="RCU38:RCW38"/>
    <mergeCell ref="RCM39:RCO39"/>
    <mergeCell ref="RCU39:RCW39"/>
    <mergeCell ref="RBZ38:RBZ39"/>
    <mergeCell ref="RCA38:RCA39"/>
    <mergeCell ref="RCB38:RCB39"/>
    <mergeCell ref="RCC38:RCC39"/>
    <mergeCell ref="RCD38:RCD39"/>
    <mergeCell ref="RCE38:RCG38"/>
    <mergeCell ref="RCH38:RCH39"/>
    <mergeCell ref="RCI38:RCI39"/>
    <mergeCell ref="RCJ38:RCJ39"/>
    <mergeCell ref="RCE39:RCG39"/>
    <mergeCell ref="RBM38:RBM39"/>
    <mergeCell ref="RBN38:RBN39"/>
    <mergeCell ref="RBO38:RBQ38"/>
    <mergeCell ref="RBR38:RBR39"/>
    <mergeCell ref="RBS38:RBS39"/>
    <mergeCell ref="RBT38:RBT39"/>
    <mergeCell ref="RBU38:RBU39"/>
    <mergeCell ref="RBV38:RBV39"/>
    <mergeCell ref="RBW38:RBY38"/>
    <mergeCell ref="RBO39:RBQ39"/>
    <mergeCell ref="RBW39:RBY39"/>
    <mergeCell ref="RBB38:RBB39"/>
    <mergeCell ref="RBC38:RBC39"/>
    <mergeCell ref="RBD38:RBD39"/>
    <mergeCell ref="RBE38:RBE39"/>
    <mergeCell ref="RBF38:RBF39"/>
    <mergeCell ref="RBG38:RBI38"/>
    <mergeCell ref="RBJ38:RBJ39"/>
    <mergeCell ref="RBK38:RBK39"/>
    <mergeCell ref="RBL38:RBL39"/>
    <mergeCell ref="RBG39:RBI39"/>
    <mergeCell ref="RAO38:RAO39"/>
    <mergeCell ref="RAP38:RAP39"/>
    <mergeCell ref="RAQ38:RAS38"/>
    <mergeCell ref="RAT38:RAT39"/>
    <mergeCell ref="RAU38:RAU39"/>
    <mergeCell ref="RAV38:RAV39"/>
    <mergeCell ref="RAW38:RAW39"/>
    <mergeCell ref="RAX38:RAX39"/>
    <mergeCell ref="RAY38:RBA38"/>
    <mergeCell ref="RAQ39:RAS39"/>
    <mergeCell ref="RAY39:RBA39"/>
    <mergeCell ref="RAD38:RAD39"/>
    <mergeCell ref="RAE38:RAE39"/>
    <mergeCell ref="RAF38:RAF39"/>
    <mergeCell ref="RAG38:RAG39"/>
    <mergeCell ref="RAH38:RAH39"/>
    <mergeCell ref="RAI38:RAK38"/>
    <mergeCell ref="RAL38:RAL39"/>
    <mergeCell ref="RAM38:RAM39"/>
    <mergeCell ref="RAN38:RAN39"/>
    <mergeCell ref="RAI39:RAK39"/>
    <mergeCell ref="QZQ38:QZQ39"/>
    <mergeCell ref="QZR38:QZR39"/>
    <mergeCell ref="QZS38:QZU38"/>
    <mergeCell ref="QZV38:QZV39"/>
    <mergeCell ref="QZW38:QZW39"/>
    <mergeCell ref="QZX38:QZX39"/>
    <mergeCell ref="QZY38:QZY39"/>
    <mergeCell ref="QZZ38:QZZ39"/>
    <mergeCell ref="RAA38:RAC38"/>
    <mergeCell ref="QZS39:QZU39"/>
    <mergeCell ref="RAA39:RAC39"/>
    <mergeCell ref="QZF38:QZF39"/>
    <mergeCell ref="QZG38:QZG39"/>
    <mergeCell ref="QZH38:QZH39"/>
    <mergeCell ref="QZI38:QZI39"/>
    <mergeCell ref="QZJ38:QZJ39"/>
    <mergeCell ref="QZK38:QZM38"/>
    <mergeCell ref="QZN38:QZN39"/>
    <mergeCell ref="QZO38:QZO39"/>
    <mergeCell ref="QZP38:QZP39"/>
    <mergeCell ref="QZK39:QZM39"/>
    <mergeCell ref="QYS38:QYS39"/>
    <mergeCell ref="QYT38:QYT39"/>
    <mergeCell ref="QYU38:QYW38"/>
    <mergeCell ref="QYX38:QYX39"/>
    <mergeCell ref="QYY38:QYY39"/>
    <mergeCell ref="QYZ38:QYZ39"/>
    <mergeCell ref="QZA38:QZA39"/>
    <mergeCell ref="QZB38:QZB39"/>
    <mergeCell ref="QZC38:QZE38"/>
    <mergeCell ref="QYU39:QYW39"/>
    <mergeCell ref="QZC39:QZE39"/>
    <mergeCell ref="QYH38:QYH39"/>
    <mergeCell ref="QYI38:QYI39"/>
    <mergeCell ref="QYJ38:QYJ39"/>
    <mergeCell ref="QYK38:QYK39"/>
    <mergeCell ref="QYL38:QYL39"/>
    <mergeCell ref="QYM38:QYO38"/>
    <mergeCell ref="QYP38:QYP39"/>
    <mergeCell ref="QYQ38:QYQ39"/>
    <mergeCell ref="QYR38:QYR39"/>
    <mergeCell ref="QYM39:QYO39"/>
    <mergeCell ref="QXU38:QXU39"/>
    <mergeCell ref="QXV38:QXV39"/>
    <mergeCell ref="QXW38:QXY38"/>
    <mergeCell ref="QXZ38:QXZ39"/>
    <mergeCell ref="QYA38:QYA39"/>
    <mergeCell ref="QYB38:QYB39"/>
    <mergeCell ref="QYC38:QYC39"/>
    <mergeCell ref="QYD38:QYD39"/>
    <mergeCell ref="QYE38:QYG38"/>
    <mergeCell ref="QXW39:QXY39"/>
    <mergeCell ref="QYE39:QYG39"/>
    <mergeCell ref="QXJ38:QXJ39"/>
    <mergeCell ref="QXK38:QXK39"/>
    <mergeCell ref="QXL38:QXL39"/>
    <mergeCell ref="QXM38:QXM39"/>
    <mergeCell ref="QXN38:QXN39"/>
    <mergeCell ref="QXO38:QXQ38"/>
    <mergeCell ref="QXR38:QXR39"/>
    <mergeCell ref="QXS38:QXS39"/>
    <mergeCell ref="QXT38:QXT39"/>
    <mergeCell ref="QXO39:QXQ39"/>
    <mergeCell ref="QWW38:QWW39"/>
    <mergeCell ref="QWX38:QWX39"/>
    <mergeCell ref="QWY38:QXA38"/>
    <mergeCell ref="QXB38:QXB39"/>
    <mergeCell ref="QXC38:QXC39"/>
    <mergeCell ref="QXD38:QXD39"/>
    <mergeCell ref="QXE38:QXE39"/>
    <mergeCell ref="QXF38:QXF39"/>
    <mergeCell ref="QXG38:QXI38"/>
    <mergeCell ref="QWY39:QXA39"/>
    <mergeCell ref="QXG39:QXI39"/>
    <mergeCell ref="QWL38:QWL39"/>
    <mergeCell ref="QWM38:QWM39"/>
    <mergeCell ref="QWN38:QWN39"/>
    <mergeCell ref="QWO38:QWO39"/>
    <mergeCell ref="QWP38:QWP39"/>
    <mergeCell ref="QWQ38:QWS38"/>
    <mergeCell ref="QWT38:QWT39"/>
    <mergeCell ref="QWU38:QWU39"/>
    <mergeCell ref="QWV38:QWV39"/>
    <mergeCell ref="QWQ39:QWS39"/>
    <mergeCell ref="QVY38:QVY39"/>
    <mergeCell ref="QVZ38:QVZ39"/>
    <mergeCell ref="QWA38:QWC38"/>
    <mergeCell ref="QWD38:QWD39"/>
    <mergeCell ref="QWE38:QWE39"/>
    <mergeCell ref="QWF38:QWF39"/>
    <mergeCell ref="QWG38:QWG39"/>
    <mergeCell ref="QWH38:QWH39"/>
    <mergeCell ref="QWI38:QWK38"/>
    <mergeCell ref="QWA39:QWC39"/>
    <mergeCell ref="QWI39:QWK39"/>
    <mergeCell ref="QVN38:QVN39"/>
    <mergeCell ref="QVO38:QVO39"/>
    <mergeCell ref="QVP38:QVP39"/>
    <mergeCell ref="QVQ38:QVQ39"/>
    <mergeCell ref="QVR38:QVR39"/>
    <mergeCell ref="QVS38:QVU38"/>
    <mergeCell ref="QVV38:QVV39"/>
    <mergeCell ref="QVW38:QVW39"/>
    <mergeCell ref="QVX38:QVX39"/>
    <mergeCell ref="QVS39:QVU39"/>
    <mergeCell ref="QVA38:QVA39"/>
    <mergeCell ref="QVB38:QVB39"/>
    <mergeCell ref="QVC38:QVE38"/>
    <mergeCell ref="QVF38:QVF39"/>
    <mergeCell ref="QVG38:QVG39"/>
    <mergeCell ref="QVH38:QVH39"/>
    <mergeCell ref="QVI38:QVI39"/>
    <mergeCell ref="QVJ38:QVJ39"/>
    <mergeCell ref="QVK38:QVM38"/>
    <mergeCell ref="QVC39:QVE39"/>
    <mergeCell ref="QVK39:QVM39"/>
    <mergeCell ref="QUP38:QUP39"/>
    <mergeCell ref="QUQ38:QUQ39"/>
    <mergeCell ref="QUR38:QUR39"/>
    <mergeCell ref="QUS38:QUS39"/>
    <mergeCell ref="QUT38:QUT39"/>
    <mergeCell ref="QUU38:QUW38"/>
    <mergeCell ref="QUX38:QUX39"/>
    <mergeCell ref="QUY38:QUY39"/>
    <mergeCell ref="QUZ38:QUZ39"/>
    <mergeCell ref="QUU39:QUW39"/>
    <mergeCell ref="QUC38:QUC39"/>
    <mergeCell ref="QUD38:QUD39"/>
    <mergeCell ref="QUE38:QUG38"/>
    <mergeCell ref="QUH38:QUH39"/>
    <mergeCell ref="QUI38:QUI39"/>
    <mergeCell ref="QUJ38:QUJ39"/>
    <mergeCell ref="QUK38:QUK39"/>
    <mergeCell ref="QUL38:QUL39"/>
    <mergeCell ref="QUM38:QUO38"/>
    <mergeCell ref="QUE39:QUG39"/>
    <mergeCell ref="QUM39:QUO39"/>
    <mergeCell ref="QTR38:QTR39"/>
    <mergeCell ref="QTS38:QTS39"/>
    <mergeCell ref="QTT38:QTT39"/>
    <mergeCell ref="QTU38:QTU39"/>
    <mergeCell ref="QTV38:QTV39"/>
    <mergeCell ref="QTW38:QTY38"/>
    <mergeCell ref="QTZ38:QTZ39"/>
    <mergeCell ref="QUA38:QUA39"/>
    <mergeCell ref="QUB38:QUB39"/>
    <mergeCell ref="QTW39:QTY39"/>
    <mergeCell ref="QTE38:QTE39"/>
    <mergeCell ref="QTF38:QTF39"/>
    <mergeCell ref="QTG38:QTI38"/>
    <mergeCell ref="QTJ38:QTJ39"/>
    <mergeCell ref="QTK38:QTK39"/>
    <mergeCell ref="QTL38:QTL39"/>
    <mergeCell ref="QTM38:QTM39"/>
    <mergeCell ref="QTN38:QTN39"/>
    <mergeCell ref="QTO38:QTQ38"/>
    <mergeCell ref="QTG39:QTI39"/>
    <mergeCell ref="QTO39:QTQ39"/>
    <mergeCell ref="QST38:QST39"/>
    <mergeCell ref="QSU38:QSU39"/>
    <mergeCell ref="QSV38:QSV39"/>
    <mergeCell ref="QSW38:QSW39"/>
    <mergeCell ref="QSX38:QSX39"/>
    <mergeCell ref="QSY38:QTA38"/>
    <mergeCell ref="QTB38:QTB39"/>
    <mergeCell ref="QTC38:QTC39"/>
    <mergeCell ref="QTD38:QTD39"/>
    <mergeCell ref="QSY39:QTA39"/>
    <mergeCell ref="QSG38:QSG39"/>
    <mergeCell ref="QSH38:QSH39"/>
    <mergeCell ref="QSI38:QSK38"/>
    <mergeCell ref="QSL38:QSL39"/>
    <mergeCell ref="QSM38:QSM39"/>
    <mergeCell ref="QSN38:QSN39"/>
    <mergeCell ref="QSO38:QSO39"/>
    <mergeCell ref="QSP38:QSP39"/>
    <mergeCell ref="QSQ38:QSS38"/>
    <mergeCell ref="QSI39:QSK39"/>
    <mergeCell ref="QSQ39:QSS39"/>
    <mergeCell ref="QRV38:QRV39"/>
    <mergeCell ref="QRW38:QRW39"/>
    <mergeCell ref="QRX38:QRX39"/>
    <mergeCell ref="QRY38:QRY39"/>
    <mergeCell ref="QRZ38:QRZ39"/>
    <mergeCell ref="QSA38:QSC38"/>
    <mergeCell ref="QSD38:QSD39"/>
    <mergeCell ref="QSE38:QSE39"/>
    <mergeCell ref="QSF38:QSF39"/>
    <mergeCell ref="QSA39:QSC39"/>
    <mergeCell ref="QRI38:QRI39"/>
    <mergeCell ref="QRJ38:QRJ39"/>
    <mergeCell ref="QRK38:QRM38"/>
    <mergeCell ref="QRN38:QRN39"/>
    <mergeCell ref="QRO38:QRO39"/>
    <mergeCell ref="QRP38:QRP39"/>
    <mergeCell ref="QRQ38:QRQ39"/>
    <mergeCell ref="QRR38:QRR39"/>
    <mergeCell ref="QRS38:QRU38"/>
    <mergeCell ref="QRK39:QRM39"/>
    <mergeCell ref="QRS39:QRU39"/>
    <mergeCell ref="QQX38:QQX39"/>
    <mergeCell ref="QQY38:QQY39"/>
    <mergeCell ref="QQZ38:QQZ39"/>
    <mergeCell ref="QRA38:QRA39"/>
    <mergeCell ref="QRB38:QRB39"/>
    <mergeCell ref="QRC38:QRE38"/>
    <mergeCell ref="QRF38:QRF39"/>
    <mergeCell ref="QRG38:QRG39"/>
    <mergeCell ref="QRH38:QRH39"/>
    <mergeCell ref="QRC39:QRE39"/>
    <mergeCell ref="QQK38:QQK39"/>
    <mergeCell ref="QQL38:QQL39"/>
    <mergeCell ref="QQM38:QQO38"/>
    <mergeCell ref="QQP38:QQP39"/>
    <mergeCell ref="QQQ38:QQQ39"/>
    <mergeCell ref="QQR38:QQR39"/>
    <mergeCell ref="QQS38:QQS39"/>
    <mergeCell ref="QQT38:QQT39"/>
    <mergeCell ref="QQU38:QQW38"/>
    <mergeCell ref="QQM39:QQO39"/>
    <mergeCell ref="QQU39:QQW39"/>
    <mergeCell ref="QPZ38:QPZ39"/>
    <mergeCell ref="QQA38:QQA39"/>
    <mergeCell ref="QQB38:QQB39"/>
    <mergeCell ref="QQC38:QQC39"/>
    <mergeCell ref="QQD38:QQD39"/>
    <mergeCell ref="QQE38:QQG38"/>
    <mergeCell ref="QQH38:QQH39"/>
    <mergeCell ref="QQI38:QQI39"/>
    <mergeCell ref="QQJ38:QQJ39"/>
    <mergeCell ref="QQE39:QQG39"/>
    <mergeCell ref="QPM38:QPM39"/>
    <mergeCell ref="QPN38:QPN39"/>
    <mergeCell ref="QPO38:QPQ38"/>
    <mergeCell ref="QPR38:QPR39"/>
    <mergeCell ref="QPS38:QPS39"/>
    <mergeCell ref="QPT38:QPT39"/>
    <mergeCell ref="QPU38:QPU39"/>
    <mergeCell ref="QPV38:QPV39"/>
    <mergeCell ref="QPW38:QPY38"/>
    <mergeCell ref="QPO39:QPQ39"/>
    <mergeCell ref="QPW39:QPY39"/>
    <mergeCell ref="QPB38:QPB39"/>
    <mergeCell ref="QPC38:QPC39"/>
    <mergeCell ref="QPD38:QPD39"/>
    <mergeCell ref="QPE38:QPE39"/>
    <mergeCell ref="QPF38:QPF39"/>
    <mergeCell ref="QPG38:QPI38"/>
    <mergeCell ref="QPJ38:QPJ39"/>
    <mergeCell ref="QPK38:QPK39"/>
    <mergeCell ref="QPL38:QPL39"/>
    <mergeCell ref="QPG39:QPI39"/>
    <mergeCell ref="QOO38:QOO39"/>
    <mergeCell ref="QOP38:QOP39"/>
    <mergeCell ref="QOQ38:QOS38"/>
    <mergeCell ref="QOT38:QOT39"/>
    <mergeCell ref="QOU38:QOU39"/>
    <mergeCell ref="QOV38:QOV39"/>
    <mergeCell ref="QOW38:QOW39"/>
    <mergeCell ref="QOX38:QOX39"/>
    <mergeCell ref="QOY38:QPA38"/>
    <mergeCell ref="QOQ39:QOS39"/>
    <mergeCell ref="QOY39:QPA39"/>
    <mergeCell ref="QOD38:QOD39"/>
    <mergeCell ref="QOE38:QOE39"/>
    <mergeCell ref="QOF38:QOF39"/>
    <mergeCell ref="QOG38:QOG39"/>
    <mergeCell ref="QOH38:QOH39"/>
    <mergeCell ref="QOI38:QOK38"/>
    <mergeCell ref="QOL38:QOL39"/>
    <mergeCell ref="QOM38:QOM39"/>
    <mergeCell ref="QON38:QON39"/>
    <mergeCell ref="QOI39:QOK39"/>
    <mergeCell ref="QNQ38:QNQ39"/>
    <mergeCell ref="QNR38:QNR39"/>
    <mergeCell ref="QNS38:QNU38"/>
    <mergeCell ref="QNV38:QNV39"/>
    <mergeCell ref="QNW38:QNW39"/>
    <mergeCell ref="QNX38:QNX39"/>
    <mergeCell ref="QNY38:QNY39"/>
    <mergeCell ref="QNZ38:QNZ39"/>
    <mergeCell ref="QOA38:QOC38"/>
    <mergeCell ref="QNS39:QNU39"/>
    <mergeCell ref="QOA39:QOC39"/>
    <mergeCell ref="QNF38:QNF39"/>
    <mergeCell ref="QNG38:QNG39"/>
    <mergeCell ref="QNH38:QNH39"/>
    <mergeCell ref="QNI38:QNI39"/>
    <mergeCell ref="QNJ38:QNJ39"/>
    <mergeCell ref="QNK38:QNM38"/>
    <mergeCell ref="QNN38:QNN39"/>
    <mergeCell ref="QNO38:QNO39"/>
    <mergeCell ref="QNP38:QNP39"/>
    <mergeCell ref="QNK39:QNM39"/>
    <mergeCell ref="QMS38:QMS39"/>
    <mergeCell ref="QMT38:QMT39"/>
    <mergeCell ref="QMU38:QMW38"/>
    <mergeCell ref="QMX38:QMX39"/>
    <mergeCell ref="QMY38:QMY39"/>
    <mergeCell ref="QMZ38:QMZ39"/>
    <mergeCell ref="QNA38:QNA39"/>
    <mergeCell ref="QNB38:QNB39"/>
    <mergeCell ref="QNC38:QNE38"/>
    <mergeCell ref="QMU39:QMW39"/>
    <mergeCell ref="QNC39:QNE39"/>
    <mergeCell ref="QMH38:QMH39"/>
    <mergeCell ref="QMI38:QMI39"/>
    <mergeCell ref="QMJ38:QMJ39"/>
    <mergeCell ref="QMK38:QMK39"/>
    <mergeCell ref="QML38:QML39"/>
    <mergeCell ref="QMM38:QMO38"/>
    <mergeCell ref="QMP38:QMP39"/>
    <mergeCell ref="QMQ38:QMQ39"/>
    <mergeCell ref="QMR38:QMR39"/>
    <mergeCell ref="QMM39:QMO39"/>
    <mergeCell ref="QLU38:QLU39"/>
    <mergeCell ref="QLV38:QLV39"/>
    <mergeCell ref="QLW38:QLY38"/>
    <mergeCell ref="QLZ38:QLZ39"/>
    <mergeCell ref="QMA38:QMA39"/>
    <mergeCell ref="QMB38:QMB39"/>
    <mergeCell ref="QMC38:QMC39"/>
    <mergeCell ref="QMD38:QMD39"/>
    <mergeCell ref="QME38:QMG38"/>
    <mergeCell ref="QLW39:QLY39"/>
    <mergeCell ref="QME39:QMG39"/>
    <mergeCell ref="QLJ38:QLJ39"/>
    <mergeCell ref="QLK38:QLK39"/>
    <mergeCell ref="QLL38:QLL39"/>
    <mergeCell ref="QLM38:QLM39"/>
    <mergeCell ref="QLN38:QLN39"/>
    <mergeCell ref="QLO38:QLQ38"/>
    <mergeCell ref="QLR38:QLR39"/>
    <mergeCell ref="QLS38:QLS39"/>
    <mergeCell ref="QLT38:QLT39"/>
    <mergeCell ref="QLO39:QLQ39"/>
    <mergeCell ref="QKW38:QKW39"/>
    <mergeCell ref="QKX38:QKX39"/>
    <mergeCell ref="QKY38:QLA38"/>
    <mergeCell ref="QLB38:QLB39"/>
    <mergeCell ref="QLC38:QLC39"/>
    <mergeCell ref="QLD38:QLD39"/>
    <mergeCell ref="QLE38:QLE39"/>
    <mergeCell ref="QLF38:QLF39"/>
    <mergeCell ref="QLG38:QLI38"/>
    <mergeCell ref="QKY39:QLA39"/>
    <mergeCell ref="QLG39:QLI39"/>
    <mergeCell ref="QKL38:QKL39"/>
    <mergeCell ref="QKM38:QKM39"/>
    <mergeCell ref="QKN38:QKN39"/>
    <mergeCell ref="QKO38:QKO39"/>
    <mergeCell ref="QKP38:QKP39"/>
    <mergeCell ref="QKQ38:QKS38"/>
    <mergeCell ref="QKT38:QKT39"/>
    <mergeCell ref="QKU38:QKU39"/>
    <mergeCell ref="QKV38:QKV39"/>
    <mergeCell ref="QKQ39:QKS39"/>
    <mergeCell ref="QJY38:QJY39"/>
    <mergeCell ref="QJZ38:QJZ39"/>
    <mergeCell ref="QKA38:QKC38"/>
    <mergeCell ref="QKD38:QKD39"/>
    <mergeCell ref="QKE38:QKE39"/>
    <mergeCell ref="QKF38:QKF39"/>
    <mergeCell ref="QKG38:QKG39"/>
    <mergeCell ref="QKH38:QKH39"/>
    <mergeCell ref="QKI38:QKK38"/>
    <mergeCell ref="QKA39:QKC39"/>
    <mergeCell ref="QKI39:QKK39"/>
    <mergeCell ref="QJN38:QJN39"/>
    <mergeCell ref="QJO38:QJO39"/>
    <mergeCell ref="QJP38:QJP39"/>
    <mergeCell ref="QJQ38:QJQ39"/>
    <mergeCell ref="QJR38:QJR39"/>
    <mergeCell ref="QJS38:QJU38"/>
    <mergeCell ref="QJV38:QJV39"/>
    <mergeCell ref="QJW38:QJW39"/>
    <mergeCell ref="QJX38:QJX39"/>
    <mergeCell ref="QJS39:QJU39"/>
    <mergeCell ref="QJA38:QJA39"/>
    <mergeCell ref="QJB38:QJB39"/>
    <mergeCell ref="QJC38:QJE38"/>
    <mergeCell ref="QJF38:QJF39"/>
    <mergeCell ref="QJG38:QJG39"/>
    <mergeCell ref="QJH38:QJH39"/>
    <mergeCell ref="QJI38:QJI39"/>
    <mergeCell ref="QJJ38:QJJ39"/>
    <mergeCell ref="QJK38:QJM38"/>
    <mergeCell ref="QJC39:QJE39"/>
    <mergeCell ref="QJK39:QJM39"/>
    <mergeCell ref="QIP38:QIP39"/>
    <mergeCell ref="QIQ38:QIQ39"/>
    <mergeCell ref="QIR38:QIR39"/>
    <mergeCell ref="QIS38:QIS39"/>
    <mergeCell ref="QIT38:QIT39"/>
    <mergeCell ref="QIU38:QIW38"/>
    <mergeCell ref="QIX38:QIX39"/>
    <mergeCell ref="QIY38:QIY39"/>
    <mergeCell ref="QIZ38:QIZ39"/>
    <mergeCell ref="QIU39:QIW39"/>
    <mergeCell ref="QIC38:QIC39"/>
    <mergeCell ref="QID38:QID39"/>
    <mergeCell ref="QIE38:QIG38"/>
    <mergeCell ref="QIH38:QIH39"/>
    <mergeCell ref="QII38:QII39"/>
    <mergeCell ref="QIJ38:QIJ39"/>
    <mergeCell ref="QIK38:QIK39"/>
    <mergeCell ref="QIL38:QIL39"/>
    <mergeCell ref="QIM38:QIO38"/>
    <mergeCell ref="QIE39:QIG39"/>
    <mergeCell ref="QIM39:QIO39"/>
    <mergeCell ref="QHR38:QHR39"/>
    <mergeCell ref="QHS38:QHS39"/>
    <mergeCell ref="QHT38:QHT39"/>
    <mergeCell ref="QHU38:QHU39"/>
    <mergeCell ref="QHV38:QHV39"/>
    <mergeCell ref="QHW38:QHY38"/>
    <mergeCell ref="QHZ38:QHZ39"/>
    <mergeCell ref="QIA38:QIA39"/>
    <mergeCell ref="QIB38:QIB39"/>
    <mergeCell ref="QHW39:QHY39"/>
    <mergeCell ref="QHE38:QHE39"/>
    <mergeCell ref="QHF38:QHF39"/>
    <mergeCell ref="QHG38:QHI38"/>
    <mergeCell ref="QHJ38:QHJ39"/>
    <mergeCell ref="QHK38:QHK39"/>
    <mergeCell ref="QHL38:QHL39"/>
    <mergeCell ref="QHM38:QHM39"/>
    <mergeCell ref="QHN38:QHN39"/>
    <mergeCell ref="QHO38:QHQ38"/>
    <mergeCell ref="QHG39:QHI39"/>
    <mergeCell ref="QHO39:QHQ39"/>
    <mergeCell ref="QGT38:QGT39"/>
    <mergeCell ref="QGU38:QGU39"/>
    <mergeCell ref="QGV38:QGV39"/>
    <mergeCell ref="QGW38:QGW39"/>
    <mergeCell ref="QGX38:QGX39"/>
    <mergeCell ref="QGY38:QHA38"/>
    <mergeCell ref="QHB38:QHB39"/>
    <mergeCell ref="QHC38:QHC39"/>
    <mergeCell ref="QHD38:QHD39"/>
    <mergeCell ref="QGY39:QHA39"/>
    <mergeCell ref="QGG38:QGG39"/>
    <mergeCell ref="QGH38:QGH39"/>
    <mergeCell ref="QGI38:QGK38"/>
    <mergeCell ref="QGL38:QGL39"/>
    <mergeCell ref="QGM38:QGM39"/>
    <mergeCell ref="QGN38:QGN39"/>
    <mergeCell ref="QGO38:QGO39"/>
    <mergeCell ref="QGP38:QGP39"/>
    <mergeCell ref="QGQ38:QGS38"/>
    <mergeCell ref="QGI39:QGK39"/>
    <mergeCell ref="QGQ39:QGS39"/>
    <mergeCell ref="QFV38:QFV39"/>
    <mergeCell ref="QFW38:QFW39"/>
    <mergeCell ref="QFX38:QFX39"/>
    <mergeCell ref="QFY38:QFY39"/>
    <mergeCell ref="QFZ38:QFZ39"/>
    <mergeCell ref="QGA38:QGC38"/>
    <mergeCell ref="QGD38:QGD39"/>
    <mergeCell ref="QGE38:QGE39"/>
    <mergeCell ref="QGF38:QGF39"/>
    <mergeCell ref="QGA39:QGC39"/>
    <mergeCell ref="QFI38:QFI39"/>
    <mergeCell ref="QFJ38:QFJ39"/>
    <mergeCell ref="QFK38:QFM38"/>
    <mergeCell ref="QFN38:QFN39"/>
    <mergeCell ref="QFO38:QFO39"/>
    <mergeCell ref="QFP38:QFP39"/>
    <mergeCell ref="QFQ38:QFQ39"/>
    <mergeCell ref="QFR38:QFR39"/>
    <mergeCell ref="QFS38:QFU38"/>
    <mergeCell ref="QFK39:QFM39"/>
    <mergeCell ref="QFS39:QFU39"/>
    <mergeCell ref="QEX38:QEX39"/>
    <mergeCell ref="QEY38:QEY39"/>
    <mergeCell ref="QEZ38:QEZ39"/>
    <mergeCell ref="QFA38:QFA39"/>
    <mergeCell ref="QFB38:QFB39"/>
    <mergeCell ref="QFC38:QFE38"/>
    <mergeCell ref="QFF38:QFF39"/>
    <mergeCell ref="QFG38:QFG39"/>
    <mergeCell ref="QFH38:QFH39"/>
    <mergeCell ref="QFC39:QFE39"/>
    <mergeCell ref="QEK38:QEK39"/>
    <mergeCell ref="QEL38:QEL39"/>
    <mergeCell ref="QEM38:QEO38"/>
    <mergeCell ref="QEP38:QEP39"/>
    <mergeCell ref="QEQ38:QEQ39"/>
    <mergeCell ref="QER38:QER39"/>
    <mergeCell ref="QES38:QES39"/>
    <mergeCell ref="QET38:QET39"/>
    <mergeCell ref="QEU38:QEW38"/>
    <mergeCell ref="QEM39:QEO39"/>
    <mergeCell ref="QEU39:QEW39"/>
    <mergeCell ref="QDZ38:QDZ39"/>
    <mergeCell ref="QEA38:QEA39"/>
    <mergeCell ref="QEB38:QEB39"/>
    <mergeCell ref="QEC38:QEC39"/>
    <mergeCell ref="QED38:QED39"/>
    <mergeCell ref="QEE38:QEG38"/>
    <mergeCell ref="QEH38:QEH39"/>
    <mergeCell ref="QEI38:QEI39"/>
    <mergeCell ref="QEJ38:QEJ39"/>
    <mergeCell ref="QEE39:QEG39"/>
    <mergeCell ref="QDM38:QDM39"/>
    <mergeCell ref="QDN38:QDN39"/>
    <mergeCell ref="QDO38:QDQ38"/>
    <mergeCell ref="QDR38:QDR39"/>
    <mergeCell ref="QDS38:QDS39"/>
    <mergeCell ref="QDT38:QDT39"/>
    <mergeCell ref="QDU38:QDU39"/>
    <mergeCell ref="QDV38:QDV39"/>
    <mergeCell ref="QDW38:QDY38"/>
    <mergeCell ref="QDO39:QDQ39"/>
    <mergeCell ref="QDW39:QDY39"/>
    <mergeCell ref="QDB38:QDB39"/>
    <mergeCell ref="QDC38:QDC39"/>
    <mergeCell ref="QDD38:QDD39"/>
    <mergeCell ref="QDE38:QDE39"/>
    <mergeCell ref="QDF38:QDF39"/>
    <mergeCell ref="QDG38:QDI38"/>
    <mergeCell ref="QDJ38:QDJ39"/>
    <mergeCell ref="QDK38:QDK39"/>
    <mergeCell ref="QDL38:QDL39"/>
    <mergeCell ref="QDG39:QDI39"/>
    <mergeCell ref="QCO38:QCO39"/>
    <mergeCell ref="QCP38:QCP39"/>
    <mergeCell ref="QCQ38:QCS38"/>
    <mergeCell ref="QCT38:QCT39"/>
    <mergeCell ref="QCU38:QCU39"/>
    <mergeCell ref="QCV38:QCV39"/>
    <mergeCell ref="QCW38:QCW39"/>
    <mergeCell ref="QCX38:QCX39"/>
    <mergeCell ref="QCY38:QDA38"/>
    <mergeCell ref="QCQ39:QCS39"/>
    <mergeCell ref="QCY39:QDA39"/>
    <mergeCell ref="QCD38:QCD39"/>
    <mergeCell ref="QCE38:QCE39"/>
    <mergeCell ref="QCF38:QCF39"/>
    <mergeCell ref="QCG38:QCG39"/>
    <mergeCell ref="QCH38:QCH39"/>
    <mergeCell ref="QCI38:QCK38"/>
    <mergeCell ref="QCL38:QCL39"/>
    <mergeCell ref="QCM38:QCM39"/>
    <mergeCell ref="QCN38:QCN39"/>
    <mergeCell ref="QCI39:QCK39"/>
    <mergeCell ref="QBQ38:QBQ39"/>
    <mergeCell ref="QBR38:QBR39"/>
    <mergeCell ref="QBS38:QBU38"/>
    <mergeCell ref="QBV38:QBV39"/>
    <mergeCell ref="QBW38:QBW39"/>
    <mergeCell ref="QBX38:QBX39"/>
    <mergeCell ref="QBY38:QBY39"/>
    <mergeCell ref="QBZ38:QBZ39"/>
    <mergeCell ref="QCA38:QCC38"/>
    <mergeCell ref="QBS39:QBU39"/>
    <mergeCell ref="QCA39:QCC39"/>
    <mergeCell ref="QBF38:QBF39"/>
    <mergeCell ref="QBG38:QBG39"/>
    <mergeCell ref="QBH38:QBH39"/>
    <mergeCell ref="QBI38:QBI39"/>
    <mergeCell ref="QBJ38:QBJ39"/>
    <mergeCell ref="QBK38:QBM38"/>
    <mergeCell ref="QBN38:QBN39"/>
    <mergeCell ref="QBO38:QBO39"/>
    <mergeCell ref="QBP38:QBP39"/>
    <mergeCell ref="QBK39:QBM39"/>
    <mergeCell ref="QAS38:QAS39"/>
    <mergeCell ref="QAT38:QAT39"/>
    <mergeCell ref="QAU38:QAW38"/>
    <mergeCell ref="QAX38:QAX39"/>
    <mergeCell ref="QAY38:QAY39"/>
    <mergeCell ref="QAZ38:QAZ39"/>
    <mergeCell ref="QBA38:QBA39"/>
    <mergeCell ref="QBB38:QBB39"/>
    <mergeCell ref="QBC38:QBE38"/>
    <mergeCell ref="QAU39:QAW39"/>
    <mergeCell ref="QBC39:QBE39"/>
    <mergeCell ref="QAH38:QAH39"/>
    <mergeCell ref="QAI38:QAI39"/>
    <mergeCell ref="QAJ38:QAJ39"/>
    <mergeCell ref="QAK38:QAK39"/>
    <mergeCell ref="QAL38:QAL39"/>
    <mergeCell ref="QAM38:QAO38"/>
    <mergeCell ref="QAP38:QAP39"/>
    <mergeCell ref="QAQ38:QAQ39"/>
    <mergeCell ref="QAR38:QAR39"/>
    <mergeCell ref="QAM39:QAO39"/>
    <mergeCell ref="PZU38:PZU39"/>
    <mergeCell ref="PZV38:PZV39"/>
    <mergeCell ref="PZW38:PZY38"/>
    <mergeCell ref="PZZ38:PZZ39"/>
    <mergeCell ref="QAA38:QAA39"/>
    <mergeCell ref="QAB38:QAB39"/>
    <mergeCell ref="QAC38:QAC39"/>
    <mergeCell ref="QAD38:QAD39"/>
    <mergeCell ref="QAE38:QAG38"/>
    <mergeCell ref="PZW39:PZY39"/>
    <mergeCell ref="QAE39:QAG39"/>
    <mergeCell ref="PZJ38:PZJ39"/>
    <mergeCell ref="PZK38:PZK39"/>
    <mergeCell ref="PZL38:PZL39"/>
    <mergeCell ref="PZM38:PZM39"/>
    <mergeCell ref="PZN38:PZN39"/>
    <mergeCell ref="PZO38:PZQ38"/>
    <mergeCell ref="PZR38:PZR39"/>
    <mergeCell ref="PZS38:PZS39"/>
    <mergeCell ref="PZT38:PZT39"/>
    <mergeCell ref="PZO39:PZQ39"/>
    <mergeCell ref="PYW38:PYW39"/>
    <mergeCell ref="PYX38:PYX39"/>
    <mergeCell ref="PYY38:PZA38"/>
    <mergeCell ref="PZB38:PZB39"/>
    <mergeCell ref="PZC38:PZC39"/>
    <mergeCell ref="PZD38:PZD39"/>
    <mergeCell ref="PZE38:PZE39"/>
    <mergeCell ref="PZF38:PZF39"/>
    <mergeCell ref="PZG38:PZI38"/>
    <mergeCell ref="PYY39:PZA39"/>
    <mergeCell ref="PZG39:PZI39"/>
    <mergeCell ref="PYL38:PYL39"/>
    <mergeCell ref="PYM38:PYM39"/>
    <mergeCell ref="PYN38:PYN39"/>
    <mergeCell ref="PYO38:PYO39"/>
    <mergeCell ref="PYP38:PYP39"/>
    <mergeCell ref="PYQ38:PYS38"/>
    <mergeCell ref="PYT38:PYT39"/>
    <mergeCell ref="PYU38:PYU39"/>
    <mergeCell ref="PYV38:PYV39"/>
    <mergeCell ref="PYQ39:PYS39"/>
    <mergeCell ref="PXY38:PXY39"/>
    <mergeCell ref="PXZ38:PXZ39"/>
    <mergeCell ref="PYA38:PYC38"/>
    <mergeCell ref="PYD38:PYD39"/>
    <mergeCell ref="PYE38:PYE39"/>
    <mergeCell ref="PYF38:PYF39"/>
    <mergeCell ref="PYG38:PYG39"/>
    <mergeCell ref="PYH38:PYH39"/>
    <mergeCell ref="PYI38:PYK38"/>
    <mergeCell ref="PYA39:PYC39"/>
    <mergeCell ref="PYI39:PYK39"/>
    <mergeCell ref="PXN38:PXN39"/>
    <mergeCell ref="PXO38:PXO39"/>
    <mergeCell ref="PXP38:PXP39"/>
    <mergeCell ref="PXQ38:PXQ39"/>
    <mergeCell ref="PXR38:PXR39"/>
    <mergeCell ref="PXS38:PXU38"/>
    <mergeCell ref="PXV38:PXV39"/>
    <mergeCell ref="PXW38:PXW39"/>
    <mergeCell ref="PXX38:PXX39"/>
    <mergeCell ref="PXS39:PXU39"/>
    <mergeCell ref="PXA38:PXA39"/>
    <mergeCell ref="PXB38:PXB39"/>
    <mergeCell ref="PXC38:PXE38"/>
    <mergeCell ref="PXF38:PXF39"/>
    <mergeCell ref="PXG38:PXG39"/>
    <mergeCell ref="PXH38:PXH39"/>
    <mergeCell ref="PXI38:PXI39"/>
    <mergeCell ref="PXJ38:PXJ39"/>
    <mergeCell ref="PXK38:PXM38"/>
    <mergeCell ref="PXC39:PXE39"/>
    <mergeCell ref="PXK39:PXM39"/>
    <mergeCell ref="PWP38:PWP39"/>
    <mergeCell ref="PWQ38:PWQ39"/>
    <mergeCell ref="PWR38:PWR39"/>
    <mergeCell ref="PWS38:PWS39"/>
    <mergeCell ref="PWT38:PWT39"/>
    <mergeCell ref="PWU38:PWW38"/>
    <mergeCell ref="PWX38:PWX39"/>
    <mergeCell ref="PWY38:PWY39"/>
    <mergeCell ref="PWZ38:PWZ39"/>
    <mergeCell ref="PWU39:PWW39"/>
    <mergeCell ref="PWC38:PWC39"/>
    <mergeCell ref="PWD38:PWD39"/>
    <mergeCell ref="PWE38:PWG38"/>
    <mergeCell ref="PWH38:PWH39"/>
    <mergeCell ref="PWI38:PWI39"/>
    <mergeCell ref="PWJ38:PWJ39"/>
    <mergeCell ref="PWK38:PWK39"/>
    <mergeCell ref="PWL38:PWL39"/>
    <mergeCell ref="PWM38:PWO38"/>
    <mergeCell ref="PWE39:PWG39"/>
    <mergeCell ref="PWM39:PWO39"/>
    <mergeCell ref="PVR38:PVR39"/>
    <mergeCell ref="PVS38:PVS39"/>
    <mergeCell ref="PVT38:PVT39"/>
    <mergeCell ref="PVU38:PVU39"/>
    <mergeCell ref="PVV38:PVV39"/>
    <mergeCell ref="PVW38:PVY38"/>
    <mergeCell ref="PVZ38:PVZ39"/>
    <mergeCell ref="PWA38:PWA39"/>
    <mergeCell ref="PWB38:PWB39"/>
    <mergeCell ref="PVW39:PVY39"/>
    <mergeCell ref="PVE38:PVE39"/>
    <mergeCell ref="PVF38:PVF39"/>
    <mergeCell ref="PVG38:PVI38"/>
    <mergeCell ref="PVJ38:PVJ39"/>
    <mergeCell ref="PVK38:PVK39"/>
    <mergeCell ref="PVL38:PVL39"/>
    <mergeCell ref="PVM38:PVM39"/>
    <mergeCell ref="PVN38:PVN39"/>
    <mergeCell ref="PVO38:PVQ38"/>
    <mergeCell ref="PVG39:PVI39"/>
    <mergeCell ref="PVO39:PVQ39"/>
    <mergeCell ref="PUT38:PUT39"/>
    <mergeCell ref="PUU38:PUU39"/>
    <mergeCell ref="PUV38:PUV39"/>
    <mergeCell ref="PUW38:PUW39"/>
    <mergeCell ref="PUX38:PUX39"/>
    <mergeCell ref="PUY38:PVA38"/>
    <mergeCell ref="PVB38:PVB39"/>
    <mergeCell ref="PVC38:PVC39"/>
    <mergeCell ref="PVD38:PVD39"/>
    <mergeCell ref="PUY39:PVA39"/>
    <mergeCell ref="PUG38:PUG39"/>
    <mergeCell ref="PUH38:PUH39"/>
    <mergeCell ref="PUI38:PUK38"/>
    <mergeCell ref="PUL38:PUL39"/>
    <mergeCell ref="PUM38:PUM39"/>
    <mergeCell ref="PUN38:PUN39"/>
    <mergeCell ref="PUO38:PUO39"/>
    <mergeCell ref="PUP38:PUP39"/>
    <mergeCell ref="PUQ38:PUS38"/>
    <mergeCell ref="PUI39:PUK39"/>
    <mergeCell ref="PUQ39:PUS39"/>
    <mergeCell ref="PTV38:PTV39"/>
    <mergeCell ref="PTW38:PTW39"/>
    <mergeCell ref="PTX38:PTX39"/>
    <mergeCell ref="PTY38:PTY39"/>
    <mergeCell ref="PTZ38:PTZ39"/>
    <mergeCell ref="PUA38:PUC38"/>
    <mergeCell ref="PUD38:PUD39"/>
    <mergeCell ref="PUE38:PUE39"/>
    <mergeCell ref="PUF38:PUF39"/>
    <mergeCell ref="PUA39:PUC39"/>
    <mergeCell ref="PTI38:PTI39"/>
    <mergeCell ref="PTJ38:PTJ39"/>
    <mergeCell ref="PTK38:PTM38"/>
    <mergeCell ref="PTN38:PTN39"/>
    <mergeCell ref="PTO38:PTO39"/>
    <mergeCell ref="PTP38:PTP39"/>
    <mergeCell ref="PTQ38:PTQ39"/>
    <mergeCell ref="PTR38:PTR39"/>
    <mergeCell ref="PTS38:PTU38"/>
    <mergeCell ref="PTK39:PTM39"/>
    <mergeCell ref="PTS39:PTU39"/>
    <mergeCell ref="PSX38:PSX39"/>
    <mergeCell ref="PSY38:PSY39"/>
    <mergeCell ref="PSZ38:PSZ39"/>
    <mergeCell ref="PTA38:PTA39"/>
    <mergeCell ref="PTB38:PTB39"/>
    <mergeCell ref="PTC38:PTE38"/>
    <mergeCell ref="PTF38:PTF39"/>
    <mergeCell ref="PTG38:PTG39"/>
    <mergeCell ref="PTH38:PTH39"/>
    <mergeCell ref="PTC39:PTE39"/>
    <mergeCell ref="PSK38:PSK39"/>
    <mergeCell ref="PSL38:PSL39"/>
    <mergeCell ref="PSM38:PSO38"/>
    <mergeCell ref="PSP38:PSP39"/>
    <mergeCell ref="PSQ38:PSQ39"/>
    <mergeCell ref="PSR38:PSR39"/>
    <mergeCell ref="PSS38:PSS39"/>
    <mergeCell ref="PST38:PST39"/>
    <mergeCell ref="PSU38:PSW38"/>
    <mergeCell ref="PSM39:PSO39"/>
    <mergeCell ref="PSU39:PSW39"/>
    <mergeCell ref="PRZ38:PRZ39"/>
    <mergeCell ref="PSA38:PSA39"/>
    <mergeCell ref="PSB38:PSB39"/>
    <mergeCell ref="PSC38:PSC39"/>
    <mergeCell ref="PSD38:PSD39"/>
    <mergeCell ref="PSE38:PSG38"/>
    <mergeCell ref="PSH38:PSH39"/>
    <mergeCell ref="PSI38:PSI39"/>
    <mergeCell ref="PSJ38:PSJ39"/>
    <mergeCell ref="PSE39:PSG39"/>
    <mergeCell ref="PRM38:PRM39"/>
    <mergeCell ref="PRN38:PRN39"/>
    <mergeCell ref="PRO38:PRQ38"/>
    <mergeCell ref="PRR38:PRR39"/>
    <mergeCell ref="PRS38:PRS39"/>
    <mergeCell ref="PRT38:PRT39"/>
    <mergeCell ref="PRU38:PRU39"/>
    <mergeCell ref="PRV38:PRV39"/>
    <mergeCell ref="PRW38:PRY38"/>
    <mergeCell ref="PRO39:PRQ39"/>
    <mergeCell ref="PRW39:PRY39"/>
    <mergeCell ref="PRB38:PRB39"/>
    <mergeCell ref="PRC38:PRC39"/>
    <mergeCell ref="PRD38:PRD39"/>
    <mergeCell ref="PRE38:PRE39"/>
    <mergeCell ref="PRF38:PRF39"/>
    <mergeCell ref="PRG38:PRI38"/>
    <mergeCell ref="PRJ38:PRJ39"/>
    <mergeCell ref="PRK38:PRK39"/>
    <mergeCell ref="PRL38:PRL39"/>
    <mergeCell ref="PRG39:PRI39"/>
    <mergeCell ref="PQO38:PQO39"/>
    <mergeCell ref="PQP38:PQP39"/>
    <mergeCell ref="PQQ38:PQS38"/>
    <mergeCell ref="PQT38:PQT39"/>
    <mergeCell ref="PQU38:PQU39"/>
    <mergeCell ref="PQV38:PQV39"/>
    <mergeCell ref="PQW38:PQW39"/>
    <mergeCell ref="PQX38:PQX39"/>
    <mergeCell ref="PQY38:PRA38"/>
    <mergeCell ref="PQQ39:PQS39"/>
    <mergeCell ref="PQY39:PRA39"/>
    <mergeCell ref="PQD38:PQD39"/>
    <mergeCell ref="PQE38:PQE39"/>
    <mergeCell ref="PQF38:PQF39"/>
    <mergeCell ref="PQG38:PQG39"/>
    <mergeCell ref="PQH38:PQH39"/>
    <mergeCell ref="PQI38:PQK38"/>
    <mergeCell ref="PQL38:PQL39"/>
    <mergeCell ref="PQM38:PQM39"/>
    <mergeCell ref="PQN38:PQN39"/>
    <mergeCell ref="PQI39:PQK39"/>
    <mergeCell ref="PPQ38:PPQ39"/>
    <mergeCell ref="PPR38:PPR39"/>
    <mergeCell ref="PPS38:PPU38"/>
    <mergeCell ref="PPV38:PPV39"/>
    <mergeCell ref="PPW38:PPW39"/>
    <mergeCell ref="PPX38:PPX39"/>
    <mergeCell ref="PPY38:PPY39"/>
    <mergeCell ref="PPZ38:PPZ39"/>
    <mergeCell ref="PQA38:PQC38"/>
    <mergeCell ref="PPS39:PPU39"/>
    <mergeCell ref="PQA39:PQC39"/>
    <mergeCell ref="PPF38:PPF39"/>
    <mergeCell ref="PPG38:PPG39"/>
    <mergeCell ref="PPH38:PPH39"/>
    <mergeCell ref="PPI38:PPI39"/>
    <mergeCell ref="PPJ38:PPJ39"/>
    <mergeCell ref="PPK38:PPM38"/>
    <mergeCell ref="PPN38:PPN39"/>
    <mergeCell ref="PPO38:PPO39"/>
    <mergeCell ref="PPP38:PPP39"/>
    <mergeCell ref="PPK39:PPM39"/>
    <mergeCell ref="POS38:POS39"/>
    <mergeCell ref="POT38:POT39"/>
    <mergeCell ref="POU38:POW38"/>
    <mergeCell ref="POX38:POX39"/>
    <mergeCell ref="POY38:POY39"/>
    <mergeCell ref="POZ38:POZ39"/>
    <mergeCell ref="PPA38:PPA39"/>
    <mergeCell ref="PPB38:PPB39"/>
    <mergeCell ref="PPC38:PPE38"/>
    <mergeCell ref="POU39:POW39"/>
    <mergeCell ref="PPC39:PPE39"/>
    <mergeCell ref="POH38:POH39"/>
    <mergeCell ref="POI38:POI39"/>
    <mergeCell ref="POJ38:POJ39"/>
    <mergeCell ref="POK38:POK39"/>
    <mergeCell ref="POL38:POL39"/>
    <mergeCell ref="POM38:POO38"/>
    <mergeCell ref="POP38:POP39"/>
    <mergeCell ref="POQ38:POQ39"/>
    <mergeCell ref="POR38:POR39"/>
    <mergeCell ref="POM39:POO39"/>
    <mergeCell ref="PNU38:PNU39"/>
    <mergeCell ref="PNV38:PNV39"/>
    <mergeCell ref="PNW38:PNY38"/>
    <mergeCell ref="PNZ38:PNZ39"/>
    <mergeCell ref="POA38:POA39"/>
    <mergeCell ref="POB38:POB39"/>
    <mergeCell ref="POC38:POC39"/>
    <mergeCell ref="POD38:POD39"/>
    <mergeCell ref="POE38:POG38"/>
    <mergeCell ref="PNW39:PNY39"/>
    <mergeCell ref="POE39:POG39"/>
    <mergeCell ref="PNJ38:PNJ39"/>
    <mergeCell ref="PNK38:PNK39"/>
    <mergeCell ref="PNL38:PNL39"/>
    <mergeCell ref="PNM38:PNM39"/>
    <mergeCell ref="PNN38:PNN39"/>
    <mergeCell ref="PNO38:PNQ38"/>
    <mergeCell ref="PNR38:PNR39"/>
    <mergeCell ref="PNS38:PNS39"/>
    <mergeCell ref="PNT38:PNT39"/>
    <mergeCell ref="PNO39:PNQ39"/>
    <mergeCell ref="PMW38:PMW39"/>
    <mergeCell ref="PMX38:PMX39"/>
    <mergeCell ref="PMY38:PNA38"/>
    <mergeCell ref="PNB38:PNB39"/>
    <mergeCell ref="PNC38:PNC39"/>
    <mergeCell ref="PND38:PND39"/>
    <mergeCell ref="PNE38:PNE39"/>
    <mergeCell ref="PNF38:PNF39"/>
    <mergeCell ref="PNG38:PNI38"/>
    <mergeCell ref="PMY39:PNA39"/>
    <mergeCell ref="PNG39:PNI39"/>
    <mergeCell ref="PML38:PML39"/>
    <mergeCell ref="PMM38:PMM39"/>
    <mergeCell ref="PMN38:PMN39"/>
    <mergeCell ref="PMO38:PMO39"/>
    <mergeCell ref="PMP38:PMP39"/>
    <mergeCell ref="PMQ38:PMS38"/>
    <mergeCell ref="PMT38:PMT39"/>
    <mergeCell ref="PMU38:PMU39"/>
    <mergeCell ref="PMV38:PMV39"/>
    <mergeCell ref="PMQ39:PMS39"/>
    <mergeCell ref="PLY38:PLY39"/>
    <mergeCell ref="PLZ38:PLZ39"/>
    <mergeCell ref="PMA38:PMC38"/>
    <mergeCell ref="PMD38:PMD39"/>
    <mergeCell ref="PME38:PME39"/>
    <mergeCell ref="PMF38:PMF39"/>
    <mergeCell ref="PMG38:PMG39"/>
    <mergeCell ref="PMH38:PMH39"/>
    <mergeCell ref="PMI38:PMK38"/>
    <mergeCell ref="PMA39:PMC39"/>
    <mergeCell ref="PMI39:PMK39"/>
    <mergeCell ref="PLN38:PLN39"/>
    <mergeCell ref="PLO38:PLO39"/>
    <mergeCell ref="PLP38:PLP39"/>
    <mergeCell ref="PLQ38:PLQ39"/>
    <mergeCell ref="PLR38:PLR39"/>
    <mergeCell ref="PLS38:PLU38"/>
    <mergeCell ref="PLV38:PLV39"/>
    <mergeCell ref="PLW38:PLW39"/>
    <mergeCell ref="PLX38:PLX39"/>
    <mergeCell ref="PLS39:PLU39"/>
    <mergeCell ref="PLA38:PLA39"/>
    <mergeCell ref="PLB38:PLB39"/>
    <mergeCell ref="PLC38:PLE38"/>
    <mergeCell ref="PLF38:PLF39"/>
    <mergeCell ref="PLG38:PLG39"/>
    <mergeCell ref="PLH38:PLH39"/>
    <mergeCell ref="PLI38:PLI39"/>
    <mergeCell ref="PLJ38:PLJ39"/>
    <mergeCell ref="PLK38:PLM38"/>
    <mergeCell ref="PLC39:PLE39"/>
    <mergeCell ref="PLK39:PLM39"/>
    <mergeCell ref="PKP38:PKP39"/>
    <mergeCell ref="PKQ38:PKQ39"/>
    <mergeCell ref="PKR38:PKR39"/>
    <mergeCell ref="PKS38:PKS39"/>
    <mergeCell ref="PKT38:PKT39"/>
    <mergeCell ref="PKU38:PKW38"/>
    <mergeCell ref="PKX38:PKX39"/>
    <mergeCell ref="PKY38:PKY39"/>
    <mergeCell ref="PKZ38:PKZ39"/>
    <mergeCell ref="PKU39:PKW39"/>
    <mergeCell ref="PKC38:PKC39"/>
    <mergeCell ref="PKD38:PKD39"/>
    <mergeCell ref="PKE38:PKG38"/>
    <mergeCell ref="PKH38:PKH39"/>
    <mergeCell ref="PKI38:PKI39"/>
    <mergeCell ref="PKJ38:PKJ39"/>
    <mergeCell ref="PKK38:PKK39"/>
    <mergeCell ref="PKL38:PKL39"/>
    <mergeCell ref="PKM38:PKO38"/>
    <mergeCell ref="PKE39:PKG39"/>
    <mergeCell ref="PKM39:PKO39"/>
    <mergeCell ref="PJR38:PJR39"/>
    <mergeCell ref="PJS38:PJS39"/>
    <mergeCell ref="PJT38:PJT39"/>
    <mergeCell ref="PJU38:PJU39"/>
    <mergeCell ref="PJV38:PJV39"/>
    <mergeCell ref="PJW38:PJY38"/>
    <mergeCell ref="PJZ38:PJZ39"/>
    <mergeCell ref="PKA38:PKA39"/>
    <mergeCell ref="PKB38:PKB39"/>
    <mergeCell ref="PJW39:PJY39"/>
    <mergeCell ref="PJE38:PJE39"/>
    <mergeCell ref="PJF38:PJF39"/>
    <mergeCell ref="PJG38:PJI38"/>
    <mergeCell ref="PJJ38:PJJ39"/>
    <mergeCell ref="PJK38:PJK39"/>
    <mergeCell ref="PJL38:PJL39"/>
    <mergeCell ref="PJM38:PJM39"/>
    <mergeCell ref="PJN38:PJN39"/>
    <mergeCell ref="PJO38:PJQ38"/>
    <mergeCell ref="PJG39:PJI39"/>
    <mergeCell ref="PJO39:PJQ39"/>
    <mergeCell ref="PIT38:PIT39"/>
    <mergeCell ref="PIU38:PIU39"/>
    <mergeCell ref="PIV38:PIV39"/>
    <mergeCell ref="PIW38:PIW39"/>
    <mergeCell ref="PIX38:PIX39"/>
    <mergeCell ref="PIY38:PJA38"/>
    <mergeCell ref="PJB38:PJB39"/>
    <mergeCell ref="PJC38:PJC39"/>
    <mergeCell ref="PJD38:PJD39"/>
    <mergeCell ref="PIY39:PJA39"/>
    <mergeCell ref="PIG38:PIG39"/>
    <mergeCell ref="PIH38:PIH39"/>
    <mergeCell ref="PII38:PIK38"/>
    <mergeCell ref="PIL38:PIL39"/>
    <mergeCell ref="PIM38:PIM39"/>
    <mergeCell ref="PIN38:PIN39"/>
    <mergeCell ref="PIO38:PIO39"/>
    <mergeCell ref="PIP38:PIP39"/>
    <mergeCell ref="PIQ38:PIS38"/>
    <mergeCell ref="PII39:PIK39"/>
    <mergeCell ref="PIQ39:PIS39"/>
    <mergeCell ref="PHV38:PHV39"/>
    <mergeCell ref="PHW38:PHW39"/>
    <mergeCell ref="PHX38:PHX39"/>
    <mergeCell ref="PHY38:PHY39"/>
    <mergeCell ref="PHZ38:PHZ39"/>
    <mergeCell ref="PIA38:PIC38"/>
    <mergeCell ref="PID38:PID39"/>
    <mergeCell ref="PIE38:PIE39"/>
    <mergeCell ref="PIF38:PIF39"/>
    <mergeCell ref="PIA39:PIC39"/>
    <mergeCell ref="PHI38:PHI39"/>
    <mergeCell ref="PHJ38:PHJ39"/>
    <mergeCell ref="PHK38:PHM38"/>
    <mergeCell ref="PHN38:PHN39"/>
    <mergeCell ref="PHO38:PHO39"/>
    <mergeCell ref="PHP38:PHP39"/>
    <mergeCell ref="PHQ38:PHQ39"/>
    <mergeCell ref="PHR38:PHR39"/>
    <mergeCell ref="PHS38:PHU38"/>
    <mergeCell ref="PHK39:PHM39"/>
    <mergeCell ref="PHS39:PHU39"/>
    <mergeCell ref="PGX38:PGX39"/>
    <mergeCell ref="PGY38:PGY39"/>
    <mergeCell ref="PGZ38:PGZ39"/>
    <mergeCell ref="PHA38:PHA39"/>
    <mergeCell ref="PHB38:PHB39"/>
    <mergeCell ref="PHC38:PHE38"/>
    <mergeCell ref="PHF38:PHF39"/>
    <mergeCell ref="PHG38:PHG39"/>
    <mergeCell ref="PHH38:PHH39"/>
    <mergeCell ref="PHC39:PHE39"/>
    <mergeCell ref="PGK38:PGK39"/>
    <mergeCell ref="PGL38:PGL39"/>
    <mergeCell ref="PGM38:PGO38"/>
    <mergeCell ref="PGP38:PGP39"/>
    <mergeCell ref="PGQ38:PGQ39"/>
    <mergeCell ref="PGR38:PGR39"/>
    <mergeCell ref="PGS38:PGS39"/>
    <mergeCell ref="PGT38:PGT39"/>
    <mergeCell ref="PGU38:PGW38"/>
    <mergeCell ref="PGM39:PGO39"/>
    <mergeCell ref="PGU39:PGW39"/>
    <mergeCell ref="PFZ38:PFZ39"/>
    <mergeCell ref="PGA38:PGA39"/>
    <mergeCell ref="PGB38:PGB39"/>
    <mergeCell ref="PGC38:PGC39"/>
    <mergeCell ref="PGD38:PGD39"/>
    <mergeCell ref="PGE38:PGG38"/>
    <mergeCell ref="PGH38:PGH39"/>
    <mergeCell ref="PGI38:PGI39"/>
    <mergeCell ref="PGJ38:PGJ39"/>
    <mergeCell ref="PGE39:PGG39"/>
    <mergeCell ref="PFM38:PFM39"/>
    <mergeCell ref="PFN38:PFN39"/>
    <mergeCell ref="PFO38:PFQ38"/>
    <mergeCell ref="PFR38:PFR39"/>
    <mergeCell ref="PFS38:PFS39"/>
    <mergeCell ref="PFT38:PFT39"/>
    <mergeCell ref="PFU38:PFU39"/>
    <mergeCell ref="PFV38:PFV39"/>
    <mergeCell ref="PFW38:PFY38"/>
    <mergeCell ref="PFO39:PFQ39"/>
    <mergeCell ref="PFW39:PFY39"/>
    <mergeCell ref="PFB38:PFB39"/>
    <mergeCell ref="PFC38:PFC39"/>
    <mergeCell ref="PFD38:PFD39"/>
    <mergeCell ref="PFE38:PFE39"/>
    <mergeCell ref="PFF38:PFF39"/>
    <mergeCell ref="PFG38:PFI38"/>
    <mergeCell ref="PFJ38:PFJ39"/>
    <mergeCell ref="PFK38:PFK39"/>
    <mergeCell ref="PFL38:PFL39"/>
    <mergeCell ref="PFG39:PFI39"/>
    <mergeCell ref="PEO38:PEO39"/>
    <mergeCell ref="PEP38:PEP39"/>
    <mergeCell ref="PEQ38:PES38"/>
    <mergeCell ref="PET38:PET39"/>
    <mergeCell ref="PEU38:PEU39"/>
    <mergeCell ref="PEV38:PEV39"/>
    <mergeCell ref="PEW38:PEW39"/>
    <mergeCell ref="PEX38:PEX39"/>
    <mergeCell ref="PEY38:PFA38"/>
    <mergeCell ref="PEQ39:PES39"/>
    <mergeCell ref="PEY39:PFA39"/>
    <mergeCell ref="PED38:PED39"/>
    <mergeCell ref="PEE38:PEE39"/>
    <mergeCell ref="PEF38:PEF39"/>
    <mergeCell ref="PEG38:PEG39"/>
    <mergeCell ref="PEH38:PEH39"/>
    <mergeCell ref="PEI38:PEK38"/>
    <mergeCell ref="PEL38:PEL39"/>
    <mergeCell ref="PEM38:PEM39"/>
    <mergeCell ref="PEN38:PEN39"/>
    <mergeCell ref="PEI39:PEK39"/>
    <mergeCell ref="PDQ38:PDQ39"/>
    <mergeCell ref="PDR38:PDR39"/>
    <mergeCell ref="PDS38:PDU38"/>
    <mergeCell ref="PDV38:PDV39"/>
    <mergeCell ref="PDW38:PDW39"/>
    <mergeCell ref="PDX38:PDX39"/>
    <mergeCell ref="PDY38:PDY39"/>
    <mergeCell ref="PDZ38:PDZ39"/>
    <mergeCell ref="PEA38:PEC38"/>
    <mergeCell ref="PDS39:PDU39"/>
    <mergeCell ref="PEA39:PEC39"/>
    <mergeCell ref="PDF38:PDF39"/>
    <mergeCell ref="PDG38:PDG39"/>
    <mergeCell ref="PDH38:PDH39"/>
    <mergeCell ref="PDI38:PDI39"/>
    <mergeCell ref="PDJ38:PDJ39"/>
    <mergeCell ref="PDK38:PDM38"/>
    <mergeCell ref="PDN38:PDN39"/>
    <mergeCell ref="PDO38:PDO39"/>
    <mergeCell ref="PDP38:PDP39"/>
    <mergeCell ref="PDK39:PDM39"/>
    <mergeCell ref="PCS38:PCS39"/>
    <mergeCell ref="PCT38:PCT39"/>
    <mergeCell ref="PCU38:PCW38"/>
    <mergeCell ref="PCX38:PCX39"/>
    <mergeCell ref="PCY38:PCY39"/>
    <mergeCell ref="PCZ38:PCZ39"/>
    <mergeCell ref="PDA38:PDA39"/>
    <mergeCell ref="PDB38:PDB39"/>
    <mergeCell ref="PDC38:PDE38"/>
    <mergeCell ref="PCU39:PCW39"/>
    <mergeCell ref="PDC39:PDE39"/>
    <mergeCell ref="PCH38:PCH39"/>
    <mergeCell ref="PCI38:PCI39"/>
    <mergeCell ref="PCJ38:PCJ39"/>
    <mergeCell ref="PCK38:PCK39"/>
    <mergeCell ref="PCL38:PCL39"/>
    <mergeCell ref="PCM38:PCO38"/>
    <mergeCell ref="PCP38:PCP39"/>
    <mergeCell ref="PCQ38:PCQ39"/>
    <mergeCell ref="PCR38:PCR39"/>
    <mergeCell ref="PCM39:PCO39"/>
    <mergeCell ref="PBU38:PBU39"/>
    <mergeCell ref="PBV38:PBV39"/>
    <mergeCell ref="PBW38:PBY38"/>
    <mergeCell ref="PBZ38:PBZ39"/>
    <mergeCell ref="PCA38:PCA39"/>
    <mergeCell ref="PCB38:PCB39"/>
    <mergeCell ref="PCC38:PCC39"/>
    <mergeCell ref="PCD38:PCD39"/>
    <mergeCell ref="PCE38:PCG38"/>
    <mergeCell ref="PBW39:PBY39"/>
    <mergeCell ref="PCE39:PCG39"/>
    <mergeCell ref="PBJ38:PBJ39"/>
    <mergeCell ref="PBK38:PBK39"/>
    <mergeCell ref="PBL38:PBL39"/>
    <mergeCell ref="PBM38:PBM39"/>
    <mergeCell ref="PBN38:PBN39"/>
    <mergeCell ref="PBO38:PBQ38"/>
    <mergeCell ref="PBR38:PBR39"/>
    <mergeCell ref="PBS38:PBS39"/>
    <mergeCell ref="PBT38:PBT39"/>
    <mergeCell ref="PBO39:PBQ39"/>
    <mergeCell ref="PAW38:PAW39"/>
    <mergeCell ref="PAX38:PAX39"/>
    <mergeCell ref="PAY38:PBA38"/>
    <mergeCell ref="PBB38:PBB39"/>
    <mergeCell ref="PBC38:PBC39"/>
    <mergeCell ref="PBD38:PBD39"/>
    <mergeCell ref="PBE38:PBE39"/>
    <mergeCell ref="PBF38:PBF39"/>
    <mergeCell ref="PBG38:PBI38"/>
    <mergeCell ref="PAY39:PBA39"/>
    <mergeCell ref="PBG39:PBI39"/>
    <mergeCell ref="PAL38:PAL39"/>
    <mergeCell ref="PAM38:PAM39"/>
    <mergeCell ref="PAN38:PAN39"/>
    <mergeCell ref="PAO38:PAO39"/>
    <mergeCell ref="PAP38:PAP39"/>
    <mergeCell ref="PAQ38:PAS38"/>
    <mergeCell ref="PAT38:PAT39"/>
    <mergeCell ref="PAU38:PAU39"/>
    <mergeCell ref="PAV38:PAV39"/>
    <mergeCell ref="PAQ39:PAS39"/>
    <mergeCell ref="OZY38:OZY39"/>
    <mergeCell ref="OZZ38:OZZ39"/>
    <mergeCell ref="PAA38:PAC38"/>
    <mergeCell ref="PAD38:PAD39"/>
    <mergeCell ref="PAE38:PAE39"/>
    <mergeCell ref="PAF38:PAF39"/>
    <mergeCell ref="PAG38:PAG39"/>
    <mergeCell ref="PAH38:PAH39"/>
    <mergeCell ref="PAI38:PAK38"/>
    <mergeCell ref="PAA39:PAC39"/>
    <mergeCell ref="PAI39:PAK39"/>
    <mergeCell ref="OZN38:OZN39"/>
    <mergeCell ref="OZO38:OZO39"/>
    <mergeCell ref="OZP38:OZP39"/>
    <mergeCell ref="OZQ38:OZQ39"/>
    <mergeCell ref="OZR38:OZR39"/>
    <mergeCell ref="OZS38:OZU38"/>
    <mergeCell ref="OZV38:OZV39"/>
    <mergeCell ref="OZW38:OZW39"/>
    <mergeCell ref="OZX38:OZX39"/>
    <mergeCell ref="OZS39:OZU39"/>
    <mergeCell ref="OZA38:OZA39"/>
    <mergeCell ref="OZB38:OZB39"/>
    <mergeCell ref="OZC38:OZE38"/>
    <mergeCell ref="OZF38:OZF39"/>
    <mergeCell ref="OZG38:OZG39"/>
    <mergeCell ref="OZH38:OZH39"/>
    <mergeCell ref="OZI38:OZI39"/>
    <mergeCell ref="OZJ38:OZJ39"/>
    <mergeCell ref="OZK38:OZM38"/>
    <mergeCell ref="OZC39:OZE39"/>
    <mergeCell ref="OZK39:OZM39"/>
    <mergeCell ref="OYP38:OYP39"/>
    <mergeCell ref="OYQ38:OYQ39"/>
    <mergeCell ref="OYR38:OYR39"/>
    <mergeCell ref="OYS38:OYS39"/>
    <mergeCell ref="OYT38:OYT39"/>
    <mergeCell ref="OYU38:OYW38"/>
    <mergeCell ref="OYX38:OYX39"/>
    <mergeCell ref="OYY38:OYY39"/>
    <mergeCell ref="OYZ38:OYZ39"/>
    <mergeCell ref="OYU39:OYW39"/>
    <mergeCell ref="OYC38:OYC39"/>
    <mergeCell ref="OYD38:OYD39"/>
    <mergeCell ref="OYE38:OYG38"/>
    <mergeCell ref="OYH38:OYH39"/>
    <mergeCell ref="OYI38:OYI39"/>
    <mergeCell ref="OYJ38:OYJ39"/>
    <mergeCell ref="OYK38:OYK39"/>
    <mergeCell ref="OYL38:OYL39"/>
    <mergeCell ref="OYM38:OYO38"/>
    <mergeCell ref="OYE39:OYG39"/>
    <mergeCell ref="OYM39:OYO39"/>
    <mergeCell ref="OXR38:OXR39"/>
    <mergeCell ref="OXS38:OXS39"/>
    <mergeCell ref="OXT38:OXT39"/>
    <mergeCell ref="OXU38:OXU39"/>
    <mergeCell ref="OXV38:OXV39"/>
    <mergeCell ref="OXW38:OXY38"/>
    <mergeCell ref="OXZ38:OXZ39"/>
    <mergeCell ref="OYA38:OYA39"/>
    <mergeCell ref="OYB38:OYB39"/>
    <mergeCell ref="OXW39:OXY39"/>
    <mergeCell ref="OXE38:OXE39"/>
    <mergeCell ref="OXF38:OXF39"/>
    <mergeCell ref="OXG38:OXI38"/>
    <mergeCell ref="OXJ38:OXJ39"/>
    <mergeCell ref="OXK38:OXK39"/>
    <mergeCell ref="OXL38:OXL39"/>
    <mergeCell ref="OXM38:OXM39"/>
    <mergeCell ref="OXN38:OXN39"/>
    <mergeCell ref="OXO38:OXQ38"/>
    <mergeCell ref="OXG39:OXI39"/>
    <mergeCell ref="OXO39:OXQ39"/>
    <mergeCell ref="OWT38:OWT39"/>
    <mergeCell ref="OWU38:OWU39"/>
    <mergeCell ref="OWV38:OWV39"/>
    <mergeCell ref="OWW38:OWW39"/>
    <mergeCell ref="OWX38:OWX39"/>
    <mergeCell ref="OWY38:OXA38"/>
    <mergeCell ref="OXB38:OXB39"/>
    <mergeCell ref="OXC38:OXC39"/>
    <mergeCell ref="OXD38:OXD39"/>
    <mergeCell ref="OWY39:OXA39"/>
    <mergeCell ref="OWG38:OWG39"/>
    <mergeCell ref="OWH38:OWH39"/>
    <mergeCell ref="OWI38:OWK38"/>
    <mergeCell ref="OWL38:OWL39"/>
    <mergeCell ref="OWM38:OWM39"/>
    <mergeCell ref="OWN38:OWN39"/>
    <mergeCell ref="OWO38:OWO39"/>
    <mergeCell ref="OWP38:OWP39"/>
    <mergeCell ref="OWQ38:OWS38"/>
    <mergeCell ref="OWI39:OWK39"/>
    <mergeCell ref="OWQ39:OWS39"/>
    <mergeCell ref="OVV38:OVV39"/>
    <mergeCell ref="OVW38:OVW39"/>
    <mergeCell ref="OVX38:OVX39"/>
    <mergeCell ref="OVY38:OVY39"/>
    <mergeCell ref="OVZ38:OVZ39"/>
    <mergeCell ref="OWA38:OWC38"/>
    <mergeCell ref="OWD38:OWD39"/>
    <mergeCell ref="OWE38:OWE39"/>
    <mergeCell ref="OWF38:OWF39"/>
    <mergeCell ref="OWA39:OWC39"/>
    <mergeCell ref="OVI38:OVI39"/>
    <mergeCell ref="OVJ38:OVJ39"/>
    <mergeCell ref="OVK38:OVM38"/>
    <mergeCell ref="OVN38:OVN39"/>
    <mergeCell ref="OVO38:OVO39"/>
    <mergeCell ref="OVP38:OVP39"/>
    <mergeCell ref="OVQ38:OVQ39"/>
    <mergeCell ref="OVR38:OVR39"/>
    <mergeCell ref="OVS38:OVU38"/>
    <mergeCell ref="OVK39:OVM39"/>
    <mergeCell ref="OVS39:OVU39"/>
    <mergeCell ref="OUX38:OUX39"/>
    <mergeCell ref="OUY38:OUY39"/>
    <mergeCell ref="OUZ38:OUZ39"/>
    <mergeCell ref="OVA38:OVA39"/>
    <mergeCell ref="OVB38:OVB39"/>
    <mergeCell ref="OVC38:OVE38"/>
    <mergeCell ref="OVF38:OVF39"/>
    <mergeCell ref="OVG38:OVG39"/>
    <mergeCell ref="OVH38:OVH39"/>
    <mergeCell ref="OVC39:OVE39"/>
    <mergeCell ref="OUK38:OUK39"/>
    <mergeCell ref="OUL38:OUL39"/>
    <mergeCell ref="OUM38:OUO38"/>
    <mergeCell ref="OUP38:OUP39"/>
    <mergeCell ref="OUQ38:OUQ39"/>
    <mergeCell ref="OUR38:OUR39"/>
    <mergeCell ref="OUS38:OUS39"/>
    <mergeCell ref="OUT38:OUT39"/>
    <mergeCell ref="OUU38:OUW38"/>
    <mergeCell ref="OUM39:OUO39"/>
    <mergeCell ref="OUU39:OUW39"/>
    <mergeCell ref="OTZ38:OTZ39"/>
    <mergeCell ref="OUA38:OUA39"/>
    <mergeCell ref="OUB38:OUB39"/>
    <mergeCell ref="OUC38:OUC39"/>
    <mergeCell ref="OUD38:OUD39"/>
    <mergeCell ref="OUE38:OUG38"/>
    <mergeCell ref="OUH38:OUH39"/>
    <mergeCell ref="OUI38:OUI39"/>
    <mergeCell ref="OUJ38:OUJ39"/>
    <mergeCell ref="OUE39:OUG39"/>
    <mergeCell ref="OTM38:OTM39"/>
    <mergeCell ref="OTN38:OTN39"/>
    <mergeCell ref="OTO38:OTQ38"/>
    <mergeCell ref="OTR38:OTR39"/>
    <mergeCell ref="OTS38:OTS39"/>
    <mergeCell ref="OTT38:OTT39"/>
    <mergeCell ref="OTU38:OTU39"/>
    <mergeCell ref="OTV38:OTV39"/>
    <mergeCell ref="OTW38:OTY38"/>
    <mergeCell ref="OTO39:OTQ39"/>
    <mergeCell ref="OTW39:OTY39"/>
    <mergeCell ref="OTB38:OTB39"/>
    <mergeCell ref="OTC38:OTC39"/>
    <mergeCell ref="OTD38:OTD39"/>
    <mergeCell ref="OTE38:OTE39"/>
    <mergeCell ref="OTF38:OTF39"/>
    <mergeCell ref="OTG38:OTI38"/>
    <mergeCell ref="OTJ38:OTJ39"/>
    <mergeCell ref="OTK38:OTK39"/>
    <mergeCell ref="OTL38:OTL39"/>
    <mergeCell ref="OTG39:OTI39"/>
    <mergeCell ref="OSO38:OSO39"/>
    <mergeCell ref="OSP38:OSP39"/>
    <mergeCell ref="OSQ38:OSS38"/>
    <mergeCell ref="OST38:OST39"/>
    <mergeCell ref="OSU38:OSU39"/>
    <mergeCell ref="OSV38:OSV39"/>
    <mergeCell ref="OSW38:OSW39"/>
    <mergeCell ref="OSX38:OSX39"/>
    <mergeCell ref="OSY38:OTA38"/>
    <mergeCell ref="OSQ39:OSS39"/>
    <mergeCell ref="OSY39:OTA39"/>
    <mergeCell ref="OSD38:OSD39"/>
    <mergeCell ref="OSE38:OSE39"/>
    <mergeCell ref="OSF38:OSF39"/>
    <mergeCell ref="OSG38:OSG39"/>
    <mergeCell ref="OSH38:OSH39"/>
    <mergeCell ref="OSI38:OSK38"/>
    <mergeCell ref="OSL38:OSL39"/>
    <mergeCell ref="OSM38:OSM39"/>
    <mergeCell ref="OSN38:OSN39"/>
    <mergeCell ref="OSI39:OSK39"/>
    <mergeCell ref="ORQ38:ORQ39"/>
    <mergeCell ref="ORR38:ORR39"/>
    <mergeCell ref="ORS38:ORU38"/>
    <mergeCell ref="ORV38:ORV39"/>
    <mergeCell ref="ORW38:ORW39"/>
    <mergeCell ref="ORX38:ORX39"/>
    <mergeCell ref="ORY38:ORY39"/>
    <mergeCell ref="ORZ38:ORZ39"/>
    <mergeCell ref="OSA38:OSC38"/>
    <mergeCell ref="ORS39:ORU39"/>
    <mergeCell ref="OSA39:OSC39"/>
    <mergeCell ref="ORF38:ORF39"/>
    <mergeCell ref="ORG38:ORG39"/>
    <mergeCell ref="ORH38:ORH39"/>
    <mergeCell ref="ORI38:ORI39"/>
    <mergeCell ref="ORJ38:ORJ39"/>
    <mergeCell ref="ORK38:ORM38"/>
    <mergeCell ref="ORN38:ORN39"/>
    <mergeCell ref="ORO38:ORO39"/>
    <mergeCell ref="ORP38:ORP39"/>
    <mergeCell ref="ORK39:ORM39"/>
    <mergeCell ref="OQS38:OQS39"/>
    <mergeCell ref="OQT38:OQT39"/>
    <mergeCell ref="OQU38:OQW38"/>
    <mergeCell ref="OQX38:OQX39"/>
    <mergeCell ref="OQY38:OQY39"/>
    <mergeCell ref="OQZ38:OQZ39"/>
    <mergeCell ref="ORA38:ORA39"/>
    <mergeCell ref="ORB38:ORB39"/>
    <mergeCell ref="ORC38:ORE38"/>
    <mergeCell ref="OQU39:OQW39"/>
    <mergeCell ref="ORC39:ORE39"/>
    <mergeCell ref="OQH38:OQH39"/>
    <mergeCell ref="OQI38:OQI39"/>
    <mergeCell ref="OQJ38:OQJ39"/>
    <mergeCell ref="OQK38:OQK39"/>
    <mergeCell ref="OQL38:OQL39"/>
    <mergeCell ref="OQM38:OQO38"/>
    <mergeCell ref="OQP38:OQP39"/>
    <mergeCell ref="OQQ38:OQQ39"/>
    <mergeCell ref="OQR38:OQR39"/>
    <mergeCell ref="OQM39:OQO39"/>
    <mergeCell ref="OPU38:OPU39"/>
    <mergeCell ref="OPV38:OPV39"/>
    <mergeCell ref="OPW38:OPY38"/>
    <mergeCell ref="OPZ38:OPZ39"/>
    <mergeCell ref="OQA38:OQA39"/>
    <mergeCell ref="OQB38:OQB39"/>
    <mergeCell ref="OQC38:OQC39"/>
    <mergeCell ref="OQD38:OQD39"/>
    <mergeCell ref="OQE38:OQG38"/>
    <mergeCell ref="OPW39:OPY39"/>
    <mergeCell ref="OQE39:OQG39"/>
    <mergeCell ref="OPJ38:OPJ39"/>
    <mergeCell ref="OPK38:OPK39"/>
    <mergeCell ref="OPL38:OPL39"/>
    <mergeCell ref="OPM38:OPM39"/>
    <mergeCell ref="OPN38:OPN39"/>
    <mergeCell ref="OPO38:OPQ38"/>
    <mergeCell ref="OPR38:OPR39"/>
    <mergeCell ref="OPS38:OPS39"/>
    <mergeCell ref="OPT38:OPT39"/>
    <mergeCell ref="OPO39:OPQ39"/>
    <mergeCell ref="OOW38:OOW39"/>
    <mergeCell ref="OOX38:OOX39"/>
    <mergeCell ref="OOY38:OPA38"/>
    <mergeCell ref="OPB38:OPB39"/>
    <mergeCell ref="OPC38:OPC39"/>
    <mergeCell ref="OPD38:OPD39"/>
    <mergeCell ref="OPE38:OPE39"/>
    <mergeCell ref="OPF38:OPF39"/>
    <mergeCell ref="OPG38:OPI38"/>
    <mergeCell ref="OOY39:OPA39"/>
    <mergeCell ref="OPG39:OPI39"/>
    <mergeCell ref="OOL38:OOL39"/>
    <mergeCell ref="OOM38:OOM39"/>
    <mergeCell ref="OON38:OON39"/>
    <mergeCell ref="OOO38:OOO39"/>
    <mergeCell ref="OOP38:OOP39"/>
    <mergeCell ref="OOQ38:OOS38"/>
    <mergeCell ref="OOT38:OOT39"/>
    <mergeCell ref="OOU38:OOU39"/>
    <mergeCell ref="OOV38:OOV39"/>
    <mergeCell ref="OOQ39:OOS39"/>
    <mergeCell ref="ONY38:ONY39"/>
    <mergeCell ref="ONZ38:ONZ39"/>
    <mergeCell ref="OOA38:OOC38"/>
    <mergeCell ref="OOD38:OOD39"/>
    <mergeCell ref="OOE38:OOE39"/>
    <mergeCell ref="OOF38:OOF39"/>
    <mergeCell ref="OOG38:OOG39"/>
    <mergeCell ref="OOH38:OOH39"/>
    <mergeCell ref="OOI38:OOK38"/>
    <mergeCell ref="OOA39:OOC39"/>
    <mergeCell ref="OOI39:OOK39"/>
    <mergeCell ref="ONN38:ONN39"/>
    <mergeCell ref="ONO38:ONO39"/>
    <mergeCell ref="ONP38:ONP39"/>
    <mergeCell ref="ONQ38:ONQ39"/>
    <mergeCell ref="ONR38:ONR39"/>
    <mergeCell ref="ONS38:ONU38"/>
    <mergeCell ref="ONV38:ONV39"/>
    <mergeCell ref="ONW38:ONW39"/>
    <mergeCell ref="ONX38:ONX39"/>
    <mergeCell ref="ONS39:ONU39"/>
    <mergeCell ref="ONA38:ONA39"/>
    <mergeCell ref="ONB38:ONB39"/>
    <mergeCell ref="ONC38:ONE38"/>
    <mergeCell ref="ONF38:ONF39"/>
    <mergeCell ref="ONG38:ONG39"/>
    <mergeCell ref="ONH38:ONH39"/>
    <mergeCell ref="ONI38:ONI39"/>
    <mergeCell ref="ONJ38:ONJ39"/>
    <mergeCell ref="ONK38:ONM38"/>
    <mergeCell ref="ONC39:ONE39"/>
    <mergeCell ref="ONK39:ONM39"/>
    <mergeCell ref="OMP38:OMP39"/>
    <mergeCell ref="OMQ38:OMQ39"/>
    <mergeCell ref="OMR38:OMR39"/>
    <mergeCell ref="OMS38:OMS39"/>
    <mergeCell ref="OMT38:OMT39"/>
    <mergeCell ref="OMU38:OMW38"/>
    <mergeCell ref="OMX38:OMX39"/>
    <mergeCell ref="OMY38:OMY39"/>
    <mergeCell ref="OMZ38:OMZ39"/>
    <mergeCell ref="OMU39:OMW39"/>
    <mergeCell ref="OMC38:OMC39"/>
    <mergeCell ref="OMD38:OMD39"/>
    <mergeCell ref="OME38:OMG38"/>
    <mergeCell ref="OMH38:OMH39"/>
    <mergeCell ref="OMI38:OMI39"/>
    <mergeCell ref="OMJ38:OMJ39"/>
    <mergeCell ref="OMK38:OMK39"/>
    <mergeCell ref="OML38:OML39"/>
    <mergeCell ref="OMM38:OMO38"/>
    <mergeCell ref="OME39:OMG39"/>
    <mergeCell ref="OMM39:OMO39"/>
    <mergeCell ref="OLR38:OLR39"/>
    <mergeCell ref="OLS38:OLS39"/>
    <mergeCell ref="OLT38:OLT39"/>
    <mergeCell ref="OLU38:OLU39"/>
    <mergeCell ref="OLV38:OLV39"/>
    <mergeCell ref="OLW38:OLY38"/>
    <mergeCell ref="OLZ38:OLZ39"/>
    <mergeCell ref="OMA38:OMA39"/>
    <mergeCell ref="OMB38:OMB39"/>
    <mergeCell ref="OLW39:OLY39"/>
    <mergeCell ref="OLE38:OLE39"/>
    <mergeCell ref="OLF38:OLF39"/>
    <mergeCell ref="OLG38:OLI38"/>
    <mergeCell ref="OLJ38:OLJ39"/>
    <mergeCell ref="OLK38:OLK39"/>
    <mergeCell ref="OLL38:OLL39"/>
    <mergeCell ref="OLM38:OLM39"/>
    <mergeCell ref="OLN38:OLN39"/>
    <mergeCell ref="OLO38:OLQ38"/>
    <mergeCell ref="OLG39:OLI39"/>
    <mergeCell ref="OLO39:OLQ39"/>
    <mergeCell ref="OKT38:OKT39"/>
    <mergeCell ref="OKU38:OKU39"/>
    <mergeCell ref="OKV38:OKV39"/>
    <mergeCell ref="OKW38:OKW39"/>
    <mergeCell ref="OKX38:OKX39"/>
    <mergeCell ref="OKY38:OLA38"/>
    <mergeCell ref="OLB38:OLB39"/>
    <mergeCell ref="OLC38:OLC39"/>
    <mergeCell ref="OLD38:OLD39"/>
    <mergeCell ref="OKY39:OLA39"/>
    <mergeCell ref="OKG38:OKG39"/>
    <mergeCell ref="OKH38:OKH39"/>
    <mergeCell ref="OKI38:OKK38"/>
    <mergeCell ref="OKL38:OKL39"/>
    <mergeCell ref="OKM38:OKM39"/>
    <mergeCell ref="OKN38:OKN39"/>
    <mergeCell ref="OKO38:OKO39"/>
    <mergeCell ref="OKP38:OKP39"/>
    <mergeCell ref="OKQ38:OKS38"/>
    <mergeCell ref="OKI39:OKK39"/>
    <mergeCell ref="OKQ39:OKS39"/>
    <mergeCell ref="OJV38:OJV39"/>
    <mergeCell ref="OJW38:OJW39"/>
    <mergeCell ref="OJX38:OJX39"/>
    <mergeCell ref="OJY38:OJY39"/>
    <mergeCell ref="OJZ38:OJZ39"/>
    <mergeCell ref="OKA38:OKC38"/>
    <mergeCell ref="OKD38:OKD39"/>
    <mergeCell ref="OKE38:OKE39"/>
    <mergeCell ref="OKF38:OKF39"/>
    <mergeCell ref="OKA39:OKC39"/>
    <mergeCell ref="OJI38:OJI39"/>
    <mergeCell ref="OJJ38:OJJ39"/>
    <mergeCell ref="OJK38:OJM38"/>
    <mergeCell ref="OJN38:OJN39"/>
    <mergeCell ref="OJO38:OJO39"/>
    <mergeCell ref="OJP38:OJP39"/>
    <mergeCell ref="OJQ38:OJQ39"/>
    <mergeCell ref="OJR38:OJR39"/>
    <mergeCell ref="OJS38:OJU38"/>
    <mergeCell ref="OJK39:OJM39"/>
    <mergeCell ref="OJS39:OJU39"/>
    <mergeCell ref="OIX38:OIX39"/>
    <mergeCell ref="OIY38:OIY39"/>
    <mergeCell ref="OIZ38:OIZ39"/>
    <mergeCell ref="OJA38:OJA39"/>
    <mergeCell ref="OJB38:OJB39"/>
    <mergeCell ref="OJC38:OJE38"/>
    <mergeCell ref="OJF38:OJF39"/>
    <mergeCell ref="OJG38:OJG39"/>
    <mergeCell ref="OJH38:OJH39"/>
    <mergeCell ref="OJC39:OJE39"/>
    <mergeCell ref="OIK38:OIK39"/>
    <mergeCell ref="OIL38:OIL39"/>
    <mergeCell ref="OIM38:OIO38"/>
    <mergeCell ref="OIP38:OIP39"/>
    <mergeCell ref="OIQ38:OIQ39"/>
    <mergeCell ref="OIR38:OIR39"/>
    <mergeCell ref="OIS38:OIS39"/>
    <mergeCell ref="OIT38:OIT39"/>
    <mergeCell ref="OIU38:OIW38"/>
    <mergeCell ref="OIM39:OIO39"/>
    <mergeCell ref="OIU39:OIW39"/>
    <mergeCell ref="OHZ38:OHZ39"/>
    <mergeCell ref="OIA38:OIA39"/>
    <mergeCell ref="OIB38:OIB39"/>
    <mergeCell ref="OIC38:OIC39"/>
    <mergeCell ref="OID38:OID39"/>
    <mergeCell ref="OIE38:OIG38"/>
    <mergeCell ref="OIH38:OIH39"/>
    <mergeCell ref="OII38:OII39"/>
    <mergeCell ref="OIJ38:OIJ39"/>
    <mergeCell ref="OIE39:OIG39"/>
    <mergeCell ref="OHM38:OHM39"/>
    <mergeCell ref="OHN38:OHN39"/>
    <mergeCell ref="OHO38:OHQ38"/>
    <mergeCell ref="OHR38:OHR39"/>
    <mergeCell ref="OHS38:OHS39"/>
    <mergeCell ref="OHT38:OHT39"/>
    <mergeCell ref="OHU38:OHU39"/>
    <mergeCell ref="OHV38:OHV39"/>
    <mergeCell ref="OHW38:OHY38"/>
    <mergeCell ref="OHO39:OHQ39"/>
    <mergeCell ref="OHW39:OHY39"/>
    <mergeCell ref="OHB38:OHB39"/>
    <mergeCell ref="OHC38:OHC39"/>
    <mergeCell ref="OHD38:OHD39"/>
    <mergeCell ref="OHE38:OHE39"/>
    <mergeCell ref="OHF38:OHF39"/>
    <mergeCell ref="OHG38:OHI38"/>
    <mergeCell ref="OHJ38:OHJ39"/>
    <mergeCell ref="OHK38:OHK39"/>
    <mergeCell ref="OHL38:OHL39"/>
    <mergeCell ref="OHG39:OHI39"/>
    <mergeCell ref="OGO38:OGO39"/>
    <mergeCell ref="OGP38:OGP39"/>
    <mergeCell ref="OGQ38:OGS38"/>
    <mergeCell ref="OGT38:OGT39"/>
    <mergeCell ref="OGU38:OGU39"/>
    <mergeCell ref="OGV38:OGV39"/>
    <mergeCell ref="OGW38:OGW39"/>
    <mergeCell ref="OGX38:OGX39"/>
    <mergeCell ref="OGY38:OHA38"/>
    <mergeCell ref="OGQ39:OGS39"/>
    <mergeCell ref="OGY39:OHA39"/>
    <mergeCell ref="OGD38:OGD39"/>
    <mergeCell ref="OGE38:OGE39"/>
    <mergeCell ref="OGF38:OGF39"/>
    <mergeCell ref="OGG38:OGG39"/>
    <mergeCell ref="OGH38:OGH39"/>
    <mergeCell ref="OGI38:OGK38"/>
    <mergeCell ref="OGL38:OGL39"/>
    <mergeCell ref="OGM38:OGM39"/>
    <mergeCell ref="OGN38:OGN39"/>
    <mergeCell ref="OGI39:OGK39"/>
    <mergeCell ref="OFQ38:OFQ39"/>
    <mergeCell ref="OFR38:OFR39"/>
    <mergeCell ref="OFS38:OFU38"/>
    <mergeCell ref="OFV38:OFV39"/>
    <mergeCell ref="OFW38:OFW39"/>
    <mergeCell ref="OFX38:OFX39"/>
    <mergeCell ref="OFY38:OFY39"/>
    <mergeCell ref="OFZ38:OFZ39"/>
    <mergeCell ref="OGA38:OGC38"/>
    <mergeCell ref="OFS39:OFU39"/>
    <mergeCell ref="OGA39:OGC39"/>
    <mergeCell ref="OFF38:OFF39"/>
    <mergeCell ref="OFG38:OFG39"/>
    <mergeCell ref="OFH38:OFH39"/>
    <mergeCell ref="OFI38:OFI39"/>
    <mergeCell ref="OFJ38:OFJ39"/>
    <mergeCell ref="OFK38:OFM38"/>
    <mergeCell ref="OFN38:OFN39"/>
    <mergeCell ref="OFO38:OFO39"/>
    <mergeCell ref="OFP38:OFP39"/>
    <mergeCell ref="OFK39:OFM39"/>
    <mergeCell ref="OES38:OES39"/>
    <mergeCell ref="OET38:OET39"/>
    <mergeCell ref="OEU38:OEW38"/>
    <mergeCell ref="OEX38:OEX39"/>
    <mergeCell ref="OEY38:OEY39"/>
    <mergeCell ref="OEZ38:OEZ39"/>
    <mergeCell ref="OFA38:OFA39"/>
    <mergeCell ref="OFB38:OFB39"/>
    <mergeCell ref="OFC38:OFE38"/>
    <mergeCell ref="OEU39:OEW39"/>
    <mergeCell ref="OFC39:OFE39"/>
    <mergeCell ref="OEH38:OEH39"/>
    <mergeCell ref="OEI38:OEI39"/>
    <mergeCell ref="OEJ38:OEJ39"/>
    <mergeCell ref="OEK38:OEK39"/>
    <mergeCell ref="OEL38:OEL39"/>
    <mergeCell ref="OEM38:OEO38"/>
    <mergeCell ref="OEP38:OEP39"/>
    <mergeCell ref="OEQ38:OEQ39"/>
    <mergeCell ref="OER38:OER39"/>
    <mergeCell ref="OEM39:OEO39"/>
    <mergeCell ref="ODU38:ODU39"/>
    <mergeCell ref="ODV38:ODV39"/>
    <mergeCell ref="ODW38:ODY38"/>
    <mergeCell ref="ODZ38:ODZ39"/>
    <mergeCell ref="OEA38:OEA39"/>
    <mergeCell ref="OEB38:OEB39"/>
    <mergeCell ref="OEC38:OEC39"/>
    <mergeCell ref="OED38:OED39"/>
    <mergeCell ref="OEE38:OEG38"/>
    <mergeCell ref="ODW39:ODY39"/>
    <mergeCell ref="OEE39:OEG39"/>
    <mergeCell ref="ODJ38:ODJ39"/>
    <mergeCell ref="ODK38:ODK39"/>
    <mergeCell ref="ODL38:ODL39"/>
    <mergeCell ref="ODM38:ODM39"/>
    <mergeCell ref="ODN38:ODN39"/>
    <mergeCell ref="ODO38:ODQ38"/>
    <mergeCell ref="ODR38:ODR39"/>
    <mergeCell ref="ODS38:ODS39"/>
    <mergeCell ref="ODT38:ODT39"/>
    <mergeCell ref="ODO39:ODQ39"/>
    <mergeCell ref="OCW38:OCW39"/>
    <mergeCell ref="OCX38:OCX39"/>
    <mergeCell ref="OCY38:ODA38"/>
    <mergeCell ref="ODB38:ODB39"/>
    <mergeCell ref="ODC38:ODC39"/>
    <mergeCell ref="ODD38:ODD39"/>
    <mergeCell ref="ODE38:ODE39"/>
    <mergeCell ref="ODF38:ODF39"/>
    <mergeCell ref="ODG38:ODI38"/>
    <mergeCell ref="OCY39:ODA39"/>
    <mergeCell ref="ODG39:ODI39"/>
    <mergeCell ref="OCL38:OCL39"/>
    <mergeCell ref="OCM38:OCM39"/>
    <mergeCell ref="OCN38:OCN39"/>
    <mergeCell ref="OCO38:OCO39"/>
    <mergeCell ref="OCP38:OCP39"/>
    <mergeCell ref="OCQ38:OCS38"/>
    <mergeCell ref="OCT38:OCT39"/>
    <mergeCell ref="OCU38:OCU39"/>
    <mergeCell ref="OCV38:OCV39"/>
    <mergeCell ref="OCQ39:OCS39"/>
    <mergeCell ref="OBY38:OBY39"/>
    <mergeCell ref="OBZ38:OBZ39"/>
    <mergeCell ref="OCA38:OCC38"/>
    <mergeCell ref="OCD38:OCD39"/>
    <mergeCell ref="OCE38:OCE39"/>
    <mergeCell ref="OCF38:OCF39"/>
    <mergeCell ref="OCG38:OCG39"/>
    <mergeCell ref="OCH38:OCH39"/>
    <mergeCell ref="OCI38:OCK38"/>
    <mergeCell ref="OCA39:OCC39"/>
    <mergeCell ref="OCI39:OCK39"/>
    <mergeCell ref="OBN38:OBN39"/>
    <mergeCell ref="OBO38:OBO39"/>
    <mergeCell ref="OBP38:OBP39"/>
    <mergeCell ref="OBQ38:OBQ39"/>
    <mergeCell ref="OBR38:OBR39"/>
    <mergeCell ref="OBS38:OBU38"/>
    <mergeCell ref="OBV38:OBV39"/>
    <mergeCell ref="OBW38:OBW39"/>
    <mergeCell ref="OBX38:OBX39"/>
    <mergeCell ref="OBS39:OBU39"/>
    <mergeCell ref="OBA38:OBA39"/>
    <mergeCell ref="OBB38:OBB39"/>
    <mergeCell ref="OBC38:OBE38"/>
    <mergeCell ref="OBF38:OBF39"/>
    <mergeCell ref="OBG38:OBG39"/>
    <mergeCell ref="OBH38:OBH39"/>
    <mergeCell ref="OBI38:OBI39"/>
    <mergeCell ref="OBJ38:OBJ39"/>
    <mergeCell ref="OBK38:OBM38"/>
    <mergeCell ref="OBC39:OBE39"/>
    <mergeCell ref="OBK39:OBM39"/>
    <mergeCell ref="OAP38:OAP39"/>
    <mergeCell ref="OAQ38:OAQ39"/>
    <mergeCell ref="OAR38:OAR39"/>
    <mergeCell ref="OAS38:OAS39"/>
    <mergeCell ref="OAT38:OAT39"/>
    <mergeCell ref="OAU38:OAW38"/>
    <mergeCell ref="OAX38:OAX39"/>
    <mergeCell ref="OAY38:OAY39"/>
    <mergeCell ref="OAZ38:OAZ39"/>
    <mergeCell ref="OAU39:OAW39"/>
    <mergeCell ref="OAC38:OAC39"/>
    <mergeCell ref="OAD38:OAD39"/>
    <mergeCell ref="OAE38:OAG38"/>
    <mergeCell ref="OAH38:OAH39"/>
    <mergeCell ref="OAI38:OAI39"/>
    <mergeCell ref="OAJ38:OAJ39"/>
    <mergeCell ref="OAK38:OAK39"/>
    <mergeCell ref="OAL38:OAL39"/>
    <mergeCell ref="OAM38:OAO38"/>
    <mergeCell ref="OAE39:OAG39"/>
    <mergeCell ref="OAM39:OAO39"/>
    <mergeCell ref="NZR38:NZR39"/>
    <mergeCell ref="NZS38:NZS39"/>
    <mergeCell ref="NZT38:NZT39"/>
    <mergeCell ref="NZU38:NZU39"/>
    <mergeCell ref="NZV38:NZV39"/>
    <mergeCell ref="NZW38:NZY38"/>
    <mergeCell ref="NZZ38:NZZ39"/>
    <mergeCell ref="OAA38:OAA39"/>
    <mergeCell ref="OAB38:OAB39"/>
    <mergeCell ref="NZW39:NZY39"/>
    <mergeCell ref="NZE38:NZE39"/>
    <mergeCell ref="NZF38:NZF39"/>
    <mergeCell ref="NZG38:NZI38"/>
    <mergeCell ref="NZJ38:NZJ39"/>
    <mergeCell ref="NZK38:NZK39"/>
    <mergeCell ref="NZL38:NZL39"/>
    <mergeCell ref="NZM38:NZM39"/>
    <mergeCell ref="NZN38:NZN39"/>
    <mergeCell ref="NZO38:NZQ38"/>
    <mergeCell ref="NZG39:NZI39"/>
    <mergeCell ref="NZO39:NZQ39"/>
    <mergeCell ref="NYT38:NYT39"/>
    <mergeCell ref="NYU38:NYU39"/>
    <mergeCell ref="NYV38:NYV39"/>
    <mergeCell ref="NYW38:NYW39"/>
    <mergeCell ref="NYX38:NYX39"/>
    <mergeCell ref="NYY38:NZA38"/>
    <mergeCell ref="NZB38:NZB39"/>
    <mergeCell ref="NZC38:NZC39"/>
    <mergeCell ref="NZD38:NZD39"/>
    <mergeCell ref="NYY39:NZA39"/>
    <mergeCell ref="NYG38:NYG39"/>
    <mergeCell ref="NYH38:NYH39"/>
    <mergeCell ref="NYI38:NYK38"/>
    <mergeCell ref="NYL38:NYL39"/>
    <mergeCell ref="NYM38:NYM39"/>
    <mergeCell ref="NYN38:NYN39"/>
    <mergeCell ref="NYO38:NYO39"/>
    <mergeCell ref="NYP38:NYP39"/>
    <mergeCell ref="NYQ38:NYS38"/>
    <mergeCell ref="NYI39:NYK39"/>
    <mergeCell ref="NYQ39:NYS39"/>
    <mergeCell ref="NXV38:NXV39"/>
    <mergeCell ref="NXW38:NXW39"/>
    <mergeCell ref="NXX38:NXX39"/>
    <mergeCell ref="NXY38:NXY39"/>
    <mergeCell ref="NXZ38:NXZ39"/>
    <mergeCell ref="NYA38:NYC38"/>
    <mergeCell ref="NYD38:NYD39"/>
    <mergeCell ref="NYE38:NYE39"/>
    <mergeCell ref="NYF38:NYF39"/>
    <mergeCell ref="NYA39:NYC39"/>
    <mergeCell ref="NXI38:NXI39"/>
    <mergeCell ref="NXJ38:NXJ39"/>
    <mergeCell ref="NXK38:NXM38"/>
    <mergeCell ref="NXN38:NXN39"/>
    <mergeCell ref="NXO38:NXO39"/>
    <mergeCell ref="NXP38:NXP39"/>
    <mergeCell ref="NXQ38:NXQ39"/>
    <mergeCell ref="NXR38:NXR39"/>
    <mergeCell ref="NXS38:NXU38"/>
    <mergeCell ref="NXK39:NXM39"/>
    <mergeCell ref="NXS39:NXU39"/>
    <mergeCell ref="NWX38:NWX39"/>
    <mergeCell ref="NWY38:NWY39"/>
    <mergeCell ref="NWZ38:NWZ39"/>
    <mergeCell ref="NXA38:NXA39"/>
    <mergeCell ref="NXB38:NXB39"/>
    <mergeCell ref="NXC38:NXE38"/>
    <mergeCell ref="NXF38:NXF39"/>
    <mergeCell ref="NXG38:NXG39"/>
    <mergeCell ref="NXH38:NXH39"/>
    <mergeCell ref="NXC39:NXE39"/>
    <mergeCell ref="NWK38:NWK39"/>
    <mergeCell ref="NWL38:NWL39"/>
    <mergeCell ref="NWM38:NWO38"/>
    <mergeCell ref="NWP38:NWP39"/>
    <mergeCell ref="NWQ38:NWQ39"/>
    <mergeCell ref="NWR38:NWR39"/>
    <mergeCell ref="NWS38:NWS39"/>
    <mergeCell ref="NWT38:NWT39"/>
    <mergeCell ref="NWU38:NWW38"/>
    <mergeCell ref="NWM39:NWO39"/>
    <mergeCell ref="NWU39:NWW39"/>
    <mergeCell ref="NVZ38:NVZ39"/>
    <mergeCell ref="NWA38:NWA39"/>
    <mergeCell ref="NWB38:NWB39"/>
    <mergeCell ref="NWC38:NWC39"/>
    <mergeCell ref="NWD38:NWD39"/>
    <mergeCell ref="NWE38:NWG38"/>
    <mergeCell ref="NWH38:NWH39"/>
    <mergeCell ref="NWI38:NWI39"/>
    <mergeCell ref="NWJ38:NWJ39"/>
    <mergeCell ref="NWE39:NWG39"/>
    <mergeCell ref="NVM38:NVM39"/>
    <mergeCell ref="NVN38:NVN39"/>
    <mergeCell ref="NVO38:NVQ38"/>
    <mergeCell ref="NVR38:NVR39"/>
    <mergeCell ref="NVS38:NVS39"/>
    <mergeCell ref="NVT38:NVT39"/>
    <mergeCell ref="NVU38:NVU39"/>
    <mergeCell ref="NVV38:NVV39"/>
    <mergeCell ref="NVW38:NVY38"/>
    <mergeCell ref="NVO39:NVQ39"/>
    <mergeCell ref="NVW39:NVY39"/>
    <mergeCell ref="NVB38:NVB39"/>
    <mergeCell ref="NVC38:NVC39"/>
    <mergeCell ref="NVD38:NVD39"/>
    <mergeCell ref="NVE38:NVE39"/>
    <mergeCell ref="NVF38:NVF39"/>
    <mergeCell ref="NVG38:NVI38"/>
    <mergeCell ref="NVJ38:NVJ39"/>
    <mergeCell ref="NVK38:NVK39"/>
    <mergeCell ref="NVL38:NVL39"/>
    <mergeCell ref="NVG39:NVI39"/>
    <mergeCell ref="NUO38:NUO39"/>
    <mergeCell ref="NUP38:NUP39"/>
    <mergeCell ref="NUQ38:NUS38"/>
    <mergeCell ref="NUT38:NUT39"/>
    <mergeCell ref="NUU38:NUU39"/>
    <mergeCell ref="NUV38:NUV39"/>
    <mergeCell ref="NUW38:NUW39"/>
    <mergeCell ref="NUX38:NUX39"/>
    <mergeCell ref="NUY38:NVA38"/>
    <mergeCell ref="NUQ39:NUS39"/>
    <mergeCell ref="NUY39:NVA39"/>
    <mergeCell ref="NUD38:NUD39"/>
    <mergeCell ref="NUE38:NUE39"/>
    <mergeCell ref="NUF38:NUF39"/>
    <mergeCell ref="NUG38:NUG39"/>
    <mergeCell ref="NUH38:NUH39"/>
    <mergeCell ref="NUI38:NUK38"/>
    <mergeCell ref="NUL38:NUL39"/>
    <mergeCell ref="NUM38:NUM39"/>
    <mergeCell ref="NUN38:NUN39"/>
    <mergeCell ref="NUI39:NUK39"/>
    <mergeCell ref="NTQ38:NTQ39"/>
    <mergeCell ref="NTR38:NTR39"/>
    <mergeCell ref="NTS38:NTU38"/>
    <mergeCell ref="NTV38:NTV39"/>
    <mergeCell ref="NTW38:NTW39"/>
    <mergeCell ref="NTX38:NTX39"/>
    <mergeCell ref="NTY38:NTY39"/>
    <mergeCell ref="NTZ38:NTZ39"/>
    <mergeCell ref="NUA38:NUC38"/>
    <mergeCell ref="NTS39:NTU39"/>
    <mergeCell ref="NUA39:NUC39"/>
    <mergeCell ref="NTF38:NTF39"/>
    <mergeCell ref="NTG38:NTG39"/>
    <mergeCell ref="NTH38:NTH39"/>
    <mergeCell ref="NTI38:NTI39"/>
    <mergeCell ref="NTJ38:NTJ39"/>
    <mergeCell ref="NTK38:NTM38"/>
    <mergeCell ref="NTN38:NTN39"/>
    <mergeCell ref="NTO38:NTO39"/>
    <mergeCell ref="NTP38:NTP39"/>
    <mergeCell ref="NTK39:NTM39"/>
    <mergeCell ref="NSS38:NSS39"/>
    <mergeCell ref="NST38:NST39"/>
    <mergeCell ref="NSU38:NSW38"/>
    <mergeCell ref="NSX38:NSX39"/>
    <mergeCell ref="NSY38:NSY39"/>
    <mergeCell ref="NSZ38:NSZ39"/>
    <mergeCell ref="NTA38:NTA39"/>
    <mergeCell ref="NTB38:NTB39"/>
    <mergeCell ref="NTC38:NTE38"/>
    <mergeCell ref="NSU39:NSW39"/>
    <mergeCell ref="NTC39:NTE39"/>
    <mergeCell ref="NSH38:NSH39"/>
    <mergeCell ref="NSI38:NSI39"/>
    <mergeCell ref="NSJ38:NSJ39"/>
    <mergeCell ref="NSK38:NSK39"/>
    <mergeCell ref="NSL38:NSL39"/>
    <mergeCell ref="NSM38:NSO38"/>
    <mergeCell ref="NSP38:NSP39"/>
    <mergeCell ref="NSQ38:NSQ39"/>
    <mergeCell ref="NSR38:NSR39"/>
    <mergeCell ref="NSM39:NSO39"/>
    <mergeCell ref="NRU38:NRU39"/>
    <mergeCell ref="NRV38:NRV39"/>
    <mergeCell ref="NRW38:NRY38"/>
    <mergeCell ref="NRZ38:NRZ39"/>
    <mergeCell ref="NSA38:NSA39"/>
    <mergeCell ref="NSB38:NSB39"/>
    <mergeCell ref="NSC38:NSC39"/>
    <mergeCell ref="NSD38:NSD39"/>
    <mergeCell ref="NSE38:NSG38"/>
    <mergeCell ref="NRW39:NRY39"/>
    <mergeCell ref="NSE39:NSG39"/>
    <mergeCell ref="NRJ38:NRJ39"/>
    <mergeCell ref="NRK38:NRK39"/>
    <mergeCell ref="NRL38:NRL39"/>
    <mergeCell ref="NRM38:NRM39"/>
    <mergeCell ref="NRN38:NRN39"/>
    <mergeCell ref="NRO38:NRQ38"/>
    <mergeCell ref="NRR38:NRR39"/>
    <mergeCell ref="NRS38:NRS39"/>
    <mergeCell ref="NRT38:NRT39"/>
    <mergeCell ref="NRO39:NRQ39"/>
    <mergeCell ref="NQW38:NQW39"/>
    <mergeCell ref="NQX38:NQX39"/>
    <mergeCell ref="NQY38:NRA38"/>
    <mergeCell ref="NRB38:NRB39"/>
    <mergeCell ref="NRC38:NRC39"/>
    <mergeCell ref="NRD38:NRD39"/>
    <mergeCell ref="NRE38:NRE39"/>
    <mergeCell ref="NRF38:NRF39"/>
    <mergeCell ref="NRG38:NRI38"/>
    <mergeCell ref="NQY39:NRA39"/>
    <mergeCell ref="NRG39:NRI39"/>
    <mergeCell ref="NQL38:NQL39"/>
    <mergeCell ref="NQM38:NQM39"/>
    <mergeCell ref="NQN38:NQN39"/>
    <mergeCell ref="NQO38:NQO39"/>
    <mergeCell ref="NQP38:NQP39"/>
    <mergeCell ref="NQQ38:NQS38"/>
    <mergeCell ref="NQT38:NQT39"/>
    <mergeCell ref="NQU38:NQU39"/>
    <mergeCell ref="NQV38:NQV39"/>
    <mergeCell ref="NQQ39:NQS39"/>
    <mergeCell ref="NPY38:NPY39"/>
    <mergeCell ref="NPZ38:NPZ39"/>
    <mergeCell ref="NQA38:NQC38"/>
    <mergeCell ref="NQD38:NQD39"/>
    <mergeCell ref="NQE38:NQE39"/>
    <mergeCell ref="NQF38:NQF39"/>
    <mergeCell ref="NQG38:NQG39"/>
    <mergeCell ref="NQH38:NQH39"/>
    <mergeCell ref="NQI38:NQK38"/>
    <mergeCell ref="NQA39:NQC39"/>
    <mergeCell ref="NQI39:NQK39"/>
    <mergeCell ref="NPN38:NPN39"/>
    <mergeCell ref="NPO38:NPO39"/>
    <mergeCell ref="NPP38:NPP39"/>
    <mergeCell ref="NPQ38:NPQ39"/>
    <mergeCell ref="NPR38:NPR39"/>
    <mergeCell ref="NPS38:NPU38"/>
    <mergeCell ref="NPV38:NPV39"/>
    <mergeCell ref="NPW38:NPW39"/>
    <mergeCell ref="NPX38:NPX39"/>
    <mergeCell ref="NPS39:NPU39"/>
    <mergeCell ref="NPA38:NPA39"/>
    <mergeCell ref="NPB38:NPB39"/>
    <mergeCell ref="NPC38:NPE38"/>
    <mergeCell ref="NPF38:NPF39"/>
    <mergeCell ref="NPG38:NPG39"/>
    <mergeCell ref="NPH38:NPH39"/>
    <mergeCell ref="NPI38:NPI39"/>
    <mergeCell ref="NPJ38:NPJ39"/>
    <mergeCell ref="NPK38:NPM38"/>
    <mergeCell ref="NPC39:NPE39"/>
    <mergeCell ref="NPK39:NPM39"/>
    <mergeCell ref="NOP38:NOP39"/>
    <mergeCell ref="NOQ38:NOQ39"/>
    <mergeCell ref="NOR38:NOR39"/>
    <mergeCell ref="NOS38:NOS39"/>
    <mergeCell ref="NOT38:NOT39"/>
    <mergeCell ref="NOU38:NOW38"/>
    <mergeCell ref="NOX38:NOX39"/>
    <mergeCell ref="NOY38:NOY39"/>
    <mergeCell ref="NOZ38:NOZ39"/>
    <mergeCell ref="NOU39:NOW39"/>
    <mergeCell ref="NOC38:NOC39"/>
    <mergeCell ref="NOD38:NOD39"/>
    <mergeCell ref="NOE38:NOG38"/>
    <mergeCell ref="NOH38:NOH39"/>
    <mergeCell ref="NOI38:NOI39"/>
    <mergeCell ref="NOJ38:NOJ39"/>
    <mergeCell ref="NOK38:NOK39"/>
    <mergeCell ref="NOL38:NOL39"/>
    <mergeCell ref="NOM38:NOO38"/>
    <mergeCell ref="NOE39:NOG39"/>
    <mergeCell ref="NOM39:NOO39"/>
    <mergeCell ref="NNR38:NNR39"/>
    <mergeCell ref="NNS38:NNS39"/>
    <mergeCell ref="NNT38:NNT39"/>
    <mergeCell ref="NNU38:NNU39"/>
    <mergeCell ref="NNV38:NNV39"/>
    <mergeCell ref="NNW38:NNY38"/>
    <mergeCell ref="NNZ38:NNZ39"/>
    <mergeCell ref="NOA38:NOA39"/>
    <mergeCell ref="NOB38:NOB39"/>
    <mergeCell ref="NNW39:NNY39"/>
    <mergeCell ref="NNE38:NNE39"/>
    <mergeCell ref="NNF38:NNF39"/>
    <mergeCell ref="NNG38:NNI38"/>
    <mergeCell ref="NNJ38:NNJ39"/>
    <mergeCell ref="NNK38:NNK39"/>
    <mergeCell ref="NNL38:NNL39"/>
    <mergeCell ref="NNM38:NNM39"/>
    <mergeCell ref="NNN38:NNN39"/>
    <mergeCell ref="NNO38:NNQ38"/>
    <mergeCell ref="NNG39:NNI39"/>
    <mergeCell ref="NNO39:NNQ39"/>
    <mergeCell ref="NMT38:NMT39"/>
    <mergeCell ref="NMU38:NMU39"/>
    <mergeCell ref="NMV38:NMV39"/>
    <mergeCell ref="NMW38:NMW39"/>
    <mergeCell ref="NMX38:NMX39"/>
    <mergeCell ref="NMY38:NNA38"/>
    <mergeCell ref="NNB38:NNB39"/>
    <mergeCell ref="NNC38:NNC39"/>
    <mergeCell ref="NND38:NND39"/>
    <mergeCell ref="NMY39:NNA39"/>
    <mergeCell ref="NMG38:NMG39"/>
    <mergeCell ref="NMH38:NMH39"/>
    <mergeCell ref="NMI38:NMK38"/>
    <mergeCell ref="NML38:NML39"/>
    <mergeCell ref="NMM38:NMM39"/>
    <mergeCell ref="NMN38:NMN39"/>
    <mergeCell ref="NMO38:NMO39"/>
    <mergeCell ref="NMP38:NMP39"/>
    <mergeCell ref="NMQ38:NMS38"/>
    <mergeCell ref="NMI39:NMK39"/>
    <mergeCell ref="NMQ39:NMS39"/>
    <mergeCell ref="NLV38:NLV39"/>
    <mergeCell ref="NLW38:NLW39"/>
    <mergeCell ref="NLX38:NLX39"/>
    <mergeCell ref="NLY38:NLY39"/>
    <mergeCell ref="NLZ38:NLZ39"/>
    <mergeCell ref="NMA38:NMC38"/>
    <mergeCell ref="NMD38:NMD39"/>
    <mergeCell ref="NME38:NME39"/>
    <mergeCell ref="NMF38:NMF39"/>
    <mergeCell ref="NMA39:NMC39"/>
    <mergeCell ref="NLI38:NLI39"/>
    <mergeCell ref="NLJ38:NLJ39"/>
    <mergeCell ref="NLK38:NLM38"/>
    <mergeCell ref="NLN38:NLN39"/>
    <mergeCell ref="NLO38:NLO39"/>
    <mergeCell ref="NLP38:NLP39"/>
    <mergeCell ref="NLQ38:NLQ39"/>
    <mergeCell ref="NLR38:NLR39"/>
    <mergeCell ref="NLS38:NLU38"/>
    <mergeCell ref="NLK39:NLM39"/>
    <mergeCell ref="NLS39:NLU39"/>
    <mergeCell ref="NKX38:NKX39"/>
    <mergeCell ref="NKY38:NKY39"/>
    <mergeCell ref="NKZ38:NKZ39"/>
    <mergeCell ref="NLA38:NLA39"/>
    <mergeCell ref="NLB38:NLB39"/>
    <mergeCell ref="NLC38:NLE38"/>
    <mergeCell ref="NLF38:NLF39"/>
    <mergeCell ref="NLG38:NLG39"/>
    <mergeCell ref="NLH38:NLH39"/>
    <mergeCell ref="NLC39:NLE39"/>
    <mergeCell ref="NKK38:NKK39"/>
    <mergeCell ref="NKL38:NKL39"/>
    <mergeCell ref="NKM38:NKO38"/>
    <mergeCell ref="NKP38:NKP39"/>
    <mergeCell ref="NKQ38:NKQ39"/>
    <mergeCell ref="NKR38:NKR39"/>
    <mergeCell ref="NKS38:NKS39"/>
    <mergeCell ref="NKT38:NKT39"/>
    <mergeCell ref="NKU38:NKW38"/>
    <mergeCell ref="NKM39:NKO39"/>
    <mergeCell ref="NKU39:NKW39"/>
    <mergeCell ref="NJZ38:NJZ39"/>
    <mergeCell ref="NKA38:NKA39"/>
    <mergeCell ref="NKB38:NKB39"/>
    <mergeCell ref="NKC38:NKC39"/>
    <mergeCell ref="NKD38:NKD39"/>
    <mergeCell ref="NKE38:NKG38"/>
    <mergeCell ref="NKH38:NKH39"/>
    <mergeCell ref="NKI38:NKI39"/>
    <mergeCell ref="NKJ38:NKJ39"/>
    <mergeCell ref="NKE39:NKG39"/>
    <mergeCell ref="NJM38:NJM39"/>
    <mergeCell ref="NJN38:NJN39"/>
    <mergeCell ref="NJO38:NJQ38"/>
    <mergeCell ref="NJR38:NJR39"/>
    <mergeCell ref="NJS38:NJS39"/>
    <mergeCell ref="NJT38:NJT39"/>
    <mergeCell ref="NJU38:NJU39"/>
    <mergeCell ref="NJV38:NJV39"/>
    <mergeCell ref="NJW38:NJY38"/>
    <mergeCell ref="NJO39:NJQ39"/>
    <mergeCell ref="NJW39:NJY39"/>
    <mergeCell ref="NJB38:NJB39"/>
    <mergeCell ref="NJC38:NJC39"/>
    <mergeCell ref="NJD38:NJD39"/>
    <mergeCell ref="NJE38:NJE39"/>
    <mergeCell ref="NJF38:NJF39"/>
    <mergeCell ref="NJG38:NJI38"/>
    <mergeCell ref="NJJ38:NJJ39"/>
    <mergeCell ref="NJK38:NJK39"/>
    <mergeCell ref="NJL38:NJL39"/>
    <mergeCell ref="NJG39:NJI39"/>
    <mergeCell ref="NIO38:NIO39"/>
    <mergeCell ref="NIP38:NIP39"/>
    <mergeCell ref="NIQ38:NIS38"/>
    <mergeCell ref="NIT38:NIT39"/>
    <mergeCell ref="NIU38:NIU39"/>
    <mergeCell ref="NIV38:NIV39"/>
    <mergeCell ref="NIW38:NIW39"/>
    <mergeCell ref="NIX38:NIX39"/>
    <mergeCell ref="NIY38:NJA38"/>
    <mergeCell ref="NIQ39:NIS39"/>
    <mergeCell ref="NIY39:NJA39"/>
    <mergeCell ref="NID38:NID39"/>
    <mergeCell ref="NIE38:NIE39"/>
    <mergeCell ref="NIF38:NIF39"/>
    <mergeCell ref="NIG38:NIG39"/>
    <mergeCell ref="NIH38:NIH39"/>
    <mergeCell ref="NII38:NIK38"/>
    <mergeCell ref="NIL38:NIL39"/>
    <mergeCell ref="NIM38:NIM39"/>
    <mergeCell ref="NIN38:NIN39"/>
    <mergeCell ref="NII39:NIK39"/>
    <mergeCell ref="NHQ38:NHQ39"/>
    <mergeCell ref="NHR38:NHR39"/>
    <mergeCell ref="NHS38:NHU38"/>
    <mergeCell ref="NHV38:NHV39"/>
    <mergeCell ref="NHW38:NHW39"/>
    <mergeCell ref="NHX38:NHX39"/>
    <mergeCell ref="NHY38:NHY39"/>
    <mergeCell ref="NHZ38:NHZ39"/>
    <mergeCell ref="NIA38:NIC38"/>
    <mergeCell ref="NHS39:NHU39"/>
    <mergeCell ref="NIA39:NIC39"/>
    <mergeCell ref="NHF38:NHF39"/>
    <mergeCell ref="NHG38:NHG39"/>
    <mergeCell ref="NHH38:NHH39"/>
    <mergeCell ref="NHI38:NHI39"/>
    <mergeCell ref="NHJ38:NHJ39"/>
    <mergeCell ref="NHK38:NHM38"/>
    <mergeCell ref="NHN38:NHN39"/>
    <mergeCell ref="NHO38:NHO39"/>
    <mergeCell ref="NHP38:NHP39"/>
    <mergeCell ref="NHK39:NHM39"/>
    <mergeCell ref="NGS38:NGS39"/>
    <mergeCell ref="NGT38:NGT39"/>
    <mergeCell ref="NGU38:NGW38"/>
    <mergeCell ref="NGX38:NGX39"/>
    <mergeCell ref="NGY38:NGY39"/>
    <mergeCell ref="NGZ38:NGZ39"/>
    <mergeCell ref="NHA38:NHA39"/>
    <mergeCell ref="NHB38:NHB39"/>
    <mergeCell ref="NHC38:NHE38"/>
    <mergeCell ref="NGU39:NGW39"/>
    <mergeCell ref="NHC39:NHE39"/>
    <mergeCell ref="NGH38:NGH39"/>
    <mergeCell ref="NGI38:NGI39"/>
    <mergeCell ref="NGJ38:NGJ39"/>
    <mergeCell ref="NGK38:NGK39"/>
    <mergeCell ref="NGL38:NGL39"/>
    <mergeCell ref="NGM38:NGO38"/>
    <mergeCell ref="NGP38:NGP39"/>
    <mergeCell ref="NGQ38:NGQ39"/>
    <mergeCell ref="NGR38:NGR39"/>
    <mergeCell ref="NGM39:NGO39"/>
    <mergeCell ref="NFU38:NFU39"/>
    <mergeCell ref="NFV38:NFV39"/>
    <mergeCell ref="NFW38:NFY38"/>
    <mergeCell ref="NFZ38:NFZ39"/>
    <mergeCell ref="NGA38:NGA39"/>
    <mergeCell ref="NGB38:NGB39"/>
    <mergeCell ref="NGC38:NGC39"/>
    <mergeCell ref="NGD38:NGD39"/>
    <mergeCell ref="NGE38:NGG38"/>
    <mergeCell ref="NFW39:NFY39"/>
    <mergeCell ref="NGE39:NGG39"/>
    <mergeCell ref="NFJ38:NFJ39"/>
    <mergeCell ref="NFK38:NFK39"/>
    <mergeCell ref="NFL38:NFL39"/>
    <mergeCell ref="NFM38:NFM39"/>
    <mergeCell ref="NFN38:NFN39"/>
    <mergeCell ref="NFO38:NFQ38"/>
    <mergeCell ref="NFR38:NFR39"/>
    <mergeCell ref="NFS38:NFS39"/>
    <mergeCell ref="NFT38:NFT39"/>
    <mergeCell ref="NFO39:NFQ39"/>
    <mergeCell ref="NEW38:NEW39"/>
    <mergeCell ref="NEX38:NEX39"/>
    <mergeCell ref="NEY38:NFA38"/>
    <mergeCell ref="NFB38:NFB39"/>
    <mergeCell ref="NFC38:NFC39"/>
    <mergeCell ref="NFD38:NFD39"/>
    <mergeCell ref="NFE38:NFE39"/>
    <mergeCell ref="NFF38:NFF39"/>
    <mergeCell ref="NFG38:NFI38"/>
    <mergeCell ref="NEY39:NFA39"/>
    <mergeCell ref="NFG39:NFI39"/>
    <mergeCell ref="NEL38:NEL39"/>
    <mergeCell ref="NEM38:NEM39"/>
    <mergeCell ref="NEN38:NEN39"/>
    <mergeCell ref="NEO38:NEO39"/>
    <mergeCell ref="NEP38:NEP39"/>
    <mergeCell ref="NEQ38:NES38"/>
    <mergeCell ref="NET38:NET39"/>
    <mergeCell ref="NEU38:NEU39"/>
    <mergeCell ref="NEV38:NEV39"/>
    <mergeCell ref="NEQ39:NES39"/>
    <mergeCell ref="NDY38:NDY39"/>
    <mergeCell ref="NDZ38:NDZ39"/>
    <mergeCell ref="NEA38:NEC38"/>
    <mergeCell ref="NED38:NED39"/>
    <mergeCell ref="NEE38:NEE39"/>
    <mergeCell ref="NEF38:NEF39"/>
    <mergeCell ref="NEG38:NEG39"/>
    <mergeCell ref="NEH38:NEH39"/>
    <mergeCell ref="NEI38:NEK38"/>
    <mergeCell ref="NEA39:NEC39"/>
    <mergeCell ref="NEI39:NEK39"/>
    <mergeCell ref="NDN38:NDN39"/>
    <mergeCell ref="NDO38:NDO39"/>
    <mergeCell ref="NDP38:NDP39"/>
    <mergeCell ref="NDQ38:NDQ39"/>
    <mergeCell ref="NDR38:NDR39"/>
    <mergeCell ref="NDS38:NDU38"/>
    <mergeCell ref="NDV38:NDV39"/>
    <mergeCell ref="NDW38:NDW39"/>
    <mergeCell ref="NDX38:NDX39"/>
    <mergeCell ref="NDS39:NDU39"/>
    <mergeCell ref="NDA38:NDA39"/>
    <mergeCell ref="NDB38:NDB39"/>
    <mergeCell ref="NDC38:NDE38"/>
    <mergeCell ref="NDF38:NDF39"/>
    <mergeCell ref="NDG38:NDG39"/>
    <mergeCell ref="NDH38:NDH39"/>
    <mergeCell ref="NDI38:NDI39"/>
    <mergeCell ref="NDJ38:NDJ39"/>
    <mergeCell ref="NDK38:NDM38"/>
    <mergeCell ref="NDC39:NDE39"/>
    <mergeCell ref="NDK39:NDM39"/>
    <mergeCell ref="NCP38:NCP39"/>
    <mergeCell ref="NCQ38:NCQ39"/>
    <mergeCell ref="NCR38:NCR39"/>
    <mergeCell ref="NCS38:NCS39"/>
    <mergeCell ref="NCT38:NCT39"/>
    <mergeCell ref="NCU38:NCW38"/>
    <mergeCell ref="NCX38:NCX39"/>
    <mergeCell ref="NCY38:NCY39"/>
    <mergeCell ref="NCZ38:NCZ39"/>
    <mergeCell ref="NCU39:NCW39"/>
    <mergeCell ref="NCC38:NCC39"/>
    <mergeCell ref="NCD38:NCD39"/>
    <mergeCell ref="NCE38:NCG38"/>
    <mergeCell ref="NCH38:NCH39"/>
    <mergeCell ref="NCI38:NCI39"/>
    <mergeCell ref="NCJ38:NCJ39"/>
    <mergeCell ref="NCK38:NCK39"/>
    <mergeCell ref="NCL38:NCL39"/>
    <mergeCell ref="NCM38:NCO38"/>
    <mergeCell ref="NCE39:NCG39"/>
    <mergeCell ref="NCM39:NCO39"/>
    <mergeCell ref="NBR38:NBR39"/>
    <mergeCell ref="NBS38:NBS39"/>
    <mergeCell ref="NBT38:NBT39"/>
    <mergeCell ref="NBU38:NBU39"/>
    <mergeCell ref="NBV38:NBV39"/>
    <mergeCell ref="NBW38:NBY38"/>
    <mergeCell ref="NBZ38:NBZ39"/>
    <mergeCell ref="NCA38:NCA39"/>
    <mergeCell ref="NCB38:NCB39"/>
    <mergeCell ref="NBW39:NBY39"/>
    <mergeCell ref="NBE38:NBE39"/>
    <mergeCell ref="NBF38:NBF39"/>
    <mergeCell ref="NBG38:NBI38"/>
    <mergeCell ref="NBJ38:NBJ39"/>
    <mergeCell ref="NBK38:NBK39"/>
    <mergeCell ref="NBL38:NBL39"/>
    <mergeCell ref="NBM38:NBM39"/>
    <mergeCell ref="NBN38:NBN39"/>
    <mergeCell ref="NBO38:NBQ38"/>
    <mergeCell ref="NBG39:NBI39"/>
    <mergeCell ref="NBO39:NBQ39"/>
    <mergeCell ref="NAT38:NAT39"/>
    <mergeCell ref="NAU38:NAU39"/>
    <mergeCell ref="NAV38:NAV39"/>
    <mergeCell ref="NAW38:NAW39"/>
    <mergeCell ref="NAX38:NAX39"/>
    <mergeCell ref="NAY38:NBA38"/>
    <mergeCell ref="NBB38:NBB39"/>
    <mergeCell ref="NBC38:NBC39"/>
    <mergeCell ref="NBD38:NBD39"/>
    <mergeCell ref="NAY39:NBA39"/>
    <mergeCell ref="NAG38:NAG39"/>
    <mergeCell ref="NAH38:NAH39"/>
    <mergeCell ref="NAI38:NAK38"/>
    <mergeCell ref="NAL38:NAL39"/>
    <mergeCell ref="NAM38:NAM39"/>
    <mergeCell ref="NAN38:NAN39"/>
    <mergeCell ref="NAO38:NAO39"/>
    <mergeCell ref="NAP38:NAP39"/>
    <mergeCell ref="NAQ38:NAS38"/>
    <mergeCell ref="NAI39:NAK39"/>
    <mergeCell ref="NAQ39:NAS39"/>
    <mergeCell ref="MZV38:MZV39"/>
    <mergeCell ref="MZW38:MZW39"/>
    <mergeCell ref="MZX38:MZX39"/>
    <mergeCell ref="MZY38:MZY39"/>
    <mergeCell ref="MZZ38:MZZ39"/>
    <mergeCell ref="NAA38:NAC38"/>
    <mergeCell ref="NAD38:NAD39"/>
    <mergeCell ref="NAE38:NAE39"/>
    <mergeCell ref="NAF38:NAF39"/>
    <mergeCell ref="NAA39:NAC39"/>
    <mergeCell ref="MZI38:MZI39"/>
    <mergeCell ref="MZJ38:MZJ39"/>
    <mergeCell ref="MZK38:MZM38"/>
    <mergeCell ref="MZN38:MZN39"/>
    <mergeCell ref="MZO38:MZO39"/>
    <mergeCell ref="MZP38:MZP39"/>
    <mergeCell ref="MZQ38:MZQ39"/>
    <mergeCell ref="MZR38:MZR39"/>
    <mergeCell ref="MZS38:MZU38"/>
    <mergeCell ref="MZK39:MZM39"/>
    <mergeCell ref="MZS39:MZU39"/>
    <mergeCell ref="MYX38:MYX39"/>
    <mergeCell ref="MYY38:MYY39"/>
    <mergeCell ref="MYZ38:MYZ39"/>
    <mergeCell ref="MZA38:MZA39"/>
    <mergeCell ref="MZB38:MZB39"/>
    <mergeCell ref="MZC38:MZE38"/>
    <mergeCell ref="MZF38:MZF39"/>
    <mergeCell ref="MZG38:MZG39"/>
    <mergeCell ref="MZH38:MZH39"/>
    <mergeCell ref="MZC39:MZE39"/>
    <mergeCell ref="MYK38:MYK39"/>
    <mergeCell ref="MYL38:MYL39"/>
    <mergeCell ref="MYM38:MYO38"/>
    <mergeCell ref="MYP38:MYP39"/>
    <mergeCell ref="MYQ38:MYQ39"/>
    <mergeCell ref="MYR38:MYR39"/>
    <mergeCell ref="MYS38:MYS39"/>
    <mergeCell ref="MYT38:MYT39"/>
    <mergeCell ref="MYU38:MYW38"/>
    <mergeCell ref="MYM39:MYO39"/>
    <mergeCell ref="MYU39:MYW39"/>
    <mergeCell ref="MXZ38:MXZ39"/>
    <mergeCell ref="MYA38:MYA39"/>
    <mergeCell ref="MYB38:MYB39"/>
    <mergeCell ref="MYC38:MYC39"/>
    <mergeCell ref="MYD38:MYD39"/>
    <mergeCell ref="MYE38:MYG38"/>
    <mergeCell ref="MYH38:MYH39"/>
    <mergeCell ref="MYI38:MYI39"/>
    <mergeCell ref="MYJ38:MYJ39"/>
    <mergeCell ref="MYE39:MYG39"/>
    <mergeCell ref="MXM38:MXM39"/>
    <mergeCell ref="MXN38:MXN39"/>
    <mergeCell ref="MXO38:MXQ38"/>
    <mergeCell ref="MXR38:MXR39"/>
    <mergeCell ref="MXS38:MXS39"/>
    <mergeCell ref="MXT38:MXT39"/>
    <mergeCell ref="MXU38:MXU39"/>
    <mergeCell ref="MXV38:MXV39"/>
    <mergeCell ref="MXW38:MXY38"/>
    <mergeCell ref="MXO39:MXQ39"/>
    <mergeCell ref="MXW39:MXY39"/>
    <mergeCell ref="MXB38:MXB39"/>
    <mergeCell ref="MXC38:MXC39"/>
    <mergeCell ref="MXD38:MXD39"/>
    <mergeCell ref="MXE38:MXE39"/>
    <mergeCell ref="MXF38:MXF39"/>
    <mergeCell ref="MXG38:MXI38"/>
    <mergeCell ref="MXJ38:MXJ39"/>
    <mergeCell ref="MXK38:MXK39"/>
    <mergeCell ref="MXL38:MXL39"/>
    <mergeCell ref="MXG39:MXI39"/>
    <mergeCell ref="MWO38:MWO39"/>
    <mergeCell ref="MWP38:MWP39"/>
    <mergeCell ref="MWQ38:MWS38"/>
    <mergeCell ref="MWT38:MWT39"/>
    <mergeCell ref="MWU38:MWU39"/>
    <mergeCell ref="MWV38:MWV39"/>
    <mergeCell ref="MWW38:MWW39"/>
    <mergeCell ref="MWX38:MWX39"/>
    <mergeCell ref="MWY38:MXA38"/>
    <mergeCell ref="MWQ39:MWS39"/>
    <mergeCell ref="MWY39:MXA39"/>
    <mergeCell ref="MWD38:MWD39"/>
    <mergeCell ref="MWE38:MWE39"/>
    <mergeCell ref="MWF38:MWF39"/>
    <mergeCell ref="MWG38:MWG39"/>
    <mergeCell ref="MWH38:MWH39"/>
    <mergeCell ref="MWI38:MWK38"/>
    <mergeCell ref="MWL38:MWL39"/>
    <mergeCell ref="MWM38:MWM39"/>
    <mergeCell ref="MWN38:MWN39"/>
    <mergeCell ref="MWI39:MWK39"/>
    <mergeCell ref="MVQ38:MVQ39"/>
    <mergeCell ref="MVR38:MVR39"/>
    <mergeCell ref="MVS38:MVU38"/>
    <mergeCell ref="MVV38:MVV39"/>
    <mergeCell ref="MVW38:MVW39"/>
    <mergeCell ref="MVX38:MVX39"/>
    <mergeCell ref="MVY38:MVY39"/>
    <mergeCell ref="MVZ38:MVZ39"/>
    <mergeCell ref="MWA38:MWC38"/>
    <mergeCell ref="MVS39:MVU39"/>
    <mergeCell ref="MWA39:MWC39"/>
    <mergeCell ref="MVF38:MVF39"/>
    <mergeCell ref="MVG38:MVG39"/>
    <mergeCell ref="MVH38:MVH39"/>
    <mergeCell ref="MVI38:MVI39"/>
    <mergeCell ref="MVJ38:MVJ39"/>
    <mergeCell ref="MVK38:MVM38"/>
    <mergeCell ref="MVN38:MVN39"/>
    <mergeCell ref="MVO38:MVO39"/>
    <mergeCell ref="MVP38:MVP39"/>
    <mergeCell ref="MVK39:MVM39"/>
    <mergeCell ref="MUS38:MUS39"/>
    <mergeCell ref="MUT38:MUT39"/>
    <mergeCell ref="MUU38:MUW38"/>
    <mergeCell ref="MUX38:MUX39"/>
    <mergeCell ref="MUY38:MUY39"/>
    <mergeCell ref="MUZ38:MUZ39"/>
    <mergeCell ref="MVA38:MVA39"/>
    <mergeCell ref="MVB38:MVB39"/>
    <mergeCell ref="MVC38:MVE38"/>
    <mergeCell ref="MUU39:MUW39"/>
    <mergeCell ref="MVC39:MVE39"/>
    <mergeCell ref="MUH38:MUH39"/>
    <mergeCell ref="MUI38:MUI39"/>
    <mergeCell ref="MUJ38:MUJ39"/>
    <mergeCell ref="MUK38:MUK39"/>
    <mergeCell ref="MUL38:MUL39"/>
    <mergeCell ref="MUM38:MUO38"/>
    <mergeCell ref="MUP38:MUP39"/>
    <mergeCell ref="MUQ38:MUQ39"/>
    <mergeCell ref="MUR38:MUR39"/>
    <mergeCell ref="MUM39:MUO39"/>
    <mergeCell ref="MTU38:MTU39"/>
    <mergeCell ref="MTV38:MTV39"/>
    <mergeCell ref="MTW38:MTY38"/>
    <mergeCell ref="MTZ38:MTZ39"/>
    <mergeCell ref="MUA38:MUA39"/>
    <mergeCell ref="MUB38:MUB39"/>
    <mergeCell ref="MUC38:MUC39"/>
    <mergeCell ref="MUD38:MUD39"/>
    <mergeCell ref="MUE38:MUG38"/>
    <mergeCell ref="MTW39:MTY39"/>
    <mergeCell ref="MUE39:MUG39"/>
    <mergeCell ref="MTJ38:MTJ39"/>
    <mergeCell ref="MTK38:MTK39"/>
    <mergeCell ref="MTL38:MTL39"/>
    <mergeCell ref="MTM38:MTM39"/>
    <mergeCell ref="MTN38:MTN39"/>
    <mergeCell ref="MTO38:MTQ38"/>
    <mergeCell ref="MTR38:MTR39"/>
    <mergeCell ref="MTS38:MTS39"/>
    <mergeCell ref="MTT38:MTT39"/>
    <mergeCell ref="MTO39:MTQ39"/>
    <mergeCell ref="MSW38:MSW39"/>
    <mergeCell ref="MSX38:MSX39"/>
    <mergeCell ref="MSY38:MTA38"/>
    <mergeCell ref="MTB38:MTB39"/>
    <mergeCell ref="MTC38:MTC39"/>
    <mergeCell ref="MTD38:MTD39"/>
    <mergeCell ref="MTE38:MTE39"/>
    <mergeCell ref="MTF38:MTF39"/>
    <mergeCell ref="MTG38:MTI38"/>
    <mergeCell ref="MSY39:MTA39"/>
    <mergeCell ref="MTG39:MTI39"/>
    <mergeCell ref="MSL38:MSL39"/>
    <mergeCell ref="MSM38:MSM39"/>
    <mergeCell ref="MSN38:MSN39"/>
    <mergeCell ref="MSO38:MSO39"/>
    <mergeCell ref="MSP38:MSP39"/>
    <mergeCell ref="MSQ38:MSS38"/>
    <mergeCell ref="MST38:MST39"/>
    <mergeCell ref="MSU38:MSU39"/>
    <mergeCell ref="MSV38:MSV39"/>
    <mergeCell ref="MSQ39:MSS39"/>
    <mergeCell ref="MRY38:MRY39"/>
    <mergeCell ref="MRZ38:MRZ39"/>
    <mergeCell ref="MSA38:MSC38"/>
    <mergeCell ref="MSD38:MSD39"/>
    <mergeCell ref="MSE38:MSE39"/>
    <mergeCell ref="MSF38:MSF39"/>
    <mergeCell ref="MSG38:MSG39"/>
    <mergeCell ref="MSH38:MSH39"/>
    <mergeCell ref="MSI38:MSK38"/>
    <mergeCell ref="MSA39:MSC39"/>
    <mergeCell ref="MSI39:MSK39"/>
    <mergeCell ref="MRN38:MRN39"/>
    <mergeCell ref="MRO38:MRO39"/>
    <mergeCell ref="MRP38:MRP39"/>
    <mergeCell ref="MRQ38:MRQ39"/>
    <mergeCell ref="MRR38:MRR39"/>
    <mergeCell ref="MRS38:MRU38"/>
    <mergeCell ref="MRV38:MRV39"/>
    <mergeCell ref="MRW38:MRW39"/>
    <mergeCell ref="MRX38:MRX39"/>
    <mergeCell ref="MRS39:MRU39"/>
    <mergeCell ref="MRA38:MRA39"/>
    <mergeCell ref="MRB38:MRB39"/>
    <mergeCell ref="MRC38:MRE38"/>
    <mergeCell ref="MRF38:MRF39"/>
    <mergeCell ref="MRG38:MRG39"/>
    <mergeCell ref="MRH38:MRH39"/>
    <mergeCell ref="MRI38:MRI39"/>
    <mergeCell ref="MRJ38:MRJ39"/>
    <mergeCell ref="MRK38:MRM38"/>
    <mergeCell ref="MRC39:MRE39"/>
    <mergeCell ref="MRK39:MRM39"/>
    <mergeCell ref="MQP38:MQP39"/>
    <mergeCell ref="MQQ38:MQQ39"/>
    <mergeCell ref="MQR38:MQR39"/>
    <mergeCell ref="MQS38:MQS39"/>
    <mergeCell ref="MQT38:MQT39"/>
    <mergeCell ref="MQU38:MQW38"/>
    <mergeCell ref="MQX38:MQX39"/>
    <mergeCell ref="MQY38:MQY39"/>
    <mergeCell ref="MQZ38:MQZ39"/>
    <mergeCell ref="MQU39:MQW39"/>
    <mergeCell ref="MQC38:MQC39"/>
    <mergeCell ref="MQD38:MQD39"/>
    <mergeCell ref="MQE38:MQG38"/>
    <mergeCell ref="MQH38:MQH39"/>
    <mergeCell ref="MQI38:MQI39"/>
    <mergeCell ref="MQJ38:MQJ39"/>
    <mergeCell ref="MQK38:MQK39"/>
    <mergeCell ref="MQL38:MQL39"/>
    <mergeCell ref="MQM38:MQO38"/>
    <mergeCell ref="MQE39:MQG39"/>
    <mergeCell ref="MQM39:MQO39"/>
    <mergeCell ref="MPR38:MPR39"/>
    <mergeCell ref="MPS38:MPS39"/>
    <mergeCell ref="MPT38:MPT39"/>
    <mergeCell ref="MPU38:MPU39"/>
    <mergeCell ref="MPV38:MPV39"/>
    <mergeCell ref="MPW38:MPY38"/>
    <mergeCell ref="MPZ38:MPZ39"/>
    <mergeCell ref="MQA38:MQA39"/>
    <mergeCell ref="MQB38:MQB39"/>
    <mergeCell ref="MPW39:MPY39"/>
    <mergeCell ref="MPE38:MPE39"/>
    <mergeCell ref="MPF38:MPF39"/>
    <mergeCell ref="MPG38:MPI38"/>
    <mergeCell ref="MPJ38:MPJ39"/>
    <mergeCell ref="MPK38:MPK39"/>
    <mergeCell ref="MPL38:MPL39"/>
    <mergeCell ref="MPM38:MPM39"/>
    <mergeCell ref="MPN38:MPN39"/>
    <mergeCell ref="MPO38:MPQ38"/>
    <mergeCell ref="MPG39:MPI39"/>
    <mergeCell ref="MPO39:MPQ39"/>
    <mergeCell ref="MOT38:MOT39"/>
    <mergeCell ref="MOU38:MOU39"/>
    <mergeCell ref="MOV38:MOV39"/>
    <mergeCell ref="MOW38:MOW39"/>
    <mergeCell ref="MOX38:MOX39"/>
    <mergeCell ref="MOY38:MPA38"/>
    <mergeCell ref="MPB38:MPB39"/>
    <mergeCell ref="MPC38:MPC39"/>
    <mergeCell ref="MPD38:MPD39"/>
    <mergeCell ref="MOY39:MPA39"/>
    <mergeCell ref="MOG38:MOG39"/>
    <mergeCell ref="MOH38:MOH39"/>
    <mergeCell ref="MOI38:MOK38"/>
    <mergeCell ref="MOL38:MOL39"/>
    <mergeCell ref="MOM38:MOM39"/>
    <mergeCell ref="MON38:MON39"/>
    <mergeCell ref="MOO38:MOO39"/>
    <mergeCell ref="MOP38:MOP39"/>
    <mergeCell ref="MOQ38:MOS38"/>
    <mergeCell ref="MOI39:MOK39"/>
    <mergeCell ref="MOQ39:MOS39"/>
    <mergeCell ref="MNV38:MNV39"/>
    <mergeCell ref="MNW38:MNW39"/>
    <mergeCell ref="MNX38:MNX39"/>
    <mergeCell ref="MNY38:MNY39"/>
    <mergeCell ref="MNZ38:MNZ39"/>
    <mergeCell ref="MOA38:MOC38"/>
    <mergeCell ref="MOD38:MOD39"/>
    <mergeCell ref="MOE38:MOE39"/>
    <mergeCell ref="MOF38:MOF39"/>
    <mergeCell ref="MOA39:MOC39"/>
    <mergeCell ref="MNI38:MNI39"/>
    <mergeCell ref="MNJ38:MNJ39"/>
    <mergeCell ref="MNK38:MNM38"/>
    <mergeCell ref="MNN38:MNN39"/>
    <mergeCell ref="MNO38:MNO39"/>
    <mergeCell ref="MNP38:MNP39"/>
    <mergeCell ref="MNQ38:MNQ39"/>
    <mergeCell ref="MNR38:MNR39"/>
    <mergeCell ref="MNS38:MNU38"/>
    <mergeCell ref="MNK39:MNM39"/>
    <mergeCell ref="MNS39:MNU39"/>
    <mergeCell ref="MMX38:MMX39"/>
    <mergeCell ref="MMY38:MMY39"/>
    <mergeCell ref="MMZ38:MMZ39"/>
    <mergeCell ref="MNA38:MNA39"/>
    <mergeCell ref="MNB38:MNB39"/>
    <mergeCell ref="MNC38:MNE38"/>
    <mergeCell ref="MNF38:MNF39"/>
    <mergeCell ref="MNG38:MNG39"/>
    <mergeCell ref="MNH38:MNH39"/>
    <mergeCell ref="MNC39:MNE39"/>
    <mergeCell ref="MMK38:MMK39"/>
    <mergeCell ref="MML38:MML39"/>
    <mergeCell ref="MMM38:MMO38"/>
    <mergeCell ref="MMP38:MMP39"/>
    <mergeCell ref="MMQ38:MMQ39"/>
    <mergeCell ref="MMR38:MMR39"/>
    <mergeCell ref="MMS38:MMS39"/>
    <mergeCell ref="MMT38:MMT39"/>
    <mergeCell ref="MMU38:MMW38"/>
    <mergeCell ref="MMM39:MMO39"/>
    <mergeCell ref="MMU39:MMW39"/>
    <mergeCell ref="MLZ38:MLZ39"/>
    <mergeCell ref="MMA38:MMA39"/>
    <mergeCell ref="MMB38:MMB39"/>
    <mergeCell ref="MMC38:MMC39"/>
    <mergeCell ref="MMD38:MMD39"/>
    <mergeCell ref="MME38:MMG38"/>
    <mergeCell ref="MMH38:MMH39"/>
    <mergeCell ref="MMI38:MMI39"/>
    <mergeCell ref="MMJ38:MMJ39"/>
    <mergeCell ref="MME39:MMG39"/>
    <mergeCell ref="MLM38:MLM39"/>
    <mergeCell ref="MLN38:MLN39"/>
    <mergeCell ref="MLO38:MLQ38"/>
    <mergeCell ref="MLR38:MLR39"/>
    <mergeCell ref="MLS38:MLS39"/>
    <mergeCell ref="MLT38:MLT39"/>
    <mergeCell ref="MLU38:MLU39"/>
    <mergeCell ref="MLV38:MLV39"/>
    <mergeCell ref="MLW38:MLY38"/>
    <mergeCell ref="MLO39:MLQ39"/>
    <mergeCell ref="MLW39:MLY39"/>
    <mergeCell ref="MLB38:MLB39"/>
    <mergeCell ref="MLC38:MLC39"/>
    <mergeCell ref="MLD38:MLD39"/>
    <mergeCell ref="MLE38:MLE39"/>
    <mergeCell ref="MLF38:MLF39"/>
    <mergeCell ref="MLG38:MLI38"/>
    <mergeCell ref="MLJ38:MLJ39"/>
    <mergeCell ref="MLK38:MLK39"/>
    <mergeCell ref="MLL38:MLL39"/>
    <mergeCell ref="MLG39:MLI39"/>
    <mergeCell ref="MKO38:MKO39"/>
    <mergeCell ref="MKP38:MKP39"/>
    <mergeCell ref="MKQ38:MKS38"/>
    <mergeCell ref="MKT38:MKT39"/>
    <mergeCell ref="MKU38:MKU39"/>
    <mergeCell ref="MKV38:MKV39"/>
    <mergeCell ref="MKW38:MKW39"/>
    <mergeCell ref="MKX38:MKX39"/>
    <mergeCell ref="MKY38:MLA38"/>
    <mergeCell ref="MKQ39:MKS39"/>
    <mergeCell ref="MKY39:MLA39"/>
    <mergeCell ref="MKD38:MKD39"/>
    <mergeCell ref="MKE38:MKE39"/>
    <mergeCell ref="MKF38:MKF39"/>
    <mergeCell ref="MKG38:MKG39"/>
    <mergeCell ref="MKH38:MKH39"/>
    <mergeCell ref="MKI38:MKK38"/>
    <mergeCell ref="MKL38:MKL39"/>
    <mergeCell ref="MKM38:MKM39"/>
    <mergeCell ref="MKN38:MKN39"/>
    <mergeCell ref="MKI39:MKK39"/>
    <mergeCell ref="MJQ38:MJQ39"/>
    <mergeCell ref="MJR38:MJR39"/>
    <mergeCell ref="MJS38:MJU38"/>
    <mergeCell ref="MJV38:MJV39"/>
    <mergeCell ref="MJW38:MJW39"/>
    <mergeCell ref="MJX38:MJX39"/>
    <mergeCell ref="MJY38:MJY39"/>
    <mergeCell ref="MJZ38:MJZ39"/>
    <mergeCell ref="MKA38:MKC38"/>
    <mergeCell ref="MJS39:MJU39"/>
    <mergeCell ref="MKA39:MKC39"/>
    <mergeCell ref="MJF38:MJF39"/>
    <mergeCell ref="MJG38:MJG39"/>
    <mergeCell ref="MJH38:MJH39"/>
    <mergeCell ref="MJI38:MJI39"/>
    <mergeCell ref="MJJ38:MJJ39"/>
    <mergeCell ref="MJK38:MJM38"/>
    <mergeCell ref="MJN38:MJN39"/>
    <mergeCell ref="MJO38:MJO39"/>
    <mergeCell ref="MJP38:MJP39"/>
    <mergeCell ref="MJK39:MJM39"/>
    <mergeCell ref="MIS38:MIS39"/>
    <mergeCell ref="MIT38:MIT39"/>
    <mergeCell ref="MIU38:MIW38"/>
    <mergeCell ref="MIX38:MIX39"/>
    <mergeCell ref="MIY38:MIY39"/>
    <mergeCell ref="MIZ38:MIZ39"/>
    <mergeCell ref="MJA38:MJA39"/>
    <mergeCell ref="MJB38:MJB39"/>
    <mergeCell ref="MJC38:MJE38"/>
    <mergeCell ref="MIU39:MIW39"/>
    <mergeCell ref="MJC39:MJE39"/>
    <mergeCell ref="MIH38:MIH39"/>
    <mergeCell ref="MII38:MII39"/>
    <mergeCell ref="MIJ38:MIJ39"/>
    <mergeCell ref="MIK38:MIK39"/>
    <mergeCell ref="MIL38:MIL39"/>
    <mergeCell ref="MIM38:MIO38"/>
    <mergeCell ref="MIP38:MIP39"/>
    <mergeCell ref="MIQ38:MIQ39"/>
    <mergeCell ref="MIR38:MIR39"/>
    <mergeCell ref="MIM39:MIO39"/>
    <mergeCell ref="MHU38:MHU39"/>
    <mergeCell ref="MHV38:MHV39"/>
    <mergeCell ref="MHW38:MHY38"/>
    <mergeCell ref="MHZ38:MHZ39"/>
    <mergeCell ref="MIA38:MIA39"/>
    <mergeCell ref="MIB38:MIB39"/>
    <mergeCell ref="MIC38:MIC39"/>
    <mergeCell ref="MID38:MID39"/>
    <mergeCell ref="MIE38:MIG38"/>
    <mergeCell ref="MHW39:MHY39"/>
    <mergeCell ref="MIE39:MIG39"/>
    <mergeCell ref="MHJ38:MHJ39"/>
    <mergeCell ref="MHK38:MHK39"/>
    <mergeCell ref="MHL38:MHL39"/>
    <mergeCell ref="MHM38:MHM39"/>
    <mergeCell ref="MHN38:MHN39"/>
    <mergeCell ref="MHO38:MHQ38"/>
    <mergeCell ref="MHR38:MHR39"/>
    <mergeCell ref="MHS38:MHS39"/>
    <mergeCell ref="MHT38:MHT39"/>
    <mergeCell ref="MHO39:MHQ39"/>
    <mergeCell ref="MGW38:MGW39"/>
    <mergeCell ref="MGX38:MGX39"/>
    <mergeCell ref="MGY38:MHA38"/>
    <mergeCell ref="MHB38:MHB39"/>
    <mergeCell ref="MHC38:MHC39"/>
    <mergeCell ref="MHD38:MHD39"/>
    <mergeCell ref="MHE38:MHE39"/>
    <mergeCell ref="MHF38:MHF39"/>
    <mergeCell ref="MHG38:MHI38"/>
    <mergeCell ref="MGY39:MHA39"/>
    <mergeCell ref="MHG39:MHI39"/>
    <mergeCell ref="MGL38:MGL39"/>
    <mergeCell ref="MGM38:MGM39"/>
    <mergeCell ref="MGN38:MGN39"/>
    <mergeCell ref="MGO38:MGO39"/>
    <mergeCell ref="MGP38:MGP39"/>
    <mergeCell ref="MGQ38:MGS38"/>
    <mergeCell ref="MGT38:MGT39"/>
    <mergeCell ref="MGU38:MGU39"/>
    <mergeCell ref="MGV38:MGV39"/>
    <mergeCell ref="MGQ39:MGS39"/>
    <mergeCell ref="MFY38:MFY39"/>
    <mergeCell ref="MFZ38:MFZ39"/>
    <mergeCell ref="MGA38:MGC38"/>
    <mergeCell ref="MGD38:MGD39"/>
    <mergeCell ref="MGE38:MGE39"/>
    <mergeCell ref="MGF38:MGF39"/>
    <mergeCell ref="MGG38:MGG39"/>
    <mergeCell ref="MGH38:MGH39"/>
    <mergeCell ref="MGI38:MGK38"/>
    <mergeCell ref="MGA39:MGC39"/>
    <mergeCell ref="MGI39:MGK39"/>
    <mergeCell ref="MFN38:MFN39"/>
    <mergeCell ref="MFO38:MFO39"/>
    <mergeCell ref="MFP38:MFP39"/>
    <mergeCell ref="MFQ38:MFQ39"/>
    <mergeCell ref="MFR38:MFR39"/>
    <mergeCell ref="MFS38:MFU38"/>
    <mergeCell ref="MFV38:MFV39"/>
    <mergeCell ref="MFW38:MFW39"/>
    <mergeCell ref="MFX38:MFX39"/>
    <mergeCell ref="MFS39:MFU39"/>
    <mergeCell ref="MFA38:MFA39"/>
    <mergeCell ref="MFB38:MFB39"/>
    <mergeCell ref="MFC38:MFE38"/>
    <mergeCell ref="MFF38:MFF39"/>
    <mergeCell ref="MFG38:MFG39"/>
    <mergeCell ref="MFH38:MFH39"/>
    <mergeCell ref="MFI38:MFI39"/>
    <mergeCell ref="MFJ38:MFJ39"/>
    <mergeCell ref="MFK38:MFM38"/>
    <mergeCell ref="MFC39:MFE39"/>
    <mergeCell ref="MFK39:MFM39"/>
    <mergeCell ref="MEP38:MEP39"/>
    <mergeCell ref="MEQ38:MEQ39"/>
    <mergeCell ref="MER38:MER39"/>
    <mergeCell ref="MES38:MES39"/>
    <mergeCell ref="MET38:MET39"/>
    <mergeCell ref="MEU38:MEW38"/>
    <mergeCell ref="MEX38:MEX39"/>
    <mergeCell ref="MEY38:MEY39"/>
    <mergeCell ref="MEZ38:MEZ39"/>
    <mergeCell ref="MEU39:MEW39"/>
    <mergeCell ref="MEC38:MEC39"/>
    <mergeCell ref="MED38:MED39"/>
    <mergeCell ref="MEE38:MEG38"/>
    <mergeCell ref="MEH38:MEH39"/>
    <mergeCell ref="MEI38:MEI39"/>
    <mergeCell ref="MEJ38:MEJ39"/>
    <mergeCell ref="MEK38:MEK39"/>
    <mergeCell ref="MEL38:MEL39"/>
    <mergeCell ref="MEM38:MEO38"/>
    <mergeCell ref="MEE39:MEG39"/>
    <mergeCell ref="MEM39:MEO39"/>
    <mergeCell ref="MDR38:MDR39"/>
    <mergeCell ref="MDS38:MDS39"/>
    <mergeCell ref="MDT38:MDT39"/>
    <mergeCell ref="MDU38:MDU39"/>
    <mergeCell ref="MDV38:MDV39"/>
    <mergeCell ref="MDW38:MDY38"/>
    <mergeCell ref="MDZ38:MDZ39"/>
    <mergeCell ref="MEA38:MEA39"/>
    <mergeCell ref="MEB38:MEB39"/>
    <mergeCell ref="MDW39:MDY39"/>
    <mergeCell ref="MDE38:MDE39"/>
    <mergeCell ref="MDF38:MDF39"/>
    <mergeCell ref="MDG38:MDI38"/>
    <mergeCell ref="MDJ38:MDJ39"/>
    <mergeCell ref="MDK38:MDK39"/>
    <mergeCell ref="MDL38:MDL39"/>
    <mergeCell ref="MDM38:MDM39"/>
    <mergeCell ref="MDN38:MDN39"/>
    <mergeCell ref="MDO38:MDQ38"/>
    <mergeCell ref="MDG39:MDI39"/>
    <mergeCell ref="MDO39:MDQ39"/>
    <mergeCell ref="MCT38:MCT39"/>
    <mergeCell ref="MCU38:MCU39"/>
    <mergeCell ref="MCV38:MCV39"/>
    <mergeCell ref="MCW38:MCW39"/>
    <mergeCell ref="MCX38:MCX39"/>
    <mergeCell ref="MCY38:MDA38"/>
    <mergeCell ref="MDB38:MDB39"/>
    <mergeCell ref="MDC38:MDC39"/>
    <mergeCell ref="MDD38:MDD39"/>
    <mergeCell ref="MCY39:MDA39"/>
    <mergeCell ref="MCG38:MCG39"/>
    <mergeCell ref="MCH38:MCH39"/>
    <mergeCell ref="MCI38:MCK38"/>
    <mergeCell ref="MCL38:MCL39"/>
    <mergeCell ref="MCM38:MCM39"/>
    <mergeCell ref="MCN38:MCN39"/>
    <mergeCell ref="MCO38:MCO39"/>
    <mergeCell ref="MCP38:MCP39"/>
    <mergeCell ref="MCQ38:MCS38"/>
    <mergeCell ref="MCI39:MCK39"/>
    <mergeCell ref="MCQ39:MCS39"/>
    <mergeCell ref="MBV38:MBV39"/>
    <mergeCell ref="MBW38:MBW39"/>
    <mergeCell ref="MBX38:MBX39"/>
    <mergeCell ref="MBY38:MBY39"/>
    <mergeCell ref="MBZ38:MBZ39"/>
    <mergeCell ref="MCA38:MCC38"/>
    <mergeCell ref="MCD38:MCD39"/>
    <mergeCell ref="MCE38:MCE39"/>
    <mergeCell ref="MCF38:MCF39"/>
    <mergeCell ref="MCA39:MCC39"/>
    <mergeCell ref="MBI38:MBI39"/>
    <mergeCell ref="MBJ38:MBJ39"/>
    <mergeCell ref="MBK38:MBM38"/>
    <mergeCell ref="MBN38:MBN39"/>
    <mergeCell ref="MBO38:MBO39"/>
    <mergeCell ref="MBP38:MBP39"/>
    <mergeCell ref="MBQ38:MBQ39"/>
    <mergeCell ref="MBR38:MBR39"/>
    <mergeCell ref="MBS38:MBU38"/>
    <mergeCell ref="MBK39:MBM39"/>
    <mergeCell ref="MBS39:MBU39"/>
    <mergeCell ref="MAX38:MAX39"/>
    <mergeCell ref="MAY38:MAY39"/>
    <mergeCell ref="MAZ38:MAZ39"/>
    <mergeCell ref="MBA38:MBA39"/>
    <mergeCell ref="MBB38:MBB39"/>
    <mergeCell ref="MBC38:MBE38"/>
    <mergeCell ref="MBF38:MBF39"/>
    <mergeCell ref="MBG38:MBG39"/>
    <mergeCell ref="MBH38:MBH39"/>
    <mergeCell ref="MBC39:MBE39"/>
    <mergeCell ref="MAK38:MAK39"/>
    <mergeCell ref="MAL38:MAL39"/>
    <mergeCell ref="MAM38:MAO38"/>
    <mergeCell ref="MAP38:MAP39"/>
    <mergeCell ref="MAQ38:MAQ39"/>
    <mergeCell ref="MAR38:MAR39"/>
    <mergeCell ref="MAS38:MAS39"/>
    <mergeCell ref="MAT38:MAT39"/>
    <mergeCell ref="MAU38:MAW38"/>
    <mergeCell ref="MAM39:MAO39"/>
    <mergeCell ref="MAU39:MAW39"/>
    <mergeCell ref="LZZ38:LZZ39"/>
    <mergeCell ref="MAA38:MAA39"/>
    <mergeCell ref="MAB38:MAB39"/>
    <mergeCell ref="MAC38:MAC39"/>
    <mergeCell ref="MAD38:MAD39"/>
    <mergeCell ref="MAE38:MAG38"/>
    <mergeCell ref="MAH38:MAH39"/>
    <mergeCell ref="MAI38:MAI39"/>
    <mergeCell ref="MAJ38:MAJ39"/>
    <mergeCell ref="MAE39:MAG39"/>
    <mergeCell ref="LZM38:LZM39"/>
    <mergeCell ref="LZN38:LZN39"/>
    <mergeCell ref="LZO38:LZQ38"/>
    <mergeCell ref="LZR38:LZR39"/>
    <mergeCell ref="LZS38:LZS39"/>
    <mergeCell ref="LZT38:LZT39"/>
    <mergeCell ref="LZU38:LZU39"/>
    <mergeCell ref="LZV38:LZV39"/>
    <mergeCell ref="LZW38:LZY38"/>
    <mergeCell ref="LZO39:LZQ39"/>
    <mergeCell ref="LZW39:LZY39"/>
    <mergeCell ref="LZB38:LZB39"/>
    <mergeCell ref="LZC38:LZC39"/>
    <mergeCell ref="LZD38:LZD39"/>
    <mergeCell ref="LZE38:LZE39"/>
    <mergeCell ref="LZF38:LZF39"/>
    <mergeCell ref="LZG38:LZI38"/>
    <mergeCell ref="LZJ38:LZJ39"/>
    <mergeCell ref="LZK38:LZK39"/>
    <mergeCell ref="LZL38:LZL39"/>
    <mergeCell ref="LZG39:LZI39"/>
    <mergeCell ref="LYO38:LYO39"/>
    <mergeCell ref="LYP38:LYP39"/>
    <mergeCell ref="LYQ38:LYS38"/>
    <mergeCell ref="LYT38:LYT39"/>
    <mergeCell ref="LYU38:LYU39"/>
    <mergeCell ref="LYV38:LYV39"/>
    <mergeCell ref="LYW38:LYW39"/>
    <mergeCell ref="LYX38:LYX39"/>
    <mergeCell ref="LYY38:LZA38"/>
    <mergeCell ref="LYQ39:LYS39"/>
    <mergeCell ref="LYY39:LZA39"/>
    <mergeCell ref="LYD38:LYD39"/>
    <mergeCell ref="LYE38:LYE39"/>
    <mergeCell ref="LYF38:LYF39"/>
    <mergeCell ref="LYG38:LYG39"/>
    <mergeCell ref="LYH38:LYH39"/>
    <mergeCell ref="LYI38:LYK38"/>
    <mergeCell ref="LYL38:LYL39"/>
    <mergeCell ref="LYM38:LYM39"/>
    <mergeCell ref="LYN38:LYN39"/>
    <mergeCell ref="LYI39:LYK39"/>
    <mergeCell ref="LXQ38:LXQ39"/>
    <mergeCell ref="LXR38:LXR39"/>
    <mergeCell ref="LXS38:LXU38"/>
    <mergeCell ref="LXV38:LXV39"/>
    <mergeCell ref="LXW38:LXW39"/>
    <mergeCell ref="LXX38:LXX39"/>
    <mergeCell ref="LXY38:LXY39"/>
    <mergeCell ref="LXZ38:LXZ39"/>
    <mergeCell ref="LYA38:LYC38"/>
    <mergeCell ref="LXS39:LXU39"/>
    <mergeCell ref="LYA39:LYC39"/>
    <mergeCell ref="LXF38:LXF39"/>
    <mergeCell ref="LXG38:LXG39"/>
    <mergeCell ref="LXH38:LXH39"/>
    <mergeCell ref="LXI38:LXI39"/>
    <mergeCell ref="LXJ38:LXJ39"/>
    <mergeCell ref="LXK38:LXM38"/>
    <mergeCell ref="LXN38:LXN39"/>
    <mergeCell ref="LXO38:LXO39"/>
    <mergeCell ref="LXP38:LXP39"/>
    <mergeCell ref="LXK39:LXM39"/>
    <mergeCell ref="LWS38:LWS39"/>
    <mergeCell ref="LWT38:LWT39"/>
    <mergeCell ref="LWU38:LWW38"/>
    <mergeCell ref="LWX38:LWX39"/>
    <mergeCell ref="LWY38:LWY39"/>
    <mergeCell ref="LWZ38:LWZ39"/>
    <mergeCell ref="LXA38:LXA39"/>
    <mergeCell ref="LXB38:LXB39"/>
    <mergeCell ref="LXC38:LXE38"/>
    <mergeCell ref="LWU39:LWW39"/>
    <mergeCell ref="LXC39:LXE39"/>
    <mergeCell ref="LWH38:LWH39"/>
    <mergeCell ref="LWI38:LWI39"/>
    <mergeCell ref="LWJ38:LWJ39"/>
    <mergeCell ref="LWK38:LWK39"/>
    <mergeCell ref="LWL38:LWL39"/>
    <mergeCell ref="LWM38:LWO38"/>
    <mergeCell ref="LWP38:LWP39"/>
    <mergeCell ref="LWQ38:LWQ39"/>
    <mergeCell ref="LWR38:LWR39"/>
    <mergeCell ref="LWM39:LWO39"/>
    <mergeCell ref="LVU38:LVU39"/>
    <mergeCell ref="LVV38:LVV39"/>
    <mergeCell ref="LVW38:LVY38"/>
    <mergeCell ref="LVZ38:LVZ39"/>
    <mergeCell ref="LWA38:LWA39"/>
    <mergeCell ref="LWB38:LWB39"/>
    <mergeCell ref="LWC38:LWC39"/>
    <mergeCell ref="LWD38:LWD39"/>
    <mergeCell ref="LWE38:LWG38"/>
    <mergeCell ref="LVW39:LVY39"/>
    <mergeCell ref="LWE39:LWG39"/>
    <mergeCell ref="LVJ38:LVJ39"/>
    <mergeCell ref="LVK38:LVK39"/>
    <mergeCell ref="LVL38:LVL39"/>
    <mergeCell ref="LVM38:LVM39"/>
    <mergeCell ref="LVN38:LVN39"/>
    <mergeCell ref="LVO38:LVQ38"/>
    <mergeCell ref="LVR38:LVR39"/>
    <mergeCell ref="LVS38:LVS39"/>
    <mergeCell ref="LVT38:LVT39"/>
    <mergeCell ref="LVO39:LVQ39"/>
    <mergeCell ref="LUW38:LUW39"/>
    <mergeCell ref="LUX38:LUX39"/>
    <mergeCell ref="LUY38:LVA38"/>
    <mergeCell ref="LVB38:LVB39"/>
    <mergeCell ref="LVC38:LVC39"/>
    <mergeCell ref="LVD38:LVD39"/>
    <mergeCell ref="LVE38:LVE39"/>
    <mergeCell ref="LVF38:LVF39"/>
    <mergeCell ref="LVG38:LVI38"/>
    <mergeCell ref="LUY39:LVA39"/>
    <mergeCell ref="LVG39:LVI39"/>
    <mergeCell ref="LUL38:LUL39"/>
    <mergeCell ref="LUM38:LUM39"/>
    <mergeCell ref="LUN38:LUN39"/>
    <mergeCell ref="LUO38:LUO39"/>
    <mergeCell ref="LUP38:LUP39"/>
    <mergeCell ref="LUQ38:LUS38"/>
    <mergeCell ref="LUT38:LUT39"/>
    <mergeCell ref="LUU38:LUU39"/>
    <mergeCell ref="LUV38:LUV39"/>
    <mergeCell ref="LUQ39:LUS39"/>
    <mergeCell ref="LTY38:LTY39"/>
    <mergeCell ref="LTZ38:LTZ39"/>
    <mergeCell ref="LUA38:LUC38"/>
    <mergeCell ref="LUD38:LUD39"/>
    <mergeCell ref="LUE38:LUE39"/>
    <mergeCell ref="LUF38:LUF39"/>
    <mergeCell ref="LUG38:LUG39"/>
    <mergeCell ref="LUH38:LUH39"/>
    <mergeCell ref="LUI38:LUK38"/>
    <mergeCell ref="LUA39:LUC39"/>
    <mergeCell ref="LUI39:LUK39"/>
    <mergeCell ref="LTN38:LTN39"/>
    <mergeCell ref="LTO38:LTO39"/>
    <mergeCell ref="LTP38:LTP39"/>
    <mergeCell ref="LTQ38:LTQ39"/>
    <mergeCell ref="LTR38:LTR39"/>
    <mergeCell ref="LTS38:LTU38"/>
    <mergeCell ref="LTV38:LTV39"/>
    <mergeCell ref="LTW38:LTW39"/>
    <mergeCell ref="LTX38:LTX39"/>
    <mergeCell ref="LTS39:LTU39"/>
    <mergeCell ref="LTA38:LTA39"/>
    <mergeCell ref="LTB38:LTB39"/>
    <mergeCell ref="LTC38:LTE38"/>
    <mergeCell ref="LTF38:LTF39"/>
    <mergeCell ref="LTG38:LTG39"/>
    <mergeCell ref="LTH38:LTH39"/>
    <mergeCell ref="LTI38:LTI39"/>
    <mergeCell ref="LTJ38:LTJ39"/>
    <mergeCell ref="LTK38:LTM38"/>
    <mergeCell ref="LTC39:LTE39"/>
    <mergeCell ref="LTK39:LTM39"/>
    <mergeCell ref="LSP38:LSP39"/>
    <mergeCell ref="LSQ38:LSQ39"/>
    <mergeCell ref="LSR38:LSR39"/>
    <mergeCell ref="LSS38:LSS39"/>
    <mergeCell ref="LST38:LST39"/>
    <mergeCell ref="LSU38:LSW38"/>
    <mergeCell ref="LSX38:LSX39"/>
    <mergeCell ref="LSY38:LSY39"/>
    <mergeCell ref="LSZ38:LSZ39"/>
    <mergeCell ref="LSU39:LSW39"/>
    <mergeCell ref="LSC38:LSC39"/>
    <mergeCell ref="LSD38:LSD39"/>
    <mergeCell ref="LSE38:LSG38"/>
    <mergeCell ref="LSH38:LSH39"/>
    <mergeCell ref="LSI38:LSI39"/>
    <mergeCell ref="LSJ38:LSJ39"/>
    <mergeCell ref="LSK38:LSK39"/>
    <mergeCell ref="LSL38:LSL39"/>
    <mergeCell ref="LSM38:LSO38"/>
    <mergeCell ref="LSE39:LSG39"/>
    <mergeCell ref="LSM39:LSO39"/>
    <mergeCell ref="LRR38:LRR39"/>
    <mergeCell ref="LRS38:LRS39"/>
    <mergeCell ref="LRT38:LRT39"/>
    <mergeCell ref="LRU38:LRU39"/>
    <mergeCell ref="LRV38:LRV39"/>
    <mergeCell ref="LRW38:LRY38"/>
    <mergeCell ref="LRZ38:LRZ39"/>
    <mergeCell ref="LSA38:LSA39"/>
    <mergeCell ref="LSB38:LSB39"/>
    <mergeCell ref="LRW39:LRY39"/>
    <mergeCell ref="LRE38:LRE39"/>
    <mergeCell ref="LRF38:LRF39"/>
    <mergeCell ref="LRG38:LRI38"/>
    <mergeCell ref="LRJ38:LRJ39"/>
    <mergeCell ref="LRK38:LRK39"/>
    <mergeCell ref="LRL38:LRL39"/>
    <mergeCell ref="LRM38:LRM39"/>
    <mergeCell ref="LRN38:LRN39"/>
    <mergeCell ref="LRO38:LRQ38"/>
    <mergeCell ref="LRG39:LRI39"/>
    <mergeCell ref="LRO39:LRQ39"/>
    <mergeCell ref="LQT38:LQT39"/>
    <mergeCell ref="LQU38:LQU39"/>
    <mergeCell ref="LQV38:LQV39"/>
    <mergeCell ref="LQW38:LQW39"/>
    <mergeCell ref="LQX38:LQX39"/>
    <mergeCell ref="LQY38:LRA38"/>
    <mergeCell ref="LRB38:LRB39"/>
    <mergeCell ref="LRC38:LRC39"/>
    <mergeCell ref="LRD38:LRD39"/>
    <mergeCell ref="LQY39:LRA39"/>
    <mergeCell ref="LQG38:LQG39"/>
    <mergeCell ref="LQH38:LQH39"/>
    <mergeCell ref="LQI38:LQK38"/>
    <mergeCell ref="LQL38:LQL39"/>
    <mergeCell ref="LQM38:LQM39"/>
    <mergeCell ref="LQN38:LQN39"/>
    <mergeCell ref="LQO38:LQO39"/>
    <mergeCell ref="LQP38:LQP39"/>
    <mergeCell ref="LQQ38:LQS38"/>
    <mergeCell ref="LQI39:LQK39"/>
    <mergeCell ref="LQQ39:LQS39"/>
    <mergeCell ref="LPV38:LPV39"/>
    <mergeCell ref="LPW38:LPW39"/>
    <mergeCell ref="LPX38:LPX39"/>
    <mergeCell ref="LPY38:LPY39"/>
    <mergeCell ref="LPZ38:LPZ39"/>
    <mergeCell ref="LQA38:LQC38"/>
    <mergeCell ref="LQD38:LQD39"/>
    <mergeCell ref="LQE38:LQE39"/>
    <mergeCell ref="LQF38:LQF39"/>
    <mergeCell ref="LQA39:LQC39"/>
    <mergeCell ref="LPI38:LPI39"/>
    <mergeCell ref="LPJ38:LPJ39"/>
    <mergeCell ref="LPK38:LPM38"/>
    <mergeCell ref="LPN38:LPN39"/>
    <mergeCell ref="LPO38:LPO39"/>
    <mergeCell ref="LPP38:LPP39"/>
    <mergeCell ref="LPQ38:LPQ39"/>
    <mergeCell ref="LPR38:LPR39"/>
    <mergeCell ref="LPS38:LPU38"/>
    <mergeCell ref="LPK39:LPM39"/>
    <mergeCell ref="LPS39:LPU39"/>
    <mergeCell ref="LOX38:LOX39"/>
    <mergeCell ref="LOY38:LOY39"/>
    <mergeCell ref="LOZ38:LOZ39"/>
    <mergeCell ref="LPA38:LPA39"/>
    <mergeCell ref="LPB38:LPB39"/>
    <mergeCell ref="LPC38:LPE38"/>
    <mergeCell ref="LPF38:LPF39"/>
    <mergeCell ref="LPG38:LPG39"/>
    <mergeCell ref="LPH38:LPH39"/>
    <mergeCell ref="LPC39:LPE39"/>
    <mergeCell ref="LOK38:LOK39"/>
    <mergeCell ref="LOL38:LOL39"/>
    <mergeCell ref="LOM38:LOO38"/>
    <mergeCell ref="LOP38:LOP39"/>
    <mergeCell ref="LOQ38:LOQ39"/>
    <mergeCell ref="LOR38:LOR39"/>
    <mergeCell ref="LOS38:LOS39"/>
    <mergeCell ref="LOT38:LOT39"/>
    <mergeCell ref="LOU38:LOW38"/>
    <mergeCell ref="LOM39:LOO39"/>
    <mergeCell ref="LOU39:LOW39"/>
    <mergeCell ref="LNZ38:LNZ39"/>
    <mergeCell ref="LOA38:LOA39"/>
    <mergeCell ref="LOB38:LOB39"/>
    <mergeCell ref="LOC38:LOC39"/>
    <mergeCell ref="LOD38:LOD39"/>
    <mergeCell ref="LOE38:LOG38"/>
    <mergeCell ref="LOH38:LOH39"/>
    <mergeCell ref="LOI38:LOI39"/>
    <mergeCell ref="LOJ38:LOJ39"/>
    <mergeCell ref="LOE39:LOG39"/>
    <mergeCell ref="LNM38:LNM39"/>
    <mergeCell ref="LNN38:LNN39"/>
    <mergeCell ref="LNO38:LNQ38"/>
    <mergeCell ref="LNR38:LNR39"/>
    <mergeCell ref="LNS38:LNS39"/>
    <mergeCell ref="LNT38:LNT39"/>
    <mergeCell ref="LNU38:LNU39"/>
    <mergeCell ref="LNV38:LNV39"/>
    <mergeCell ref="LNW38:LNY38"/>
    <mergeCell ref="LNO39:LNQ39"/>
    <mergeCell ref="LNW39:LNY39"/>
    <mergeCell ref="LNB38:LNB39"/>
    <mergeCell ref="LNC38:LNC39"/>
    <mergeCell ref="LND38:LND39"/>
    <mergeCell ref="LNE38:LNE39"/>
    <mergeCell ref="LNF38:LNF39"/>
    <mergeCell ref="LNG38:LNI38"/>
    <mergeCell ref="LNJ38:LNJ39"/>
    <mergeCell ref="LNK38:LNK39"/>
    <mergeCell ref="LNL38:LNL39"/>
    <mergeCell ref="LNG39:LNI39"/>
    <mergeCell ref="LMO38:LMO39"/>
    <mergeCell ref="LMP38:LMP39"/>
    <mergeCell ref="LMQ38:LMS38"/>
    <mergeCell ref="LMT38:LMT39"/>
    <mergeCell ref="LMU38:LMU39"/>
    <mergeCell ref="LMV38:LMV39"/>
    <mergeCell ref="LMW38:LMW39"/>
    <mergeCell ref="LMX38:LMX39"/>
    <mergeCell ref="LMY38:LNA38"/>
    <mergeCell ref="LMQ39:LMS39"/>
    <mergeCell ref="LMY39:LNA39"/>
    <mergeCell ref="LMD38:LMD39"/>
    <mergeCell ref="LME38:LME39"/>
    <mergeCell ref="LMF38:LMF39"/>
    <mergeCell ref="LMG38:LMG39"/>
    <mergeCell ref="LMH38:LMH39"/>
    <mergeCell ref="LMI38:LMK38"/>
    <mergeCell ref="LML38:LML39"/>
    <mergeCell ref="LMM38:LMM39"/>
    <mergeCell ref="LMN38:LMN39"/>
    <mergeCell ref="LMI39:LMK39"/>
    <mergeCell ref="LLQ38:LLQ39"/>
    <mergeCell ref="LLR38:LLR39"/>
    <mergeCell ref="LLS38:LLU38"/>
    <mergeCell ref="LLV38:LLV39"/>
    <mergeCell ref="LLW38:LLW39"/>
    <mergeCell ref="LLX38:LLX39"/>
    <mergeCell ref="LLY38:LLY39"/>
    <mergeCell ref="LLZ38:LLZ39"/>
    <mergeCell ref="LMA38:LMC38"/>
    <mergeCell ref="LLS39:LLU39"/>
    <mergeCell ref="LMA39:LMC39"/>
    <mergeCell ref="LLF38:LLF39"/>
    <mergeCell ref="LLG38:LLG39"/>
    <mergeCell ref="LLH38:LLH39"/>
    <mergeCell ref="LLI38:LLI39"/>
    <mergeCell ref="LLJ38:LLJ39"/>
    <mergeCell ref="LLK38:LLM38"/>
    <mergeCell ref="LLN38:LLN39"/>
    <mergeCell ref="LLO38:LLO39"/>
    <mergeCell ref="LLP38:LLP39"/>
    <mergeCell ref="LLK39:LLM39"/>
    <mergeCell ref="LKS38:LKS39"/>
    <mergeCell ref="LKT38:LKT39"/>
    <mergeCell ref="LKU38:LKW38"/>
    <mergeCell ref="LKX38:LKX39"/>
    <mergeCell ref="LKY38:LKY39"/>
    <mergeCell ref="LKZ38:LKZ39"/>
    <mergeCell ref="LLA38:LLA39"/>
    <mergeCell ref="LLB38:LLB39"/>
    <mergeCell ref="LLC38:LLE38"/>
    <mergeCell ref="LKU39:LKW39"/>
    <mergeCell ref="LLC39:LLE39"/>
    <mergeCell ref="LKH38:LKH39"/>
    <mergeCell ref="LKI38:LKI39"/>
    <mergeCell ref="LKJ38:LKJ39"/>
    <mergeCell ref="LKK38:LKK39"/>
    <mergeCell ref="LKL38:LKL39"/>
    <mergeCell ref="LKM38:LKO38"/>
    <mergeCell ref="LKP38:LKP39"/>
    <mergeCell ref="LKQ38:LKQ39"/>
    <mergeCell ref="LKR38:LKR39"/>
    <mergeCell ref="LKM39:LKO39"/>
    <mergeCell ref="LJU38:LJU39"/>
    <mergeCell ref="LJV38:LJV39"/>
    <mergeCell ref="LJW38:LJY38"/>
    <mergeCell ref="LJZ38:LJZ39"/>
    <mergeCell ref="LKA38:LKA39"/>
    <mergeCell ref="LKB38:LKB39"/>
    <mergeCell ref="LKC38:LKC39"/>
    <mergeCell ref="LKD38:LKD39"/>
    <mergeCell ref="LKE38:LKG38"/>
    <mergeCell ref="LJW39:LJY39"/>
    <mergeCell ref="LKE39:LKG39"/>
    <mergeCell ref="LJJ38:LJJ39"/>
    <mergeCell ref="LJK38:LJK39"/>
    <mergeCell ref="LJL38:LJL39"/>
    <mergeCell ref="LJM38:LJM39"/>
    <mergeCell ref="LJN38:LJN39"/>
    <mergeCell ref="LJO38:LJQ38"/>
    <mergeCell ref="LJR38:LJR39"/>
    <mergeCell ref="LJS38:LJS39"/>
    <mergeCell ref="LJT38:LJT39"/>
    <mergeCell ref="LJO39:LJQ39"/>
    <mergeCell ref="LIW38:LIW39"/>
    <mergeCell ref="LIX38:LIX39"/>
    <mergeCell ref="LIY38:LJA38"/>
    <mergeCell ref="LJB38:LJB39"/>
    <mergeCell ref="LJC38:LJC39"/>
    <mergeCell ref="LJD38:LJD39"/>
    <mergeCell ref="LJE38:LJE39"/>
    <mergeCell ref="LJF38:LJF39"/>
    <mergeCell ref="LJG38:LJI38"/>
    <mergeCell ref="LIY39:LJA39"/>
    <mergeCell ref="LJG39:LJI39"/>
    <mergeCell ref="LIL38:LIL39"/>
    <mergeCell ref="LIM38:LIM39"/>
    <mergeCell ref="LIN38:LIN39"/>
    <mergeCell ref="LIO38:LIO39"/>
    <mergeCell ref="LIP38:LIP39"/>
    <mergeCell ref="LIQ38:LIS38"/>
    <mergeCell ref="LIT38:LIT39"/>
    <mergeCell ref="LIU38:LIU39"/>
    <mergeCell ref="LIV38:LIV39"/>
    <mergeCell ref="LIQ39:LIS39"/>
    <mergeCell ref="LHY38:LHY39"/>
    <mergeCell ref="LHZ38:LHZ39"/>
    <mergeCell ref="LIA38:LIC38"/>
    <mergeCell ref="LID38:LID39"/>
    <mergeCell ref="LIE38:LIE39"/>
    <mergeCell ref="LIF38:LIF39"/>
    <mergeCell ref="LIG38:LIG39"/>
    <mergeCell ref="LIH38:LIH39"/>
    <mergeCell ref="LII38:LIK38"/>
    <mergeCell ref="LIA39:LIC39"/>
    <mergeCell ref="LII39:LIK39"/>
    <mergeCell ref="LHN38:LHN39"/>
    <mergeCell ref="LHO38:LHO39"/>
    <mergeCell ref="LHP38:LHP39"/>
    <mergeCell ref="LHQ38:LHQ39"/>
    <mergeCell ref="LHR38:LHR39"/>
    <mergeCell ref="LHS38:LHU38"/>
    <mergeCell ref="LHV38:LHV39"/>
    <mergeCell ref="LHW38:LHW39"/>
    <mergeCell ref="LHX38:LHX39"/>
    <mergeCell ref="LHS39:LHU39"/>
    <mergeCell ref="LHA38:LHA39"/>
    <mergeCell ref="LHB38:LHB39"/>
    <mergeCell ref="LHC38:LHE38"/>
    <mergeCell ref="LHF38:LHF39"/>
    <mergeCell ref="LHG38:LHG39"/>
    <mergeCell ref="LHH38:LHH39"/>
    <mergeCell ref="LHI38:LHI39"/>
    <mergeCell ref="LHJ38:LHJ39"/>
    <mergeCell ref="LHK38:LHM38"/>
    <mergeCell ref="LHC39:LHE39"/>
    <mergeCell ref="LHK39:LHM39"/>
    <mergeCell ref="LGP38:LGP39"/>
    <mergeCell ref="LGQ38:LGQ39"/>
    <mergeCell ref="LGR38:LGR39"/>
    <mergeCell ref="LGS38:LGS39"/>
    <mergeCell ref="LGT38:LGT39"/>
    <mergeCell ref="LGU38:LGW38"/>
    <mergeCell ref="LGX38:LGX39"/>
    <mergeCell ref="LGY38:LGY39"/>
    <mergeCell ref="LGZ38:LGZ39"/>
    <mergeCell ref="LGU39:LGW39"/>
    <mergeCell ref="LGC38:LGC39"/>
    <mergeCell ref="LGD38:LGD39"/>
    <mergeCell ref="LGE38:LGG38"/>
    <mergeCell ref="LGH38:LGH39"/>
    <mergeCell ref="LGI38:LGI39"/>
    <mergeCell ref="LGJ38:LGJ39"/>
    <mergeCell ref="LGK38:LGK39"/>
    <mergeCell ref="LGL38:LGL39"/>
    <mergeCell ref="LGM38:LGO38"/>
    <mergeCell ref="LGE39:LGG39"/>
    <mergeCell ref="LGM39:LGO39"/>
    <mergeCell ref="LFR38:LFR39"/>
    <mergeCell ref="LFS38:LFS39"/>
    <mergeCell ref="LFT38:LFT39"/>
    <mergeCell ref="LFU38:LFU39"/>
    <mergeCell ref="LFV38:LFV39"/>
    <mergeCell ref="LFW38:LFY38"/>
    <mergeCell ref="LFZ38:LFZ39"/>
    <mergeCell ref="LGA38:LGA39"/>
    <mergeCell ref="LGB38:LGB39"/>
    <mergeCell ref="LFW39:LFY39"/>
    <mergeCell ref="LFE38:LFE39"/>
    <mergeCell ref="LFF38:LFF39"/>
    <mergeCell ref="LFG38:LFI38"/>
    <mergeCell ref="LFJ38:LFJ39"/>
    <mergeCell ref="LFK38:LFK39"/>
    <mergeCell ref="LFL38:LFL39"/>
    <mergeCell ref="LFM38:LFM39"/>
    <mergeCell ref="LFN38:LFN39"/>
    <mergeCell ref="LFO38:LFQ38"/>
    <mergeCell ref="LFG39:LFI39"/>
    <mergeCell ref="LFO39:LFQ39"/>
    <mergeCell ref="LET38:LET39"/>
    <mergeCell ref="LEU38:LEU39"/>
    <mergeCell ref="LEV38:LEV39"/>
    <mergeCell ref="LEW38:LEW39"/>
    <mergeCell ref="LEX38:LEX39"/>
    <mergeCell ref="LEY38:LFA38"/>
    <mergeCell ref="LFB38:LFB39"/>
    <mergeCell ref="LFC38:LFC39"/>
    <mergeCell ref="LFD38:LFD39"/>
    <mergeCell ref="LEY39:LFA39"/>
    <mergeCell ref="LEG38:LEG39"/>
    <mergeCell ref="LEH38:LEH39"/>
    <mergeCell ref="LEI38:LEK38"/>
    <mergeCell ref="LEL38:LEL39"/>
    <mergeCell ref="LEM38:LEM39"/>
    <mergeCell ref="LEN38:LEN39"/>
    <mergeCell ref="LEO38:LEO39"/>
    <mergeCell ref="LEP38:LEP39"/>
    <mergeCell ref="LEQ38:LES38"/>
    <mergeCell ref="LEI39:LEK39"/>
    <mergeCell ref="LEQ39:LES39"/>
    <mergeCell ref="LDV38:LDV39"/>
    <mergeCell ref="LDW38:LDW39"/>
    <mergeCell ref="LDX38:LDX39"/>
    <mergeCell ref="LDY38:LDY39"/>
    <mergeCell ref="LDZ38:LDZ39"/>
    <mergeCell ref="LEA38:LEC38"/>
    <mergeCell ref="LED38:LED39"/>
    <mergeCell ref="LEE38:LEE39"/>
    <mergeCell ref="LEF38:LEF39"/>
    <mergeCell ref="LEA39:LEC39"/>
    <mergeCell ref="LDI38:LDI39"/>
    <mergeCell ref="LDJ38:LDJ39"/>
    <mergeCell ref="LDK38:LDM38"/>
    <mergeCell ref="LDN38:LDN39"/>
    <mergeCell ref="LDO38:LDO39"/>
    <mergeCell ref="LDP38:LDP39"/>
    <mergeCell ref="LDQ38:LDQ39"/>
    <mergeCell ref="LDR38:LDR39"/>
    <mergeCell ref="LDS38:LDU38"/>
    <mergeCell ref="LDK39:LDM39"/>
    <mergeCell ref="LDS39:LDU39"/>
    <mergeCell ref="LCX38:LCX39"/>
    <mergeCell ref="LCY38:LCY39"/>
    <mergeCell ref="LCZ38:LCZ39"/>
    <mergeCell ref="LDA38:LDA39"/>
    <mergeCell ref="LDB38:LDB39"/>
    <mergeCell ref="LDC38:LDE38"/>
    <mergeCell ref="LDF38:LDF39"/>
    <mergeCell ref="LDG38:LDG39"/>
    <mergeCell ref="LDH38:LDH39"/>
    <mergeCell ref="LDC39:LDE39"/>
    <mergeCell ref="LCK38:LCK39"/>
    <mergeCell ref="LCL38:LCL39"/>
    <mergeCell ref="LCM38:LCO38"/>
    <mergeCell ref="LCP38:LCP39"/>
    <mergeCell ref="LCQ38:LCQ39"/>
    <mergeCell ref="LCR38:LCR39"/>
    <mergeCell ref="LCS38:LCS39"/>
    <mergeCell ref="LCT38:LCT39"/>
    <mergeCell ref="LCU38:LCW38"/>
    <mergeCell ref="LCM39:LCO39"/>
    <mergeCell ref="LCU39:LCW39"/>
    <mergeCell ref="LBZ38:LBZ39"/>
    <mergeCell ref="LCA38:LCA39"/>
    <mergeCell ref="LCB38:LCB39"/>
    <mergeCell ref="LCC38:LCC39"/>
    <mergeCell ref="LCD38:LCD39"/>
    <mergeCell ref="LCE38:LCG38"/>
    <mergeCell ref="LCH38:LCH39"/>
    <mergeCell ref="LCI38:LCI39"/>
    <mergeCell ref="LCJ38:LCJ39"/>
    <mergeCell ref="LCE39:LCG39"/>
    <mergeCell ref="LBM38:LBM39"/>
    <mergeCell ref="LBN38:LBN39"/>
    <mergeCell ref="LBO38:LBQ38"/>
    <mergeCell ref="LBR38:LBR39"/>
    <mergeCell ref="LBS38:LBS39"/>
    <mergeCell ref="LBT38:LBT39"/>
    <mergeCell ref="LBU38:LBU39"/>
    <mergeCell ref="LBV38:LBV39"/>
    <mergeCell ref="LBW38:LBY38"/>
    <mergeCell ref="LBO39:LBQ39"/>
    <mergeCell ref="LBW39:LBY39"/>
    <mergeCell ref="LBB38:LBB39"/>
    <mergeCell ref="LBC38:LBC39"/>
    <mergeCell ref="LBD38:LBD39"/>
    <mergeCell ref="LBE38:LBE39"/>
    <mergeCell ref="LBF38:LBF39"/>
    <mergeCell ref="LBG38:LBI38"/>
    <mergeCell ref="LBJ38:LBJ39"/>
    <mergeCell ref="LBK38:LBK39"/>
    <mergeCell ref="LBL38:LBL39"/>
    <mergeCell ref="LBG39:LBI39"/>
    <mergeCell ref="LAO38:LAO39"/>
    <mergeCell ref="LAP38:LAP39"/>
    <mergeCell ref="LAQ38:LAS38"/>
    <mergeCell ref="LAT38:LAT39"/>
    <mergeCell ref="LAU38:LAU39"/>
    <mergeCell ref="LAV38:LAV39"/>
    <mergeCell ref="LAW38:LAW39"/>
    <mergeCell ref="LAX38:LAX39"/>
    <mergeCell ref="LAY38:LBA38"/>
    <mergeCell ref="LAQ39:LAS39"/>
    <mergeCell ref="LAY39:LBA39"/>
    <mergeCell ref="LAD38:LAD39"/>
    <mergeCell ref="LAE38:LAE39"/>
    <mergeCell ref="LAF38:LAF39"/>
    <mergeCell ref="LAG38:LAG39"/>
    <mergeCell ref="LAH38:LAH39"/>
    <mergeCell ref="LAI38:LAK38"/>
    <mergeCell ref="LAL38:LAL39"/>
    <mergeCell ref="LAM38:LAM39"/>
    <mergeCell ref="LAN38:LAN39"/>
    <mergeCell ref="LAI39:LAK39"/>
    <mergeCell ref="KZQ38:KZQ39"/>
    <mergeCell ref="KZR38:KZR39"/>
    <mergeCell ref="KZS38:KZU38"/>
    <mergeCell ref="KZV38:KZV39"/>
    <mergeCell ref="KZW38:KZW39"/>
    <mergeCell ref="KZX38:KZX39"/>
    <mergeCell ref="KZY38:KZY39"/>
    <mergeCell ref="KZZ38:KZZ39"/>
    <mergeCell ref="LAA38:LAC38"/>
    <mergeCell ref="KZS39:KZU39"/>
    <mergeCell ref="LAA39:LAC39"/>
    <mergeCell ref="KZF38:KZF39"/>
    <mergeCell ref="KZG38:KZG39"/>
    <mergeCell ref="KZH38:KZH39"/>
    <mergeCell ref="KZI38:KZI39"/>
    <mergeCell ref="KZJ38:KZJ39"/>
    <mergeCell ref="KZK38:KZM38"/>
    <mergeCell ref="KZN38:KZN39"/>
    <mergeCell ref="KZO38:KZO39"/>
    <mergeCell ref="KZP38:KZP39"/>
    <mergeCell ref="KZK39:KZM39"/>
    <mergeCell ref="KYS38:KYS39"/>
    <mergeCell ref="KYT38:KYT39"/>
    <mergeCell ref="KYU38:KYW38"/>
    <mergeCell ref="KYX38:KYX39"/>
    <mergeCell ref="KYY38:KYY39"/>
    <mergeCell ref="KYZ38:KYZ39"/>
    <mergeCell ref="KZA38:KZA39"/>
    <mergeCell ref="KZB38:KZB39"/>
    <mergeCell ref="KZC38:KZE38"/>
    <mergeCell ref="KYU39:KYW39"/>
    <mergeCell ref="KZC39:KZE39"/>
    <mergeCell ref="KYH38:KYH39"/>
    <mergeCell ref="KYI38:KYI39"/>
    <mergeCell ref="KYJ38:KYJ39"/>
    <mergeCell ref="KYK38:KYK39"/>
    <mergeCell ref="KYL38:KYL39"/>
    <mergeCell ref="KYM38:KYO38"/>
    <mergeCell ref="KYP38:KYP39"/>
    <mergeCell ref="KYQ38:KYQ39"/>
    <mergeCell ref="KYR38:KYR39"/>
    <mergeCell ref="KYM39:KYO39"/>
    <mergeCell ref="KXU38:KXU39"/>
    <mergeCell ref="KXV38:KXV39"/>
    <mergeCell ref="KXW38:KXY38"/>
    <mergeCell ref="KXZ38:KXZ39"/>
    <mergeCell ref="KYA38:KYA39"/>
    <mergeCell ref="KYB38:KYB39"/>
    <mergeCell ref="KYC38:KYC39"/>
    <mergeCell ref="KYD38:KYD39"/>
    <mergeCell ref="KYE38:KYG38"/>
    <mergeCell ref="KXW39:KXY39"/>
    <mergeCell ref="KYE39:KYG39"/>
    <mergeCell ref="KXJ38:KXJ39"/>
    <mergeCell ref="KXK38:KXK39"/>
    <mergeCell ref="KXL38:KXL39"/>
    <mergeCell ref="KXM38:KXM39"/>
    <mergeCell ref="KXN38:KXN39"/>
    <mergeCell ref="KXO38:KXQ38"/>
    <mergeCell ref="KXR38:KXR39"/>
    <mergeCell ref="KXS38:KXS39"/>
    <mergeCell ref="KXT38:KXT39"/>
    <mergeCell ref="KXO39:KXQ39"/>
    <mergeCell ref="KWW38:KWW39"/>
    <mergeCell ref="KWX38:KWX39"/>
    <mergeCell ref="KWY38:KXA38"/>
    <mergeCell ref="KXB38:KXB39"/>
    <mergeCell ref="KXC38:KXC39"/>
    <mergeCell ref="KXD38:KXD39"/>
    <mergeCell ref="KXE38:KXE39"/>
    <mergeCell ref="KXF38:KXF39"/>
    <mergeCell ref="KXG38:KXI38"/>
    <mergeCell ref="KWY39:KXA39"/>
    <mergeCell ref="KXG39:KXI39"/>
    <mergeCell ref="KWL38:KWL39"/>
    <mergeCell ref="KWM38:KWM39"/>
    <mergeCell ref="KWN38:KWN39"/>
    <mergeCell ref="KWO38:KWO39"/>
    <mergeCell ref="KWP38:KWP39"/>
    <mergeCell ref="KWQ38:KWS38"/>
    <mergeCell ref="KWT38:KWT39"/>
    <mergeCell ref="KWU38:KWU39"/>
    <mergeCell ref="KWV38:KWV39"/>
    <mergeCell ref="KWQ39:KWS39"/>
    <mergeCell ref="KVY38:KVY39"/>
    <mergeCell ref="KVZ38:KVZ39"/>
    <mergeCell ref="KWA38:KWC38"/>
    <mergeCell ref="KWD38:KWD39"/>
    <mergeCell ref="KWE38:KWE39"/>
    <mergeCell ref="KWF38:KWF39"/>
    <mergeCell ref="KWG38:KWG39"/>
    <mergeCell ref="KWH38:KWH39"/>
    <mergeCell ref="KWI38:KWK38"/>
    <mergeCell ref="KWA39:KWC39"/>
    <mergeCell ref="KWI39:KWK39"/>
    <mergeCell ref="KVN38:KVN39"/>
    <mergeCell ref="KVO38:KVO39"/>
    <mergeCell ref="KVP38:KVP39"/>
    <mergeCell ref="KVQ38:KVQ39"/>
    <mergeCell ref="KVR38:KVR39"/>
    <mergeCell ref="KVS38:KVU38"/>
    <mergeCell ref="KVV38:KVV39"/>
    <mergeCell ref="KVW38:KVW39"/>
    <mergeCell ref="KVX38:KVX39"/>
    <mergeCell ref="KVS39:KVU39"/>
    <mergeCell ref="KVA38:KVA39"/>
    <mergeCell ref="KVB38:KVB39"/>
    <mergeCell ref="KVC38:KVE38"/>
    <mergeCell ref="KVF38:KVF39"/>
    <mergeCell ref="KVG38:KVG39"/>
    <mergeCell ref="KVH38:KVH39"/>
    <mergeCell ref="KVI38:KVI39"/>
    <mergeCell ref="KVJ38:KVJ39"/>
    <mergeCell ref="KVK38:KVM38"/>
    <mergeCell ref="KVC39:KVE39"/>
    <mergeCell ref="KVK39:KVM39"/>
    <mergeCell ref="KUP38:KUP39"/>
    <mergeCell ref="KUQ38:KUQ39"/>
    <mergeCell ref="KUR38:KUR39"/>
    <mergeCell ref="KUS38:KUS39"/>
    <mergeCell ref="KUT38:KUT39"/>
    <mergeCell ref="KUU38:KUW38"/>
    <mergeCell ref="KUX38:KUX39"/>
    <mergeCell ref="KUY38:KUY39"/>
    <mergeCell ref="KUZ38:KUZ39"/>
    <mergeCell ref="KUU39:KUW39"/>
    <mergeCell ref="KUC38:KUC39"/>
    <mergeCell ref="KUD38:KUD39"/>
    <mergeCell ref="KUE38:KUG38"/>
    <mergeCell ref="KUH38:KUH39"/>
    <mergeCell ref="KUI38:KUI39"/>
    <mergeCell ref="KUJ38:KUJ39"/>
    <mergeCell ref="KUK38:KUK39"/>
    <mergeCell ref="KUL38:KUL39"/>
    <mergeCell ref="KUM38:KUO38"/>
    <mergeCell ref="KUE39:KUG39"/>
    <mergeCell ref="KUM39:KUO39"/>
    <mergeCell ref="KTR38:KTR39"/>
    <mergeCell ref="KTS38:KTS39"/>
    <mergeCell ref="KTT38:KTT39"/>
    <mergeCell ref="KTU38:KTU39"/>
    <mergeCell ref="KTV38:KTV39"/>
    <mergeCell ref="KTW38:KTY38"/>
    <mergeCell ref="KTZ38:KTZ39"/>
    <mergeCell ref="KUA38:KUA39"/>
    <mergeCell ref="KUB38:KUB39"/>
    <mergeCell ref="KTW39:KTY39"/>
    <mergeCell ref="KTE38:KTE39"/>
    <mergeCell ref="KTF38:KTF39"/>
    <mergeCell ref="KTG38:KTI38"/>
    <mergeCell ref="KTJ38:KTJ39"/>
    <mergeCell ref="KTK38:KTK39"/>
    <mergeCell ref="KTL38:KTL39"/>
    <mergeCell ref="KTM38:KTM39"/>
    <mergeCell ref="KTN38:KTN39"/>
    <mergeCell ref="KTO38:KTQ38"/>
    <mergeCell ref="KTG39:KTI39"/>
    <mergeCell ref="KTO39:KTQ39"/>
    <mergeCell ref="KST38:KST39"/>
    <mergeCell ref="KSU38:KSU39"/>
    <mergeCell ref="KSV38:KSV39"/>
    <mergeCell ref="KSW38:KSW39"/>
    <mergeCell ref="KSX38:KSX39"/>
    <mergeCell ref="KSY38:KTA38"/>
    <mergeCell ref="KTB38:KTB39"/>
    <mergeCell ref="KTC38:KTC39"/>
    <mergeCell ref="KTD38:KTD39"/>
    <mergeCell ref="KSY39:KTA39"/>
    <mergeCell ref="KSG38:KSG39"/>
    <mergeCell ref="KSH38:KSH39"/>
    <mergeCell ref="KSI38:KSK38"/>
    <mergeCell ref="KSL38:KSL39"/>
    <mergeCell ref="KSM38:KSM39"/>
    <mergeCell ref="KSN38:KSN39"/>
    <mergeCell ref="KSO38:KSO39"/>
    <mergeCell ref="KSP38:KSP39"/>
    <mergeCell ref="KSQ38:KSS38"/>
    <mergeCell ref="KSI39:KSK39"/>
    <mergeCell ref="KSQ39:KSS39"/>
    <mergeCell ref="KRV38:KRV39"/>
    <mergeCell ref="KRW38:KRW39"/>
    <mergeCell ref="KRX38:KRX39"/>
    <mergeCell ref="KRY38:KRY39"/>
    <mergeCell ref="KRZ38:KRZ39"/>
    <mergeCell ref="KSA38:KSC38"/>
    <mergeCell ref="KSD38:KSD39"/>
    <mergeCell ref="KSE38:KSE39"/>
    <mergeCell ref="KSF38:KSF39"/>
    <mergeCell ref="KSA39:KSC39"/>
    <mergeCell ref="KRI38:KRI39"/>
    <mergeCell ref="KRJ38:KRJ39"/>
    <mergeCell ref="KRK38:KRM38"/>
    <mergeCell ref="KRN38:KRN39"/>
    <mergeCell ref="KRO38:KRO39"/>
    <mergeCell ref="KRP38:KRP39"/>
    <mergeCell ref="KRQ38:KRQ39"/>
    <mergeCell ref="KRR38:KRR39"/>
    <mergeCell ref="KRS38:KRU38"/>
    <mergeCell ref="KRK39:KRM39"/>
    <mergeCell ref="KRS39:KRU39"/>
    <mergeCell ref="KQX38:KQX39"/>
    <mergeCell ref="KQY38:KQY39"/>
    <mergeCell ref="KQZ38:KQZ39"/>
    <mergeCell ref="KRA38:KRA39"/>
    <mergeCell ref="KRB38:KRB39"/>
    <mergeCell ref="KRC38:KRE38"/>
    <mergeCell ref="KRF38:KRF39"/>
    <mergeCell ref="KRG38:KRG39"/>
    <mergeCell ref="KRH38:KRH39"/>
    <mergeCell ref="KRC39:KRE39"/>
    <mergeCell ref="KQK38:KQK39"/>
    <mergeCell ref="KQL38:KQL39"/>
    <mergeCell ref="KQM38:KQO38"/>
    <mergeCell ref="KQP38:KQP39"/>
    <mergeCell ref="KQQ38:KQQ39"/>
    <mergeCell ref="KQR38:KQR39"/>
    <mergeCell ref="KQS38:KQS39"/>
    <mergeCell ref="KQT38:KQT39"/>
    <mergeCell ref="KQU38:KQW38"/>
    <mergeCell ref="KQM39:KQO39"/>
    <mergeCell ref="KQU39:KQW39"/>
    <mergeCell ref="KPZ38:KPZ39"/>
    <mergeCell ref="KQA38:KQA39"/>
    <mergeCell ref="KQB38:KQB39"/>
    <mergeCell ref="KQC38:KQC39"/>
    <mergeCell ref="KQD38:KQD39"/>
    <mergeCell ref="KQE38:KQG38"/>
    <mergeCell ref="KQH38:KQH39"/>
    <mergeCell ref="KQI38:KQI39"/>
    <mergeCell ref="KQJ38:KQJ39"/>
    <mergeCell ref="KQE39:KQG39"/>
    <mergeCell ref="KPM38:KPM39"/>
    <mergeCell ref="KPN38:KPN39"/>
    <mergeCell ref="KPO38:KPQ38"/>
    <mergeCell ref="KPR38:KPR39"/>
    <mergeCell ref="KPS38:KPS39"/>
    <mergeCell ref="KPT38:KPT39"/>
    <mergeCell ref="KPU38:KPU39"/>
    <mergeCell ref="KPV38:KPV39"/>
    <mergeCell ref="KPW38:KPY38"/>
    <mergeCell ref="KPO39:KPQ39"/>
    <mergeCell ref="KPW39:KPY39"/>
    <mergeCell ref="KPB38:KPB39"/>
    <mergeCell ref="KPC38:KPC39"/>
    <mergeCell ref="KPD38:KPD39"/>
    <mergeCell ref="KPE38:KPE39"/>
    <mergeCell ref="KPF38:KPF39"/>
    <mergeCell ref="KPG38:KPI38"/>
    <mergeCell ref="KPJ38:KPJ39"/>
    <mergeCell ref="KPK38:KPK39"/>
    <mergeCell ref="KPL38:KPL39"/>
    <mergeCell ref="KPG39:KPI39"/>
    <mergeCell ref="KOO38:KOO39"/>
    <mergeCell ref="KOP38:KOP39"/>
    <mergeCell ref="KOQ38:KOS38"/>
    <mergeCell ref="KOT38:KOT39"/>
    <mergeCell ref="KOU38:KOU39"/>
    <mergeCell ref="KOV38:KOV39"/>
    <mergeCell ref="KOW38:KOW39"/>
    <mergeCell ref="KOX38:KOX39"/>
    <mergeCell ref="KOY38:KPA38"/>
    <mergeCell ref="KOQ39:KOS39"/>
    <mergeCell ref="KOY39:KPA39"/>
    <mergeCell ref="KOD38:KOD39"/>
    <mergeCell ref="KOE38:KOE39"/>
    <mergeCell ref="KOF38:KOF39"/>
    <mergeCell ref="KOG38:KOG39"/>
    <mergeCell ref="KOH38:KOH39"/>
    <mergeCell ref="KOI38:KOK38"/>
    <mergeCell ref="KOL38:KOL39"/>
    <mergeCell ref="KOM38:KOM39"/>
    <mergeCell ref="KON38:KON39"/>
    <mergeCell ref="KOI39:KOK39"/>
    <mergeCell ref="KNQ38:KNQ39"/>
    <mergeCell ref="KNR38:KNR39"/>
    <mergeCell ref="KNS38:KNU38"/>
    <mergeCell ref="KNV38:KNV39"/>
    <mergeCell ref="KNW38:KNW39"/>
    <mergeCell ref="KNX38:KNX39"/>
    <mergeCell ref="KNY38:KNY39"/>
    <mergeCell ref="KNZ38:KNZ39"/>
    <mergeCell ref="KOA38:KOC38"/>
    <mergeCell ref="KNS39:KNU39"/>
    <mergeCell ref="KOA39:KOC39"/>
    <mergeCell ref="KNF38:KNF39"/>
    <mergeCell ref="KNG38:KNG39"/>
    <mergeCell ref="KNH38:KNH39"/>
    <mergeCell ref="KNI38:KNI39"/>
    <mergeCell ref="KNJ38:KNJ39"/>
    <mergeCell ref="KNK38:KNM38"/>
    <mergeCell ref="KNN38:KNN39"/>
    <mergeCell ref="KNO38:KNO39"/>
    <mergeCell ref="KNP38:KNP39"/>
    <mergeCell ref="KNK39:KNM39"/>
    <mergeCell ref="KMS38:KMS39"/>
    <mergeCell ref="KMT38:KMT39"/>
    <mergeCell ref="KMU38:KMW38"/>
    <mergeCell ref="KMX38:KMX39"/>
    <mergeCell ref="KMY38:KMY39"/>
    <mergeCell ref="KMZ38:KMZ39"/>
    <mergeCell ref="KNA38:KNA39"/>
    <mergeCell ref="KNB38:KNB39"/>
    <mergeCell ref="KNC38:KNE38"/>
    <mergeCell ref="KMU39:KMW39"/>
    <mergeCell ref="KNC39:KNE39"/>
    <mergeCell ref="KMH38:KMH39"/>
    <mergeCell ref="KMI38:KMI39"/>
    <mergeCell ref="KMJ38:KMJ39"/>
    <mergeCell ref="KMK38:KMK39"/>
    <mergeCell ref="KML38:KML39"/>
    <mergeCell ref="KMM38:KMO38"/>
    <mergeCell ref="KMP38:KMP39"/>
    <mergeCell ref="KMQ38:KMQ39"/>
    <mergeCell ref="KMR38:KMR39"/>
    <mergeCell ref="KMM39:KMO39"/>
    <mergeCell ref="KLU38:KLU39"/>
    <mergeCell ref="KLV38:KLV39"/>
    <mergeCell ref="KLW38:KLY38"/>
    <mergeCell ref="KLZ38:KLZ39"/>
    <mergeCell ref="KMA38:KMA39"/>
    <mergeCell ref="KMB38:KMB39"/>
    <mergeCell ref="KMC38:KMC39"/>
    <mergeCell ref="KMD38:KMD39"/>
    <mergeCell ref="KME38:KMG38"/>
    <mergeCell ref="KLW39:KLY39"/>
    <mergeCell ref="KME39:KMG39"/>
    <mergeCell ref="KLJ38:KLJ39"/>
    <mergeCell ref="KLK38:KLK39"/>
    <mergeCell ref="KLL38:KLL39"/>
    <mergeCell ref="KLM38:KLM39"/>
    <mergeCell ref="KLN38:KLN39"/>
    <mergeCell ref="KLO38:KLQ38"/>
    <mergeCell ref="KLR38:KLR39"/>
    <mergeCell ref="KLS38:KLS39"/>
    <mergeCell ref="KLT38:KLT39"/>
    <mergeCell ref="KLO39:KLQ39"/>
    <mergeCell ref="KKW38:KKW39"/>
    <mergeCell ref="KKX38:KKX39"/>
    <mergeCell ref="KKY38:KLA38"/>
    <mergeCell ref="KLB38:KLB39"/>
    <mergeCell ref="KLC38:KLC39"/>
    <mergeCell ref="KLD38:KLD39"/>
    <mergeCell ref="KLE38:KLE39"/>
    <mergeCell ref="KLF38:KLF39"/>
    <mergeCell ref="KLG38:KLI38"/>
    <mergeCell ref="KKY39:KLA39"/>
    <mergeCell ref="KLG39:KLI39"/>
    <mergeCell ref="KKL38:KKL39"/>
    <mergeCell ref="KKM38:KKM39"/>
    <mergeCell ref="KKN38:KKN39"/>
    <mergeCell ref="KKO38:KKO39"/>
    <mergeCell ref="KKP38:KKP39"/>
    <mergeCell ref="KKQ38:KKS38"/>
    <mergeCell ref="KKT38:KKT39"/>
    <mergeCell ref="KKU38:KKU39"/>
    <mergeCell ref="KKV38:KKV39"/>
    <mergeCell ref="KKQ39:KKS39"/>
    <mergeCell ref="KJY38:KJY39"/>
    <mergeCell ref="KJZ38:KJZ39"/>
    <mergeCell ref="KKA38:KKC38"/>
    <mergeCell ref="KKD38:KKD39"/>
    <mergeCell ref="KKE38:KKE39"/>
    <mergeCell ref="KKF38:KKF39"/>
    <mergeCell ref="KKG38:KKG39"/>
    <mergeCell ref="KKH38:KKH39"/>
    <mergeCell ref="KKI38:KKK38"/>
    <mergeCell ref="KKA39:KKC39"/>
    <mergeCell ref="KKI39:KKK39"/>
    <mergeCell ref="KJN38:KJN39"/>
    <mergeCell ref="KJO38:KJO39"/>
    <mergeCell ref="KJP38:KJP39"/>
    <mergeCell ref="KJQ38:KJQ39"/>
    <mergeCell ref="KJR38:KJR39"/>
    <mergeCell ref="KJS38:KJU38"/>
    <mergeCell ref="KJV38:KJV39"/>
    <mergeCell ref="KJW38:KJW39"/>
    <mergeCell ref="KJX38:KJX39"/>
    <mergeCell ref="KJS39:KJU39"/>
    <mergeCell ref="KJA38:KJA39"/>
    <mergeCell ref="KJB38:KJB39"/>
    <mergeCell ref="KJC38:KJE38"/>
    <mergeCell ref="KJF38:KJF39"/>
    <mergeCell ref="KJG38:KJG39"/>
    <mergeCell ref="KJH38:KJH39"/>
    <mergeCell ref="KJI38:KJI39"/>
    <mergeCell ref="KJJ38:KJJ39"/>
    <mergeCell ref="KJK38:KJM38"/>
    <mergeCell ref="KJC39:KJE39"/>
    <mergeCell ref="KJK39:KJM39"/>
    <mergeCell ref="KIP38:KIP39"/>
    <mergeCell ref="KIQ38:KIQ39"/>
    <mergeCell ref="KIR38:KIR39"/>
    <mergeCell ref="KIS38:KIS39"/>
    <mergeCell ref="KIT38:KIT39"/>
    <mergeCell ref="KIU38:KIW38"/>
    <mergeCell ref="KIX38:KIX39"/>
    <mergeCell ref="KIY38:KIY39"/>
    <mergeCell ref="KIZ38:KIZ39"/>
    <mergeCell ref="KIU39:KIW39"/>
    <mergeCell ref="KIC38:KIC39"/>
    <mergeCell ref="KID38:KID39"/>
    <mergeCell ref="KIE38:KIG38"/>
    <mergeCell ref="KIH38:KIH39"/>
    <mergeCell ref="KII38:KII39"/>
    <mergeCell ref="KIJ38:KIJ39"/>
    <mergeCell ref="KIK38:KIK39"/>
    <mergeCell ref="KIL38:KIL39"/>
    <mergeCell ref="KIM38:KIO38"/>
    <mergeCell ref="KIE39:KIG39"/>
    <mergeCell ref="KIM39:KIO39"/>
    <mergeCell ref="KHR38:KHR39"/>
    <mergeCell ref="KHS38:KHS39"/>
    <mergeCell ref="KHT38:KHT39"/>
    <mergeCell ref="KHU38:KHU39"/>
    <mergeCell ref="KHV38:KHV39"/>
    <mergeCell ref="KHW38:KHY38"/>
    <mergeCell ref="KHZ38:KHZ39"/>
    <mergeCell ref="KIA38:KIA39"/>
    <mergeCell ref="KIB38:KIB39"/>
    <mergeCell ref="KHW39:KHY39"/>
    <mergeCell ref="KHE38:KHE39"/>
    <mergeCell ref="KHF38:KHF39"/>
    <mergeCell ref="KHG38:KHI38"/>
    <mergeCell ref="KHJ38:KHJ39"/>
    <mergeCell ref="KHK38:KHK39"/>
    <mergeCell ref="KHL38:KHL39"/>
    <mergeCell ref="KHM38:KHM39"/>
    <mergeCell ref="KHN38:KHN39"/>
    <mergeCell ref="KHO38:KHQ38"/>
    <mergeCell ref="KHG39:KHI39"/>
    <mergeCell ref="KHO39:KHQ39"/>
    <mergeCell ref="KGT38:KGT39"/>
    <mergeCell ref="KGU38:KGU39"/>
    <mergeCell ref="KGV38:KGV39"/>
    <mergeCell ref="KGW38:KGW39"/>
    <mergeCell ref="KGX38:KGX39"/>
    <mergeCell ref="KGY38:KHA38"/>
    <mergeCell ref="KHB38:KHB39"/>
    <mergeCell ref="KHC38:KHC39"/>
    <mergeCell ref="KHD38:KHD39"/>
    <mergeCell ref="KGY39:KHA39"/>
    <mergeCell ref="KGG38:KGG39"/>
    <mergeCell ref="KGH38:KGH39"/>
    <mergeCell ref="KGI38:KGK38"/>
    <mergeCell ref="KGL38:KGL39"/>
    <mergeCell ref="KGM38:KGM39"/>
    <mergeCell ref="KGN38:KGN39"/>
    <mergeCell ref="KGO38:KGO39"/>
    <mergeCell ref="KGP38:KGP39"/>
    <mergeCell ref="KGQ38:KGS38"/>
    <mergeCell ref="KGI39:KGK39"/>
    <mergeCell ref="KGQ39:KGS39"/>
    <mergeCell ref="KFV38:KFV39"/>
    <mergeCell ref="KFW38:KFW39"/>
    <mergeCell ref="KFX38:KFX39"/>
    <mergeCell ref="KFY38:KFY39"/>
    <mergeCell ref="KFZ38:KFZ39"/>
    <mergeCell ref="KGA38:KGC38"/>
    <mergeCell ref="KGD38:KGD39"/>
    <mergeCell ref="KGE38:KGE39"/>
    <mergeCell ref="KGF38:KGF39"/>
    <mergeCell ref="KGA39:KGC39"/>
    <mergeCell ref="KFI38:KFI39"/>
    <mergeCell ref="KFJ38:KFJ39"/>
    <mergeCell ref="KFK38:KFM38"/>
    <mergeCell ref="KFN38:KFN39"/>
    <mergeCell ref="KFO38:KFO39"/>
    <mergeCell ref="KFP38:KFP39"/>
    <mergeCell ref="KFQ38:KFQ39"/>
    <mergeCell ref="KFR38:KFR39"/>
    <mergeCell ref="KFS38:KFU38"/>
    <mergeCell ref="KFK39:KFM39"/>
    <mergeCell ref="KFS39:KFU39"/>
    <mergeCell ref="KEX38:KEX39"/>
    <mergeCell ref="KEY38:KEY39"/>
    <mergeCell ref="KEZ38:KEZ39"/>
    <mergeCell ref="KFA38:KFA39"/>
    <mergeCell ref="KFB38:KFB39"/>
    <mergeCell ref="KFC38:KFE38"/>
    <mergeCell ref="KFF38:KFF39"/>
    <mergeCell ref="KFG38:KFG39"/>
    <mergeCell ref="KFH38:KFH39"/>
    <mergeCell ref="KFC39:KFE39"/>
    <mergeCell ref="KEK38:KEK39"/>
    <mergeCell ref="KEL38:KEL39"/>
    <mergeCell ref="KEM38:KEO38"/>
    <mergeCell ref="KEP38:KEP39"/>
    <mergeCell ref="KEQ38:KEQ39"/>
    <mergeCell ref="KER38:KER39"/>
    <mergeCell ref="KES38:KES39"/>
    <mergeCell ref="KET38:KET39"/>
    <mergeCell ref="KEU38:KEW38"/>
    <mergeCell ref="KEM39:KEO39"/>
    <mergeCell ref="KEU39:KEW39"/>
    <mergeCell ref="KDZ38:KDZ39"/>
    <mergeCell ref="KEA38:KEA39"/>
    <mergeCell ref="KEB38:KEB39"/>
    <mergeCell ref="KEC38:KEC39"/>
    <mergeCell ref="KED38:KED39"/>
    <mergeCell ref="KEE38:KEG38"/>
    <mergeCell ref="KEH38:KEH39"/>
    <mergeCell ref="KEI38:KEI39"/>
    <mergeCell ref="KEJ38:KEJ39"/>
    <mergeCell ref="KEE39:KEG39"/>
    <mergeCell ref="KDM38:KDM39"/>
    <mergeCell ref="KDN38:KDN39"/>
    <mergeCell ref="KDO38:KDQ38"/>
    <mergeCell ref="KDR38:KDR39"/>
    <mergeCell ref="KDS38:KDS39"/>
    <mergeCell ref="KDT38:KDT39"/>
    <mergeCell ref="KDU38:KDU39"/>
    <mergeCell ref="KDV38:KDV39"/>
    <mergeCell ref="KDW38:KDY38"/>
    <mergeCell ref="KDO39:KDQ39"/>
    <mergeCell ref="KDW39:KDY39"/>
    <mergeCell ref="KDB38:KDB39"/>
    <mergeCell ref="KDC38:KDC39"/>
    <mergeCell ref="KDD38:KDD39"/>
    <mergeCell ref="KDE38:KDE39"/>
    <mergeCell ref="KDF38:KDF39"/>
    <mergeCell ref="KDG38:KDI38"/>
    <mergeCell ref="KDJ38:KDJ39"/>
    <mergeCell ref="KDK38:KDK39"/>
    <mergeCell ref="KDL38:KDL39"/>
    <mergeCell ref="KDG39:KDI39"/>
    <mergeCell ref="KCO38:KCO39"/>
    <mergeCell ref="KCP38:KCP39"/>
    <mergeCell ref="KCQ38:KCS38"/>
    <mergeCell ref="KCT38:KCT39"/>
    <mergeCell ref="KCU38:KCU39"/>
    <mergeCell ref="KCV38:KCV39"/>
    <mergeCell ref="KCW38:KCW39"/>
    <mergeCell ref="KCX38:KCX39"/>
    <mergeCell ref="KCY38:KDA38"/>
    <mergeCell ref="KCQ39:KCS39"/>
    <mergeCell ref="KCY39:KDA39"/>
    <mergeCell ref="KCD38:KCD39"/>
    <mergeCell ref="KCE38:KCE39"/>
    <mergeCell ref="KCF38:KCF39"/>
    <mergeCell ref="KCG38:KCG39"/>
    <mergeCell ref="KCH38:KCH39"/>
    <mergeCell ref="KCI38:KCK38"/>
    <mergeCell ref="KCL38:KCL39"/>
    <mergeCell ref="KCM38:KCM39"/>
    <mergeCell ref="KCN38:KCN39"/>
    <mergeCell ref="KCI39:KCK39"/>
    <mergeCell ref="KBQ38:KBQ39"/>
    <mergeCell ref="KBR38:KBR39"/>
    <mergeCell ref="KBS38:KBU38"/>
    <mergeCell ref="KBV38:KBV39"/>
    <mergeCell ref="KBW38:KBW39"/>
    <mergeCell ref="KBX38:KBX39"/>
    <mergeCell ref="KBY38:KBY39"/>
    <mergeCell ref="KBZ38:KBZ39"/>
    <mergeCell ref="KCA38:KCC38"/>
    <mergeCell ref="KBS39:KBU39"/>
    <mergeCell ref="KCA39:KCC39"/>
    <mergeCell ref="KBF38:KBF39"/>
    <mergeCell ref="KBG38:KBG39"/>
    <mergeCell ref="KBH38:KBH39"/>
    <mergeCell ref="KBI38:KBI39"/>
    <mergeCell ref="KBJ38:KBJ39"/>
    <mergeCell ref="KBK38:KBM38"/>
    <mergeCell ref="KBN38:KBN39"/>
    <mergeCell ref="KBO38:KBO39"/>
    <mergeCell ref="KBP38:KBP39"/>
    <mergeCell ref="KBK39:KBM39"/>
    <mergeCell ref="KAS38:KAS39"/>
    <mergeCell ref="KAT38:KAT39"/>
    <mergeCell ref="KAU38:KAW38"/>
    <mergeCell ref="KAX38:KAX39"/>
    <mergeCell ref="KAY38:KAY39"/>
    <mergeCell ref="KAZ38:KAZ39"/>
    <mergeCell ref="KBA38:KBA39"/>
    <mergeCell ref="KBB38:KBB39"/>
    <mergeCell ref="KBC38:KBE38"/>
    <mergeCell ref="KAU39:KAW39"/>
    <mergeCell ref="KBC39:KBE39"/>
    <mergeCell ref="KAH38:KAH39"/>
    <mergeCell ref="KAI38:KAI39"/>
    <mergeCell ref="KAJ38:KAJ39"/>
    <mergeCell ref="KAK38:KAK39"/>
    <mergeCell ref="KAL38:KAL39"/>
    <mergeCell ref="KAM38:KAO38"/>
    <mergeCell ref="KAP38:KAP39"/>
    <mergeCell ref="KAQ38:KAQ39"/>
    <mergeCell ref="KAR38:KAR39"/>
    <mergeCell ref="KAM39:KAO39"/>
    <mergeCell ref="JZU38:JZU39"/>
    <mergeCell ref="JZV38:JZV39"/>
    <mergeCell ref="JZW38:JZY38"/>
    <mergeCell ref="JZZ38:JZZ39"/>
    <mergeCell ref="KAA38:KAA39"/>
    <mergeCell ref="KAB38:KAB39"/>
    <mergeCell ref="KAC38:KAC39"/>
    <mergeCell ref="KAD38:KAD39"/>
    <mergeCell ref="KAE38:KAG38"/>
    <mergeCell ref="JZW39:JZY39"/>
    <mergeCell ref="KAE39:KAG39"/>
    <mergeCell ref="JZJ38:JZJ39"/>
    <mergeCell ref="JZK38:JZK39"/>
    <mergeCell ref="JZL38:JZL39"/>
    <mergeCell ref="JZM38:JZM39"/>
    <mergeCell ref="JZN38:JZN39"/>
    <mergeCell ref="JZO38:JZQ38"/>
    <mergeCell ref="JZR38:JZR39"/>
    <mergeCell ref="JZS38:JZS39"/>
    <mergeCell ref="JZT38:JZT39"/>
    <mergeCell ref="JZO39:JZQ39"/>
    <mergeCell ref="JYW38:JYW39"/>
    <mergeCell ref="JYX38:JYX39"/>
    <mergeCell ref="JYY38:JZA38"/>
    <mergeCell ref="JZB38:JZB39"/>
    <mergeCell ref="JZC38:JZC39"/>
    <mergeCell ref="JZD38:JZD39"/>
    <mergeCell ref="JZE38:JZE39"/>
    <mergeCell ref="JZF38:JZF39"/>
    <mergeCell ref="JZG38:JZI38"/>
    <mergeCell ref="JYY39:JZA39"/>
    <mergeCell ref="JZG39:JZI39"/>
    <mergeCell ref="JYL38:JYL39"/>
    <mergeCell ref="JYM38:JYM39"/>
    <mergeCell ref="JYN38:JYN39"/>
    <mergeCell ref="JYO38:JYO39"/>
    <mergeCell ref="JYP38:JYP39"/>
    <mergeCell ref="JYQ38:JYS38"/>
    <mergeCell ref="JYT38:JYT39"/>
    <mergeCell ref="JYU38:JYU39"/>
    <mergeCell ref="JYV38:JYV39"/>
    <mergeCell ref="JYQ39:JYS39"/>
    <mergeCell ref="JXY38:JXY39"/>
    <mergeCell ref="JXZ38:JXZ39"/>
    <mergeCell ref="JYA38:JYC38"/>
    <mergeCell ref="JYD38:JYD39"/>
    <mergeCell ref="JYE38:JYE39"/>
    <mergeCell ref="JYF38:JYF39"/>
    <mergeCell ref="JYG38:JYG39"/>
    <mergeCell ref="JYH38:JYH39"/>
    <mergeCell ref="JYI38:JYK38"/>
    <mergeCell ref="JYA39:JYC39"/>
    <mergeCell ref="JYI39:JYK39"/>
    <mergeCell ref="JXN38:JXN39"/>
    <mergeCell ref="JXO38:JXO39"/>
    <mergeCell ref="JXP38:JXP39"/>
    <mergeCell ref="JXQ38:JXQ39"/>
    <mergeCell ref="JXR38:JXR39"/>
    <mergeCell ref="JXS38:JXU38"/>
    <mergeCell ref="JXV38:JXV39"/>
    <mergeCell ref="JXW38:JXW39"/>
    <mergeCell ref="JXX38:JXX39"/>
    <mergeCell ref="JXS39:JXU39"/>
    <mergeCell ref="JXA38:JXA39"/>
    <mergeCell ref="JXB38:JXB39"/>
    <mergeCell ref="JXC38:JXE38"/>
    <mergeCell ref="JXF38:JXF39"/>
    <mergeCell ref="JXG38:JXG39"/>
    <mergeCell ref="JXH38:JXH39"/>
    <mergeCell ref="JXI38:JXI39"/>
    <mergeCell ref="JXJ38:JXJ39"/>
    <mergeCell ref="JXK38:JXM38"/>
    <mergeCell ref="JXC39:JXE39"/>
    <mergeCell ref="JXK39:JXM39"/>
    <mergeCell ref="JWP38:JWP39"/>
    <mergeCell ref="JWQ38:JWQ39"/>
    <mergeCell ref="JWR38:JWR39"/>
    <mergeCell ref="JWS38:JWS39"/>
    <mergeCell ref="JWT38:JWT39"/>
    <mergeCell ref="JWU38:JWW38"/>
    <mergeCell ref="JWX38:JWX39"/>
    <mergeCell ref="JWY38:JWY39"/>
    <mergeCell ref="JWZ38:JWZ39"/>
    <mergeCell ref="JWU39:JWW39"/>
    <mergeCell ref="JWC38:JWC39"/>
    <mergeCell ref="JWD38:JWD39"/>
    <mergeCell ref="JWE38:JWG38"/>
    <mergeCell ref="JWH38:JWH39"/>
    <mergeCell ref="JWI38:JWI39"/>
    <mergeCell ref="JWJ38:JWJ39"/>
    <mergeCell ref="JWK38:JWK39"/>
    <mergeCell ref="JWL38:JWL39"/>
    <mergeCell ref="JWM38:JWO38"/>
    <mergeCell ref="JWE39:JWG39"/>
    <mergeCell ref="JWM39:JWO39"/>
    <mergeCell ref="JVR38:JVR39"/>
    <mergeCell ref="JVS38:JVS39"/>
    <mergeCell ref="JVT38:JVT39"/>
    <mergeCell ref="JVU38:JVU39"/>
    <mergeCell ref="JVV38:JVV39"/>
    <mergeCell ref="JVW38:JVY38"/>
    <mergeCell ref="JVZ38:JVZ39"/>
    <mergeCell ref="JWA38:JWA39"/>
    <mergeCell ref="JWB38:JWB39"/>
    <mergeCell ref="JVW39:JVY39"/>
    <mergeCell ref="JVE38:JVE39"/>
    <mergeCell ref="JVF38:JVF39"/>
    <mergeCell ref="JVG38:JVI38"/>
    <mergeCell ref="JVJ38:JVJ39"/>
    <mergeCell ref="JVK38:JVK39"/>
    <mergeCell ref="JVL38:JVL39"/>
    <mergeCell ref="JVM38:JVM39"/>
    <mergeCell ref="JVN38:JVN39"/>
    <mergeCell ref="JVO38:JVQ38"/>
    <mergeCell ref="JVG39:JVI39"/>
    <mergeCell ref="JVO39:JVQ39"/>
    <mergeCell ref="JUT38:JUT39"/>
    <mergeCell ref="JUU38:JUU39"/>
    <mergeCell ref="JUV38:JUV39"/>
    <mergeCell ref="JUW38:JUW39"/>
    <mergeCell ref="JUX38:JUX39"/>
    <mergeCell ref="JUY38:JVA38"/>
    <mergeCell ref="JVB38:JVB39"/>
    <mergeCell ref="JVC38:JVC39"/>
    <mergeCell ref="JVD38:JVD39"/>
    <mergeCell ref="JUY39:JVA39"/>
    <mergeCell ref="JUG38:JUG39"/>
    <mergeCell ref="JUH38:JUH39"/>
    <mergeCell ref="JUI38:JUK38"/>
    <mergeCell ref="JUL38:JUL39"/>
    <mergeCell ref="JUM38:JUM39"/>
    <mergeCell ref="JUN38:JUN39"/>
    <mergeCell ref="JUO38:JUO39"/>
    <mergeCell ref="JUP38:JUP39"/>
    <mergeCell ref="JUQ38:JUS38"/>
    <mergeCell ref="JUI39:JUK39"/>
    <mergeCell ref="JUQ39:JUS39"/>
    <mergeCell ref="JTV38:JTV39"/>
    <mergeCell ref="JTW38:JTW39"/>
    <mergeCell ref="JTX38:JTX39"/>
    <mergeCell ref="JTY38:JTY39"/>
    <mergeCell ref="JTZ38:JTZ39"/>
    <mergeCell ref="JUA38:JUC38"/>
    <mergeCell ref="JUD38:JUD39"/>
    <mergeCell ref="JUE38:JUE39"/>
    <mergeCell ref="JUF38:JUF39"/>
    <mergeCell ref="JUA39:JUC39"/>
    <mergeCell ref="JTI38:JTI39"/>
    <mergeCell ref="JTJ38:JTJ39"/>
    <mergeCell ref="JTK38:JTM38"/>
    <mergeCell ref="JTN38:JTN39"/>
    <mergeCell ref="JTO38:JTO39"/>
    <mergeCell ref="JTP38:JTP39"/>
    <mergeCell ref="JTQ38:JTQ39"/>
    <mergeCell ref="JTR38:JTR39"/>
    <mergeCell ref="JTS38:JTU38"/>
    <mergeCell ref="JTK39:JTM39"/>
    <mergeCell ref="JTS39:JTU39"/>
    <mergeCell ref="JSX38:JSX39"/>
    <mergeCell ref="JSY38:JSY39"/>
    <mergeCell ref="JSZ38:JSZ39"/>
    <mergeCell ref="JTA38:JTA39"/>
    <mergeCell ref="JTB38:JTB39"/>
    <mergeCell ref="JTC38:JTE38"/>
    <mergeCell ref="JTF38:JTF39"/>
    <mergeCell ref="JTG38:JTG39"/>
    <mergeCell ref="JTH38:JTH39"/>
    <mergeCell ref="JTC39:JTE39"/>
    <mergeCell ref="JSK38:JSK39"/>
    <mergeCell ref="JSL38:JSL39"/>
    <mergeCell ref="JSM38:JSO38"/>
    <mergeCell ref="JSP38:JSP39"/>
    <mergeCell ref="JSQ38:JSQ39"/>
    <mergeCell ref="JSR38:JSR39"/>
    <mergeCell ref="JSS38:JSS39"/>
    <mergeCell ref="JST38:JST39"/>
    <mergeCell ref="JSU38:JSW38"/>
    <mergeCell ref="JSM39:JSO39"/>
    <mergeCell ref="JSU39:JSW39"/>
    <mergeCell ref="JRZ38:JRZ39"/>
    <mergeCell ref="JSA38:JSA39"/>
    <mergeCell ref="JSB38:JSB39"/>
    <mergeCell ref="JSC38:JSC39"/>
    <mergeCell ref="JSD38:JSD39"/>
    <mergeCell ref="JSE38:JSG38"/>
    <mergeCell ref="JSH38:JSH39"/>
    <mergeCell ref="JSI38:JSI39"/>
    <mergeCell ref="JSJ38:JSJ39"/>
    <mergeCell ref="JSE39:JSG39"/>
    <mergeCell ref="JRM38:JRM39"/>
    <mergeCell ref="JRN38:JRN39"/>
    <mergeCell ref="JRO38:JRQ38"/>
    <mergeCell ref="JRR38:JRR39"/>
    <mergeCell ref="JRS38:JRS39"/>
    <mergeCell ref="JRT38:JRT39"/>
    <mergeCell ref="JRU38:JRU39"/>
    <mergeCell ref="JRV38:JRV39"/>
    <mergeCell ref="JRW38:JRY38"/>
    <mergeCell ref="JRO39:JRQ39"/>
    <mergeCell ref="JRW39:JRY39"/>
    <mergeCell ref="JRB38:JRB39"/>
    <mergeCell ref="JRC38:JRC39"/>
    <mergeCell ref="JRD38:JRD39"/>
    <mergeCell ref="JRE38:JRE39"/>
    <mergeCell ref="JRF38:JRF39"/>
    <mergeCell ref="JRG38:JRI38"/>
    <mergeCell ref="JRJ38:JRJ39"/>
    <mergeCell ref="JRK38:JRK39"/>
    <mergeCell ref="JRL38:JRL39"/>
    <mergeCell ref="JRG39:JRI39"/>
    <mergeCell ref="JQO38:JQO39"/>
    <mergeCell ref="JQP38:JQP39"/>
    <mergeCell ref="JQQ38:JQS38"/>
    <mergeCell ref="JQT38:JQT39"/>
    <mergeCell ref="JQU38:JQU39"/>
    <mergeCell ref="JQV38:JQV39"/>
    <mergeCell ref="JQW38:JQW39"/>
    <mergeCell ref="JQX38:JQX39"/>
    <mergeCell ref="JQY38:JRA38"/>
    <mergeCell ref="JQQ39:JQS39"/>
    <mergeCell ref="JQY39:JRA39"/>
    <mergeCell ref="JQD38:JQD39"/>
    <mergeCell ref="JQE38:JQE39"/>
    <mergeCell ref="JQF38:JQF39"/>
    <mergeCell ref="JQG38:JQG39"/>
    <mergeCell ref="JQH38:JQH39"/>
    <mergeCell ref="JQI38:JQK38"/>
    <mergeCell ref="JQL38:JQL39"/>
    <mergeCell ref="JQM38:JQM39"/>
    <mergeCell ref="JQN38:JQN39"/>
    <mergeCell ref="JQI39:JQK39"/>
    <mergeCell ref="JPQ38:JPQ39"/>
    <mergeCell ref="JPR38:JPR39"/>
    <mergeCell ref="JPS38:JPU38"/>
    <mergeCell ref="JPV38:JPV39"/>
    <mergeCell ref="JPW38:JPW39"/>
    <mergeCell ref="JPX38:JPX39"/>
    <mergeCell ref="JPY38:JPY39"/>
    <mergeCell ref="JPZ38:JPZ39"/>
    <mergeCell ref="JQA38:JQC38"/>
    <mergeCell ref="JPS39:JPU39"/>
    <mergeCell ref="JQA39:JQC39"/>
    <mergeCell ref="JPF38:JPF39"/>
    <mergeCell ref="JPG38:JPG39"/>
    <mergeCell ref="JPH38:JPH39"/>
    <mergeCell ref="JPI38:JPI39"/>
    <mergeCell ref="JPJ38:JPJ39"/>
    <mergeCell ref="JPK38:JPM38"/>
    <mergeCell ref="JPN38:JPN39"/>
    <mergeCell ref="JPO38:JPO39"/>
    <mergeCell ref="JPP38:JPP39"/>
    <mergeCell ref="JPK39:JPM39"/>
    <mergeCell ref="JOS38:JOS39"/>
    <mergeCell ref="JOT38:JOT39"/>
    <mergeCell ref="JOU38:JOW38"/>
    <mergeCell ref="JOX38:JOX39"/>
    <mergeCell ref="JOY38:JOY39"/>
    <mergeCell ref="JOZ38:JOZ39"/>
    <mergeCell ref="JPA38:JPA39"/>
    <mergeCell ref="JPB38:JPB39"/>
    <mergeCell ref="JPC38:JPE38"/>
    <mergeCell ref="JOU39:JOW39"/>
    <mergeCell ref="JPC39:JPE39"/>
    <mergeCell ref="JOH38:JOH39"/>
    <mergeCell ref="JOI38:JOI39"/>
    <mergeCell ref="JOJ38:JOJ39"/>
    <mergeCell ref="JOK38:JOK39"/>
    <mergeCell ref="JOL38:JOL39"/>
    <mergeCell ref="JOM38:JOO38"/>
    <mergeCell ref="JOP38:JOP39"/>
    <mergeCell ref="JOQ38:JOQ39"/>
    <mergeCell ref="JOR38:JOR39"/>
    <mergeCell ref="JOM39:JOO39"/>
    <mergeCell ref="JNU38:JNU39"/>
    <mergeCell ref="JNV38:JNV39"/>
    <mergeCell ref="JNW38:JNY38"/>
    <mergeCell ref="JNZ38:JNZ39"/>
    <mergeCell ref="JOA38:JOA39"/>
    <mergeCell ref="JOB38:JOB39"/>
    <mergeCell ref="JOC38:JOC39"/>
    <mergeCell ref="JOD38:JOD39"/>
    <mergeCell ref="JOE38:JOG38"/>
    <mergeCell ref="JNW39:JNY39"/>
    <mergeCell ref="JOE39:JOG39"/>
    <mergeCell ref="JNJ38:JNJ39"/>
    <mergeCell ref="JNK38:JNK39"/>
    <mergeCell ref="JNL38:JNL39"/>
    <mergeCell ref="JNM38:JNM39"/>
    <mergeCell ref="JNN38:JNN39"/>
    <mergeCell ref="JNO38:JNQ38"/>
    <mergeCell ref="JNR38:JNR39"/>
    <mergeCell ref="JNS38:JNS39"/>
    <mergeCell ref="JNT38:JNT39"/>
    <mergeCell ref="JNO39:JNQ39"/>
    <mergeCell ref="JMW38:JMW39"/>
    <mergeCell ref="JMX38:JMX39"/>
    <mergeCell ref="JMY38:JNA38"/>
    <mergeCell ref="JNB38:JNB39"/>
    <mergeCell ref="JNC38:JNC39"/>
    <mergeCell ref="JND38:JND39"/>
    <mergeCell ref="JNE38:JNE39"/>
    <mergeCell ref="JNF38:JNF39"/>
    <mergeCell ref="JNG38:JNI38"/>
    <mergeCell ref="JMY39:JNA39"/>
    <mergeCell ref="JNG39:JNI39"/>
    <mergeCell ref="JML38:JML39"/>
    <mergeCell ref="JMM38:JMM39"/>
    <mergeCell ref="JMN38:JMN39"/>
    <mergeCell ref="JMO38:JMO39"/>
    <mergeCell ref="JMP38:JMP39"/>
    <mergeCell ref="JMQ38:JMS38"/>
    <mergeCell ref="JMT38:JMT39"/>
    <mergeCell ref="JMU38:JMU39"/>
    <mergeCell ref="JMV38:JMV39"/>
    <mergeCell ref="JMQ39:JMS39"/>
    <mergeCell ref="JLY38:JLY39"/>
    <mergeCell ref="JLZ38:JLZ39"/>
    <mergeCell ref="JMA38:JMC38"/>
    <mergeCell ref="JMD38:JMD39"/>
    <mergeCell ref="JME38:JME39"/>
    <mergeCell ref="JMF38:JMF39"/>
    <mergeCell ref="JMG38:JMG39"/>
    <mergeCell ref="JMH38:JMH39"/>
    <mergeCell ref="JMI38:JMK38"/>
    <mergeCell ref="JMA39:JMC39"/>
    <mergeCell ref="JMI39:JMK39"/>
    <mergeCell ref="JLN38:JLN39"/>
    <mergeCell ref="JLO38:JLO39"/>
    <mergeCell ref="JLP38:JLP39"/>
    <mergeCell ref="JLQ38:JLQ39"/>
    <mergeCell ref="JLR38:JLR39"/>
    <mergeCell ref="JLS38:JLU38"/>
    <mergeCell ref="JLV38:JLV39"/>
    <mergeCell ref="JLW38:JLW39"/>
    <mergeCell ref="JLX38:JLX39"/>
    <mergeCell ref="JLS39:JLU39"/>
    <mergeCell ref="JLA38:JLA39"/>
    <mergeCell ref="JLB38:JLB39"/>
    <mergeCell ref="JLC38:JLE38"/>
    <mergeCell ref="JLF38:JLF39"/>
    <mergeCell ref="JLG38:JLG39"/>
    <mergeCell ref="JLH38:JLH39"/>
    <mergeCell ref="JLI38:JLI39"/>
    <mergeCell ref="JLJ38:JLJ39"/>
    <mergeCell ref="JLK38:JLM38"/>
    <mergeCell ref="JLC39:JLE39"/>
    <mergeCell ref="JLK39:JLM39"/>
    <mergeCell ref="JKP38:JKP39"/>
    <mergeCell ref="JKQ38:JKQ39"/>
    <mergeCell ref="JKR38:JKR39"/>
    <mergeCell ref="JKS38:JKS39"/>
    <mergeCell ref="JKT38:JKT39"/>
    <mergeCell ref="JKU38:JKW38"/>
    <mergeCell ref="JKX38:JKX39"/>
    <mergeCell ref="JKY38:JKY39"/>
    <mergeCell ref="JKZ38:JKZ39"/>
    <mergeCell ref="JKU39:JKW39"/>
    <mergeCell ref="JKC38:JKC39"/>
    <mergeCell ref="JKD38:JKD39"/>
    <mergeCell ref="JKE38:JKG38"/>
    <mergeCell ref="JKH38:JKH39"/>
    <mergeCell ref="JKI38:JKI39"/>
    <mergeCell ref="JKJ38:JKJ39"/>
    <mergeCell ref="JKK38:JKK39"/>
    <mergeCell ref="JKL38:JKL39"/>
    <mergeCell ref="JKM38:JKO38"/>
    <mergeCell ref="JKE39:JKG39"/>
    <mergeCell ref="JKM39:JKO39"/>
    <mergeCell ref="JJR38:JJR39"/>
    <mergeCell ref="JJS38:JJS39"/>
    <mergeCell ref="JJT38:JJT39"/>
    <mergeCell ref="JJU38:JJU39"/>
    <mergeCell ref="JJV38:JJV39"/>
    <mergeCell ref="JJW38:JJY38"/>
    <mergeCell ref="JJZ38:JJZ39"/>
    <mergeCell ref="JKA38:JKA39"/>
    <mergeCell ref="JKB38:JKB39"/>
    <mergeCell ref="JJW39:JJY39"/>
    <mergeCell ref="JJE38:JJE39"/>
    <mergeCell ref="JJF38:JJF39"/>
    <mergeCell ref="JJG38:JJI38"/>
    <mergeCell ref="JJJ38:JJJ39"/>
    <mergeCell ref="JJK38:JJK39"/>
    <mergeCell ref="JJL38:JJL39"/>
    <mergeCell ref="JJM38:JJM39"/>
    <mergeCell ref="JJN38:JJN39"/>
    <mergeCell ref="JJO38:JJQ38"/>
    <mergeCell ref="JJG39:JJI39"/>
    <mergeCell ref="JJO39:JJQ39"/>
    <mergeCell ref="JIT38:JIT39"/>
    <mergeCell ref="JIU38:JIU39"/>
    <mergeCell ref="JIV38:JIV39"/>
    <mergeCell ref="JIW38:JIW39"/>
    <mergeCell ref="JIX38:JIX39"/>
    <mergeCell ref="JIY38:JJA38"/>
    <mergeCell ref="JJB38:JJB39"/>
    <mergeCell ref="JJC38:JJC39"/>
    <mergeCell ref="JJD38:JJD39"/>
    <mergeCell ref="JIY39:JJA39"/>
    <mergeCell ref="JIG38:JIG39"/>
    <mergeCell ref="JIH38:JIH39"/>
    <mergeCell ref="JII38:JIK38"/>
    <mergeCell ref="JIL38:JIL39"/>
    <mergeCell ref="JIM38:JIM39"/>
    <mergeCell ref="JIN38:JIN39"/>
    <mergeCell ref="JIO38:JIO39"/>
    <mergeCell ref="JIP38:JIP39"/>
    <mergeCell ref="JIQ38:JIS38"/>
    <mergeCell ref="JII39:JIK39"/>
    <mergeCell ref="JIQ39:JIS39"/>
    <mergeCell ref="JHV38:JHV39"/>
    <mergeCell ref="JHW38:JHW39"/>
    <mergeCell ref="JHX38:JHX39"/>
    <mergeCell ref="JHY38:JHY39"/>
    <mergeCell ref="JHZ38:JHZ39"/>
    <mergeCell ref="JIA38:JIC38"/>
    <mergeCell ref="JID38:JID39"/>
    <mergeCell ref="JIE38:JIE39"/>
    <mergeCell ref="JIF38:JIF39"/>
    <mergeCell ref="JIA39:JIC39"/>
    <mergeCell ref="JHI38:JHI39"/>
    <mergeCell ref="JHJ38:JHJ39"/>
    <mergeCell ref="JHK38:JHM38"/>
    <mergeCell ref="JHN38:JHN39"/>
    <mergeCell ref="JHO38:JHO39"/>
    <mergeCell ref="JHP38:JHP39"/>
    <mergeCell ref="JHQ38:JHQ39"/>
    <mergeCell ref="JHR38:JHR39"/>
    <mergeCell ref="JHS38:JHU38"/>
    <mergeCell ref="JHK39:JHM39"/>
    <mergeCell ref="JHS39:JHU39"/>
    <mergeCell ref="JGX38:JGX39"/>
    <mergeCell ref="JGY38:JGY39"/>
    <mergeCell ref="JGZ38:JGZ39"/>
    <mergeCell ref="JHA38:JHA39"/>
    <mergeCell ref="JHB38:JHB39"/>
    <mergeCell ref="JHC38:JHE38"/>
    <mergeCell ref="JHF38:JHF39"/>
    <mergeCell ref="JHG38:JHG39"/>
    <mergeCell ref="JHH38:JHH39"/>
    <mergeCell ref="JHC39:JHE39"/>
    <mergeCell ref="JGK38:JGK39"/>
    <mergeCell ref="JGL38:JGL39"/>
    <mergeCell ref="JGM38:JGO38"/>
    <mergeCell ref="JGP38:JGP39"/>
    <mergeCell ref="JGQ38:JGQ39"/>
    <mergeCell ref="JGR38:JGR39"/>
    <mergeCell ref="JGS38:JGS39"/>
    <mergeCell ref="JGT38:JGT39"/>
    <mergeCell ref="JGU38:JGW38"/>
    <mergeCell ref="JGM39:JGO39"/>
    <mergeCell ref="JGU39:JGW39"/>
    <mergeCell ref="JFZ38:JFZ39"/>
    <mergeCell ref="JGA38:JGA39"/>
    <mergeCell ref="JGB38:JGB39"/>
    <mergeCell ref="JGC38:JGC39"/>
    <mergeCell ref="JGD38:JGD39"/>
    <mergeCell ref="JGE38:JGG38"/>
    <mergeCell ref="JGH38:JGH39"/>
    <mergeCell ref="JGI38:JGI39"/>
    <mergeCell ref="JGJ38:JGJ39"/>
    <mergeCell ref="JGE39:JGG39"/>
    <mergeCell ref="JFM38:JFM39"/>
    <mergeCell ref="JFN38:JFN39"/>
    <mergeCell ref="JFO38:JFQ38"/>
    <mergeCell ref="JFR38:JFR39"/>
    <mergeCell ref="JFS38:JFS39"/>
    <mergeCell ref="JFT38:JFT39"/>
    <mergeCell ref="JFU38:JFU39"/>
    <mergeCell ref="JFV38:JFV39"/>
    <mergeCell ref="JFW38:JFY38"/>
    <mergeCell ref="JFO39:JFQ39"/>
    <mergeCell ref="JFW39:JFY39"/>
    <mergeCell ref="JFB38:JFB39"/>
    <mergeCell ref="JFC38:JFC39"/>
    <mergeCell ref="JFD38:JFD39"/>
    <mergeCell ref="JFE38:JFE39"/>
    <mergeCell ref="JFF38:JFF39"/>
    <mergeCell ref="JFG38:JFI38"/>
    <mergeCell ref="JFJ38:JFJ39"/>
    <mergeCell ref="JFK38:JFK39"/>
    <mergeCell ref="JFL38:JFL39"/>
    <mergeCell ref="JFG39:JFI39"/>
    <mergeCell ref="JEO38:JEO39"/>
    <mergeCell ref="JEP38:JEP39"/>
    <mergeCell ref="JEQ38:JES38"/>
    <mergeCell ref="JET38:JET39"/>
    <mergeCell ref="JEU38:JEU39"/>
    <mergeCell ref="JEV38:JEV39"/>
    <mergeCell ref="JEW38:JEW39"/>
    <mergeCell ref="JEX38:JEX39"/>
    <mergeCell ref="JEY38:JFA38"/>
    <mergeCell ref="JEQ39:JES39"/>
    <mergeCell ref="JEY39:JFA39"/>
    <mergeCell ref="JED38:JED39"/>
    <mergeCell ref="JEE38:JEE39"/>
    <mergeCell ref="JEF38:JEF39"/>
    <mergeCell ref="JEG38:JEG39"/>
    <mergeCell ref="JEH38:JEH39"/>
    <mergeCell ref="JEI38:JEK38"/>
    <mergeCell ref="JEL38:JEL39"/>
    <mergeCell ref="JEM38:JEM39"/>
    <mergeCell ref="JEN38:JEN39"/>
    <mergeCell ref="JEI39:JEK39"/>
    <mergeCell ref="JDQ38:JDQ39"/>
    <mergeCell ref="JDR38:JDR39"/>
    <mergeCell ref="JDS38:JDU38"/>
    <mergeCell ref="JDV38:JDV39"/>
    <mergeCell ref="JDW38:JDW39"/>
    <mergeCell ref="JDX38:JDX39"/>
    <mergeCell ref="JDY38:JDY39"/>
    <mergeCell ref="JDZ38:JDZ39"/>
    <mergeCell ref="JEA38:JEC38"/>
    <mergeCell ref="JDS39:JDU39"/>
    <mergeCell ref="JEA39:JEC39"/>
    <mergeCell ref="JDF38:JDF39"/>
    <mergeCell ref="JDG38:JDG39"/>
    <mergeCell ref="JDH38:JDH39"/>
    <mergeCell ref="JDI38:JDI39"/>
    <mergeCell ref="JDJ38:JDJ39"/>
    <mergeCell ref="JDK38:JDM38"/>
    <mergeCell ref="JDN38:JDN39"/>
    <mergeCell ref="JDO38:JDO39"/>
    <mergeCell ref="JDP38:JDP39"/>
    <mergeCell ref="JDK39:JDM39"/>
    <mergeCell ref="JCS38:JCS39"/>
    <mergeCell ref="JCT38:JCT39"/>
    <mergeCell ref="JCU38:JCW38"/>
    <mergeCell ref="JCX38:JCX39"/>
    <mergeCell ref="JCY38:JCY39"/>
    <mergeCell ref="JCZ38:JCZ39"/>
    <mergeCell ref="JDA38:JDA39"/>
    <mergeCell ref="JDB38:JDB39"/>
    <mergeCell ref="JDC38:JDE38"/>
    <mergeCell ref="JCU39:JCW39"/>
    <mergeCell ref="JDC39:JDE39"/>
    <mergeCell ref="JCH38:JCH39"/>
    <mergeCell ref="JCI38:JCI39"/>
    <mergeCell ref="JCJ38:JCJ39"/>
    <mergeCell ref="JCK38:JCK39"/>
    <mergeCell ref="JCL38:JCL39"/>
    <mergeCell ref="JCM38:JCO38"/>
    <mergeCell ref="JCP38:JCP39"/>
    <mergeCell ref="JCQ38:JCQ39"/>
    <mergeCell ref="JCR38:JCR39"/>
    <mergeCell ref="JCM39:JCO39"/>
    <mergeCell ref="JBU38:JBU39"/>
    <mergeCell ref="JBV38:JBV39"/>
    <mergeCell ref="JBW38:JBY38"/>
    <mergeCell ref="JBZ38:JBZ39"/>
    <mergeCell ref="JCA38:JCA39"/>
    <mergeCell ref="JCB38:JCB39"/>
    <mergeCell ref="JCC38:JCC39"/>
    <mergeCell ref="JCD38:JCD39"/>
    <mergeCell ref="JCE38:JCG38"/>
    <mergeCell ref="JBW39:JBY39"/>
    <mergeCell ref="JCE39:JCG39"/>
    <mergeCell ref="JBJ38:JBJ39"/>
    <mergeCell ref="JBK38:JBK39"/>
    <mergeCell ref="JBL38:JBL39"/>
    <mergeCell ref="JBM38:JBM39"/>
    <mergeCell ref="JBN38:JBN39"/>
    <mergeCell ref="JBO38:JBQ38"/>
    <mergeCell ref="JBR38:JBR39"/>
    <mergeCell ref="JBS38:JBS39"/>
    <mergeCell ref="JBT38:JBT39"/>
    <mergeCell ref="JBO39:JBQ39"/>
    <mergeCell ref="JAW38:JAW39"/>
    <mergeCell ref="JAX38:JAX39"/>
    <mergeCell ref="JAY38:JBA38"/>
    <mergeCell ref="JBB38:JBB39"/>
    <mergeCell ref="JBC38:JBC39"/>
    <mergeCell ref="JBD38:JBD39"/>
    <mergeCell ref="JBE38:JBE39"/>
    <mergeCell ref="JBF38:JBF39"/>
    <mergeCell ref="JBG38:JBI38"/>
    <mergeCell ref="JAY39:JBA39"/>
    <mergeCell ref="JBG39:JBI39"/>
    <mergeCell ref="JAL38:JAL39"/>
    <mergeCell ref="JAM38:JAM39"/>
    <mergeCell ref="JAN38:JAN39"/>
    <mergeCell ref="JAO38:JAO39"/>
    <mergeCell ref="JAP38:JAP39"/>
    <mergeCell ref="JAQ38:JAS38"/>
    <mergeCell ref="JAT38:JAT39"/>
    <mergeCell ref="JAU38:JAU39"/>
    <mergeCell ref="JAV38:JAV39"/>
    <mergeCell ref="JAQ39:JAS39"/>
    <mergeCell ref="IZY38:IZY39"/>
    <mergeCell ref="IZZ38:IZZ39"/>
    <mergeCell ref="JAA38:JAC38"/>
    <mergeCell ref="JAD38:JAD39"/>
    <mergeCell ref="JAE38:JAE39"/>
    <mergeCell ref="JAF38:JAF39"/>
    <mergeCell ref="JAG38:JAG39"/>
    <mergeCell ref="JAH38:JAH39"/>
    <mergeCell ref="JAI38:JAK38"/>
    <mergeCell ref="JAA39:JAC39"/>
    <mergeCell ref="JAI39:JAK39"/>
    <mergeCell ref="IZN38:IZN39"/>
    <mergeCell ref="IZO38:IZO39"/>
    <mergeCell ref="IZP38:IZP39"/>
    <mergeCell ref="IZQ38:IZQ39"/>
    <mergeCell ref="IZR38:IZR39"/>
    <mergeCell ref="IZS38:IZU38"/>
    <mergeCell ref="IZV38:IZV39"/>
    <mergeCell ref="IZW38:IZW39"/>
    <mergeCell ref="IZX38:IZX39"/>
    <mergeCell ref="IZS39:IZU39"/>
    <mergeCell ref="IZA38:IZA39"/>
    <mergeCell ref="IZB38:IZB39"/>
    <mergeCell ref="IZC38:IZE38"/>
    <mergeCell ref="IZF38:IZF39"/>
    <mergeCell ref="IZG38:IZG39"/>
    <mergeCell ref="IZH38:IZH39"/>
    <mergeCell ref="IZI38:IZI39"/>
    <mergeCell ref="IZJ38:IZJ39"/>
    <mergeCell ref="IZK38:IZM38"/>
    <mergeCell ref="IZC39:IZE39"/>
    <mergeCell ref="IZK39:IZM39"/>
    <mergeCell ref="IYP38:IYP39"/>
    <mergeCell ref="IYQ38:IYQ39"/>
    <mergeCell ref="IYR38:IYR39"/>
    <mergeCell ref="IYS38:IYS39"/>
    <mergeCell ref="IYT38:IYT39"/>
    <mergeCell ref="IYU38:IYW38"/>
    <mergeCell ref="IYX38:IYX39"/>
    <mergeCell ref="IYY38:IYY39"/>
    <mergeCell ref="IYZ38:IYZ39"/>
    <mergeCell ref="IYU39:IYW39"/>
    <mergeCell ref="IYC38:IYC39"/>
    <mergeCell ref="IYD38:IYD39"/>
    <mergeCell ref="IYE38:IYG38"/>
    <mergeCell ref="IYH38:IYH39"/>
    <mergeCell ref="IYI38:IYI39"/>
    <mergeCell ref="IYJ38:IYJ39"/>
    <mergeCell ref="IYK38:IYK39"/>
    <mergeCell ref="IYL38:IYL39"/>
    <mergeCell ref="IYM38:IYO38"/>
    <mergeCell ref="IYE39:IYG39"/>
    <mergeCell ref="IYM39:IYO39"/>
    <mergeCell ref="IXR38:IXR39"/>
    <mergeCell ref="IXS38:IXS39"/>
    <mergeCell ref="IXT38:IXT39"/>
    <mergeCell ref="IXU38:IXU39"/>
    <mergeCell ref="IXV38:IXV39"/>
    <mergeCell ref="IXW38:IXY38"/>
    <mergeCell ref="IXZ38:IXZ39"/>
    <mergeCell ref="IYA38:IYA39"/>
    <mergeCell ref="IYB38:IYB39"/>
    <mergeCell ref="IXW39:IXY39"/>
    <mergeCell ref="IXE38:IXE39"/>
    <mergeCell ref="IXF38:IXF39"/>
    <mergeCell ref="IXG38:IXI38"/>
    <mergeCell ref="IXJ38:IXJ39"/>
    <mergeCell ref="IXK38:IXK39"/>
    <mergeCell ref="IXL38:IXL39"/>
    <mergeCell ref="IXM38:IXM39"/>
    <mergeCell ref="IXN38:IXN39"/>
    <mergeCell ref="IXO38:IXQ38"/>
    <mergeCell ref="IXG39:IXI39"/>
    <mergeCell ref="IXO39:IXQ39"/>
    <mergeCell ref="IWT38:IWT39"/>
    <mergeCell ref="IWU38:IWU39"/>
    <mergeCell ref="IWV38:IWV39"/>
    <mergeCell ref="IWW38:IWW39"/>
    <mergeCell ref="IWX38:IWX39"/>
    <mergeCell ref="IWY38:IXA38"/>
    <mergeCell ref="IXB38:IXB39"/>
    <mergeCell ref="IXC38:IXC39"/>
    <mergeCell ref="IXD38:IXD39"/>
    <mergeCell ref="IWY39:IXA39"/>
    <mergeCell ref="IWG38:IWG39"/>
    <mergeCell ref="IWH38:IWH39"/>
    <mergeCell ref="IWI38:IWK38"/>
    <mergeCell ref="IWL38:IWL39"/>
    <mergeCell ref="IWM38:IWM39"/>
    <mergeCell ref="IWN38:IWN39"/>
    <mergeCell ref="IWO38:IWO39"/>
    <mergeCell ref="IWP38:IWP39"/>
    <mergeCell ref="IWQ38:IWS38"/>
    <mergeCell ref="IWI39:IWK39"/>
    <mergeCell ref="IWQ39:IWS39"/>
    <mergeCell ref="IVV38:IVV39"/>
    <mergeCell ref="IVW38:IVW39"/>
    <mergeCell ref="IVX38:IVX39"/>
    <mergeCell ref="IVY38:IVY39"/>
    <mergeCell ref="IVZ38:IVZ39"/>
    <mergeCell ref="IWA38:IWC38"/>
    <mergeCell ref="IWD38:IWD39"/>
    <mergeCell ref="IWE38:IWE39"/>
    <mergeCell ref="IWF38:IWF39"/>
    <mergeCell ref="IWA39:IWC39"/>
    <mergeCell ref="IVI38:IVI39"/>
    <mergeCell ref="IVJ38:IVJ39"/>
    <mergeCell ref="IVK38:IVM38"/>
    <mergeCell ref="IVN38:IVN39"/>
    <mergeCell ref="IVO38:IVO39"/>
    <mergeCell ref="IVP38:IVP39"/>
    <mergeCell ref="IVQ38:IVQ39"/>
    <mergeCell ref="IVR38:IVR39"/>
    <mergeCell ref="IVS38:IVU38"/>
    <mergeCell ref="IVK39:IVM39"/>
    <mergeCell ref="IVS39:IVU39"/>
    <mergeCell ref="IUX38:IUX39"/>
    <mergeCell ref="IUY38:IUY39"/>
    <mergeCell ref="IUZ38:IUZ39"/>
    <mergeCell ref="IVA38:IVA39"/>
    <mergeCell ref="IVB38:IVB39"/>
    <mergeCell ref="IVC38:IVE38"/>
    <mergeCell ref="IVF38:IVF39"/>
    <mergeCell ref="IVG38:IVG39"/>
    <mergeCell ref="IVH38:IVH39"/>
    <mergeCell ref="IVC39:IVE39"/>
    <mergeCell ref="IUK38:IUK39"/>
    <mergeCell ref="IUL38:IUL39"/>
    <mergeCell ref="IUM38:IUO38"/>
    <mergeCell ref="IUP38:IUP39"/>
    <mergeCell ref="IUQ38:IUQ39"/>
    <mergeCell ref="IUR38:IUR39"/>
    <mergeCell ref="IUS38:IUS39"/>
    <mergeCell ref="IUT38:IUT39"/>
    <mergeCell ref="IUU38:IUW38"/>
    <mergeCell ref="IUM39:IUO39"/>
    <mergeCell ref="IUU39:IUW39"/>
    <mergeCell ref="ITZ38:ITZ39"/>
    <mergeCell ref="IUA38:IUA39"/>
    <mergeCell ref="IUB38:IUB39"/>
    <mergeCell ref="IUC38:IUC39"/>
    <mergeCell ref="IUD38:IUD39"/>
    <mergeCell ref="IUE38:IUG38"/>
    <mergeCell ref="IUH38:IUH39"/>
    <mergeCell ref="IUI38:IUI39"/>
    <mergeCell ref="IUJ38:IUJ39"/>
    <mergeCell ref="IUE39:IUG39"/>
    <mergeCell ref="ITM38:ITM39"/>
    <mergeCell ref="ITN38:ITN39"/>
    <mergeCell ref="ITO38:ITQ38"/>
    <mergeCell ref="ITR38:ITR39"/>
    <mergeCell ref="ITS38:ITS39"/>
    <mergeCell ref="ITT38:ITT39"/>
    <mergeCell ref="ITU38:ITU39"/>
    <mergeCell ref="ITV38:ITV39"/>
    <mergeCell ref="ITW38:ITY38"/>
    <mergeCell ref="ITO39:ITQ39"/>
    <mergeCell ref="ITW39:ITY39"/>
    <mergeCell ref="ITB38:ITB39"/>
    <mergeCell ref="ITC38:ITC39"/>
    <mergeCell ref="ITD38:ITD39"/>
    <mergeCell ref="ITE38:ITE39"/>
    <mergeCell ref="ITF38:ITF39"/>
    <mergeCell ref="ITG38:ITI38"/>
    <mergeCell ref="ITJ38:ITJ39"/>
    <mergeCell ref="ITK38:ITK39"/>
    <mergeCell ref="ITL38:ITL39"/>
    <mergeCell ref="ITG39:ITI39"/>
    <mergeCell ref="ISO38:ISO39"/>
    <mergeCell ref="ISP38:ISP39"/>
    <mergeCell ref="ISQ38:ISS38"/>
    <mergeCell ref="IST38:IST39"/>
    <mergeCell ref="ISU38:ISU39"/>
    <mergeCell ref="ISV38:ISV39"/>
    <mergeCell ref="ISW38:ISW39"/>
    <mergeCell ref="ISX38:ISX39"/>
    <mergeCell ref="ISY38:ITA38"/>
    <mergeCell ref="ISQ39:ISS39"/>
    <mergeCell ref="ISY39:ITA39"/>
    <mergeCell ref="ISD38:ISD39"/>
    <mergeCell ref="ISE38:ISE39"/>
    <mergeCell ref="ISF38:ISF39"/>
    <mergeCell ref="ISG38:ISG39"/>
    <mergeCell ref="ISH38:ISH39"/>
    <mergeCell ref="ISI38:ISK38"/>
    <mergeCell ref="ISL38:ISL39"/>
    <mergeCell ref="ISM38:ISM39"/>
    <mergeCell ref="ISN38:ISN39"/>
    <mergeCell ref="ISI39:ISK39"/>
    <mergeCell ref="IRQ38:IRQ39"/>
    <mergeCell ref="IRR38:IRR39"/>
    <mergeCell ref="IRS38:IRU38"/>
    <mergeCell ref="IRV38:IRV39"/>
    <mergeCell ref="IRW38:IRW39"/>
    <mergeCell ref="IRX38:IRX39"/>
    <mergeCell ref="IRY38:IRY39"/>
    <mergeCell ref="IRZ38:IRZ39"/>
    <mergeCell ref="ISA38:ISC38"/>
    <mergeCell ref="IRS39:IRU39"/>
    <mergeCell ref="ISA39:ISC39"/>
    <mergeCell ref="IRF38:IRF39"/>
    <mergeCell ref="IRG38:IRG39"/>
    <mergeCell ref="IRH38:IRH39"/>
    <mergeCell ref="IRI38:IRI39"/>
    <mergeCell ref="IRJ38:IRJ39"/>
    <mergeCell ref="IRK38:IRM38"/>
    <mergeCell ref="IRN38:IRN39"/>
    <mergeCell ref="IRO38:IRO39"/>
    <mergeCell ref="IRP38:IRP39"/>
    <mergeCell ref="IRK39:IRM39"/>
    <mergeCell ref="IQS38:IQS39"/>
    <mergeCell ref="IQT38:IQT39"/>
    <mergeCell ref="IQU38:IQW38"/>
    <mergeCell ref="IQX38:IQX39"/>
    <mergeCell ref="IQY38:IQY39"/>
    <mergeCell ref="IQZ38:IQZ39"/>
    <mergeCell ref="IRA38:IRA39"/>
    <mergeCell ref="IRB38:IRB39"/>
    <mergeCell ref="IRC38:IRE38"/>
    <mergeCell ref="IQU39:IQW39"/>
    <mergeCell ref="IRC39:IRE39"/>
    <mergeCell ref="IQH38:IQH39"/>
    <mergeCell ref="IQI38:IQI39"/>
    <mergeCell ref="IQJ38:IQJ39"/>
    <mergeCell ref="IQK38:IQK39"/>
    <mergeCell ref="IQL38:IQL39"/>
    <mergeCell ref="IQM38:IQO38"/>
    <mergeCell ref="IQP38:IQP39"/>
    <mergeCell ref="IQQ38:IQQ39"/>
    <mergeCell ref="IQR38:IQR39"/>
    <mergeCell ref="IQM39:IQO39"/>
    <mergeCell ref="IPU38:IPU39"/>
    <mergeCell ref="IPV38:IPV39"/>
    <mergeCell ref="IPW38:IPY38"/>
    <mergeCell ref="IPZ38:IPZ39"/>
    <mergeCell ref="IQA38:IQA39"/>
    <mergeCell ref="IQB38:IQB39"/>
    <mergeCell ref="IQC38:IQC39"/>
    <mergeCell ref="IQD38:IQD39"/>
    <mergeCell ref="IQE38:IQG38"/>
    <mergeCell ref="IPW39:IPY39"/>
    <mergeCell ref="IQE39:IQG39"/>
    <mergeCell ref="IPJ38:IPJ39"/>
    <mergeCell ref="IPK38:IPK39"/>
    <mergeCell ref="IPL38:IPL39"/>
    <mergeCell ref="IPM38:IPM39"/>
    <mergeCell ref="IPN38:IPN39"/>
    <mergeCell ref="IPO38:IPQ38"/>
    <mergeCell ref="IPR38:IPR39"/>
    <mergeCell ref="IPS38:IPS39"/>
    <mergeCell ref="IPT38:IPT39"/>
    <mergeCell ref="IPO39:IPQ39"/>
    <mergeCell ref="IOW38:IOW39"/>
    <mergeCell ref="IOX38:IOX39"/>
    <mergeCell ref="IOY38:IPA38"/>
    <mergeCell ref="IPB38:IPB39"/>
    <mergeCell ref="IPC38:IPC39"/>
    <mergeCell ref="IPD38:IPD39"/>
    <mergeCell ref="IPE38:IPE39"/>
    <mergeCell ref="IPF38:IPF39"/>
    <mergeCell ref="IPG38:IPI38"/>
    <mergeCell ref="IOY39:IPA39"/>
    <mergeCell ref="IPG39:IPI39"/>
    <mergeCell ref="IOL38:IOL39"/>
    <mergeCell ref="IOM38:IOM39"/>
    <mergeCell ref="ION38:ION39"/>
    <mergeCell ref="IOO38:IOO39"/>
    <mergeCell ref="IOP38:IOP39"/>
    <mergeCell ref="IOQ38:IOS38"/>
    <mergeCell ref="IOT38:IOT39"/>
    <mergeCell ref="IOU38:IOU39"/>
    <mergeCell ref="IOV38:IOV39"/>
    <mergeCell ref="IOQ39:IOS39"/>
    <mergeCell ref="INY38:INY39"/>
    <mergeCell ref="INZ38:INZ39"/>
    <mergeCell ref="IOA38:IOC38"/>
    <mergeCell ref="IOD38:IOD39"/>
    <mergeCell ref="IOE38:IOE39"/>
    <mergeCell ref="IOF38:IOF39"/>
    <mergeCell ref="IOG38:IOG39"/>
    <mergeCell ref="IOH38:IOH39"/>
    <mergeCell ref="IOI38:IOK38"/>
    <mergeCell ref="IOA39:IOC39"/>
    <mergeCell ref="IOI39:IOK39"/>
    <mergeCell ref="INN38:INN39"/>
    <mergeCell ref="INO38:INO39"/>
    <mergeCell ref="INP38:INP39"/>
    <mergeCell ref="INQ38:INQ39"/>
    <mergeCell ref="INR38:INR39"/>
    <mergeCell ref="INS38:INU38"/>
    <mergeCell ref="INV38:INV39"/>
    <mergeCell ref="INW38:INW39"/>
    <mergeCell ref="INX38:INX39"/>
    <mergeCell ref="INS39:INU39"/>
    <mergeCell ref="INA38:INA39"/>
    <mergeCell ref="INB38:INB39"/>
    <mergeCell ref="INC38:INE38"/>
    <mergeCell ref="INF38:INF39"/>
    <mergeCell ref="ING38:ING39"/>
    <mergeCell ref="INH38:INH39"/>
    <mergeCell ref="INI38:INI39"/>
    <mergeCell ref="INJ38:INJ39"/>
    <mergeCell ref="INK38:INM38"/>
    <mergeCell ref="INC39:INE39"/>
    <mergeCell ref="INK39:INM39"/>
    <mergeCell ref="IMP38:IMP39"/>
    <mergeCell ref="IMQ38:IMQ39"/>
    <mergeCell ref="IMR38:IMR39"/>
    <mergeCell ref="IMS38:IMS39"/>
    <mergeCell ref="IMT38:IMT39"/>
    <mergeCell ref="IMU38:IMW38"/>
    <mergeCell ref="IMX38:IMX39"/>
    <mergeCell ref="IMY38:IMY39"/>
    <mergeCell ref="IMZ38:IMZ39"/>
    <mergeCell ref="IMU39:IMW39"/>
    <mergeCell ref="IMC38:IMC39"/>
    <mergeCell ref="IMD38:IMD39"/>
    <mergeCell ref="IME38:IMG38"/>
    <mergeCell ref="IMH38:IMH39"/>
    <mergeCell ref="IMI38:IMI39"/>
    <mergeCell ref="IMJ38:IMJ39"/>
    <mergeCell ref="IMK38:IMK39"/>
    <mergeCell ref="IML38:IML39"/>
    <mergeCell ref="IMM38:IMO38"/>
    <mergeCell ref="IME39:IMG39"/>
    <mergeCell ref="IMM39:IMO39"/>
    <mergeCell ref="ILR38:ILR39"/>
    <mergeCell ref="ILS38:ILS39"/>
    <mergeCell ref="ILT38:ILT39"/>
    <mergeCell ref="ILU38:ILU39"/>
    <mergeCell ref="ILV38:ILV39"/>
    <mergeCell ref="ILW38:ILY38"/>
    <mergeCell ref="ILZ38:ILZ39"/>
    <mergeCell ref="IMA38:IMA39"/>
    <mergeCell ref="IMB38:IMB39"/>
    <mergeCell ref="ILW39:ILY39"/>
    <mergeCell ref="ILE38:ILE39"/>
    <mergeCell ref="ILF38:ILF39"/>
    <mergeCell ref="ILG38:ILI38"/>
    <mergeCell ref="ILJ38:ILJ39"/>
    <mergeCell ref="ILK38:ILK39"/>
    <mergeCell ref="ILL38:ILL39"/>
    <mergeCell ref="ILM38:ILM39"/>
    <mergeCell ref="ILN38:ILN39"/>
    <mergeCell ref="ILO38:ILQ38"/>
    <mergeCell ref="ILG39:ILI39"/>
    <mergeCell ref="ILO39:ILQ39"/>
    <mergeCell ref="IKT38:IKT39"/>
    <mergeCell ref="IKU38:IKU39"/>
    <mergeCell ref="IKV38:IKV39"/>
    <mergeCell ref="IKW38:IKW39"/>
    <mergeCell ref="IKX38:IKX39"/>
    <mergeCell ref="IKY38:ILA38"/>
    <mergeCell ref="ILB38:ILB39"/>
    <mergeCell ref="ILC38:ILC39"/>
    <mergeCell ref="ILD38:ILD39"/>
    <mergeCell ref="IKY39:ILA39"/>
    <mergeCell ref="IKG38:IKG39"/>
    <mergeCell ref="IKH38:IKH39"/>
    <mergeCell ref="IKI38:IKK38"/>
    <mergeCell ref="IKL38:IKL39"/>
    <mergeCell ref="IKM38:IKM39"/>
    <mergeCell ref="IKN38:IKN39"/>
    <mergeCell ref="IKO38:IKO39"/>
    <mergeCell ref="IKP38:IKP39"/>
    <mergeCell ref="IKQ38:IKS38"/>
    <mergeCell ref="IKI39:IKK39"/>
    <mergeCell ref="IKQ39:IKS39"/>
    <mergeCell ref="IJV38:IJV39"/>
    <mergeCell ref="IJW38:IJW39"/>
    <mergeCell ref="IJX38:IJX39"/>
    <mergeCell ref="IJY38:IJY39"/>
    <mergeCell ref="IJZ38:IJZ39"/>
    <mergeCell ref="IKA38:IKC38"/>
    <mergeCell ref="IKD38:IKD39"/>
    <mergeCell ref="IKE38:IKE39"/>
    <mergeCell ref="IKF38:IKF39"/>
    <mergeCell ref="IKA39:IKC39"/>
    <mergeCell ref="IJI38:IJI39"/>
    <mergeCell ref="IJJ38:IJJ39"/>
    <mergeCell ref="IJK38:IJM38"/>
    <mergeCell ref="IJN38:IJN39"/>
    <mergeCell ref="IJO38:IJO39"/>
    <mergeCell ref="IJP38:IJP39"/>
    <mergeCell ref="IJQ38:IJQ39"/>
    <mergeCell ref="IJR38:IJR39"/>
    <mergeCell ref="IJS38:IJU38"/>
    <mergeCell ref="IJK39:IJM39"/>
    <mergeCell ref="IJS39:IJU39"/>
    <mergeCell ref="IIX38:IIX39"/>
    <mergeCell ref="IIY38:IIY39"/>
    <mergeCell ref="IIZ38:IIZ39"/>
    <mergeCell ref="IJA38:IJA39"/>
    <mergeCell ref="IJB38:IJB39"/>
    <mergeCell ref="IJC38:IJE38"/>
    <mergeCell ref="IJF38:IJF39"/>
    <mergeCell ref="IJG38:IJG39"/>
    <mergeCell ref="IJH38:IJH39"/>
    <mergeCell ref="IJC39:IJE39"/>
    <mergeCell ref="IIK38:IIK39"/>
    <mergeCell ref="IIL38:IIL39"/>
    <mergeCell ref="IIM38:IIO38"/>
    <mergeCell ref="IIP38:IIP39"/>
    <mergeCell ref="IIQ38:IIQ39"/>
    <mergeCell ref="IIR38:IIR39"/>
    <mergeCell ref="IIS38:IIS39"/>
    <mergeCell ref="IIT38:IIT39"/>
    <mergeCell ref="IIU38:IIW38"/>
    <mergeCell ref="IIM39:IIO39"/>
    <mergeCell ref="IIU39:IIW39"/>
    <mergeCell ref="IHZ38:IHZ39"/>
    <mergeCell ref="IIA38:IIA39"/>
    <mergeCell ref="IIB38:IIB39"/>
    <mergeCell ref="IIC38:IIC39"/>
    <mergeCell ref="IID38:IID39"/>
    <mergeCell ref="IIE38:IIG38"/>
    <mergeCell ref="IIH38:IIH39"/>
    <mergeCell ref="III38:III39"/>
    <mergeCell ref="IIJ38:IIJ39"/>
    <mergeCell ref="IIE39:IIG39"/>
    <mergeCell ref="IHM38:IHM39"/>
    <mergeCell ref="IHN38:IHN39"/>
    <mergeCell ref="IHO38:IHQ38"/>
    <mergeCell ref="IHR38:IHR39"/>
    <mergeCell ref="IHS38:IHS39"/>
    <mergeCell ref="IHT38:IHT39"/>
    <mergeCell ref="IHU38:IHU39"/>
    <mergeCell ref="IHV38:IHV39"/>
    <mergeCell ref="IHW38:IHY38"/>
    <mergeCell ref="IHO39:IHQ39"/>
    <mergeCell ref="IHW39:IHY39"/>
    <mergeCell ref="IHB38:IHB39"/>
    <mergeCell ref="IHC38:IHC39"/>
    <mergeCell ref="IHD38:IHD39"/>
    <mergeCell ref="IHE38:IHE39"/>
    <mergeCell ref="IHF38:IHF39"/>
    <mergeCell ref="IHG38:IHI38"/>
    <mergeCell ref="IHJ38:IHJ39"/>
    <mergeCell ref="IHK38:IHK39"/>
    <mergeCell ref="IHL38:IHL39"/>
    <mergeCell ref="IHG39:IHI39"/>
    <mergeCell ref="IGO38:IGO39"/>
    <mergeCell ref="IGP38:IGP39"/>
    <mergeCell ref="IGQ38:IGS38"/>
    <mergeCell ref="IGT38:IGT39"/>
    <mergeCell ref="IGU38:IGU39"/>
    <mergeCell ref="IGV38:IGV39"/>
    <mergeCell ref="IGW38:IGW39"/>
    <mergeCell ref="IGX38:IGX39"/>
    <mergeCell ref="IGY38:IHA38"/>
    <mergeCell ref="IGQ39:IGS39"/>
    <mergeCell ref="IGY39:IHA39"/>
    <mergeCell ref="IGD38:IGD39"/>
    <mergeCell ref="IGE38:IGE39"/>
    <mergeCell ref="IGF38:IGF39"/>
    <mergeCell ref="IGG38:IGG39"/>
    <mergeCell ref="IGH38:IGH39"/>
    <mergeCell ref="IGI38:IGK38"/>
    <mergeCell ref="IGL38:IGL39"/>
    <mergeCell ref="IGM38:IGM39"/>
    <mergeCell ref="IGN38:IGN39"/>
    <mergeCell ref="IGI39:IGK39"/>
    <mergeCell ref="IFQ38:IFQ39"/>
    <mergeCell ref="IFR38:IFR39"/>
    <mergeCell ref="IFS38:IFU38"/>
    <mergeCell ref="IFV38:IFV39"/>
    <mergeCell ref="IFW38:IFW39"/>
    <mergeCell ref="IFX38:IFX39"/>
    <mergeCell ref="IFY38:IFY39"/>
    <mergeCell ref="IFZ38:IFZ39"/>
    <mergeCell ref="IGA38:IGC38"/>
    <mergeCell ref="IFS39:IFU39"/>
    <mergeCell ref="IGA39:IGC39"/>
    <mergeCell ref="IFF38:IFF39"/>
    <mergeCell ref="IFG38:IFG39"/>
    <mergeCell ref="IFH38:IFH39"/>
    <mergeCell ref="IFI38:IFI39"/>
    <mergeCell ref="IFJ38:IFJ39"/>
    <mergeCell ref="IFK38:IFM38"/>
    <mergeCell ref="IFN38:IFN39"/>
    <mergeCell ref="IFO38:IFO39"/>
    <mergeCell ref="IFP38:IFP39"/>
    <mergeCell ref="IFK39:IFM39"/>
    <mergeCell ref="IES38:IES39"/>
    <mergeCell ref="IET38:IET39"/>
    <mergeCell ref="IEU38:IEW38"/>
    <mergeCell ref="IEX38:IEX39"/>
    <mergeCell ref="IEY38:IEY39"/>
    <mergeCell ref="IEZ38:IEZ39"/>
    <mergeCell ref="IFA38:IFA39"/>
    <mergeCell ref="IFB38:IFB39"/>
    <mergeCell ref="IFC38:IFE38"/>
    <mergeCell ref="IEU39:IEW39"/>
    <mergeCell ref="IFC39:IFE39"/>
    <mergeCell ref="IEH38:IEH39"/>
    <mergeCell ref="IEI38:IEI39"/>
    <mergeCell ref="IEJ38:IEJ39"/>
    <mergeCell ref="IEK38:IEK39"/>
    <mergeCell ref="IEL38:IEL39"/>
    <mergeCell ref="IEM38:IEO38"/>
    <mergeCell ref="IEP38:IEP39"/>
    <mergeCell ref="IEQ38:IEQ39"/>
    <mergeCell ref="IER38:IER39"/>
    <mergeCell ref="IEM39:IEO39"/>
    <mergeCell ref="IDU38:IDU39"/>
    <mergeCell ref="IDV38:IDV39"/>
    <mergeCell ref="IDW38:IDY38"/>
    <mergeCell ref="IDZ38:IDZ39"/>
    <mergeCell ref="IEA38:IEA39"/>
    <mergeCell ref="IEB38:IEB39"/>
    <mergeCell ref="IEC38:IEC39"/>
    <mergeCell ref="IED38:IED39"/>
    <mergeCell ref="IEE38:IEG38"/>
    <mergeCell ref="IDW39:IDY39"/>
    <mergeCell ref="IEE39:IEG39"/>
    <mergeCell ref="IDJ38:IDJ39"/>
    <mergeCell ref="IDK38:IDK39"/>
    <mergeCell ref="IDL38:IDL39"/>
    <mergeCell ref="IDM38:IDM39"/>
    <mergeCell ref="IDN38:IDN39"/>
    <mergeCell ref="IDO38:IDQ38"/>
    <mergeCell ref="IDR38:IDR39"/>
    <mergeCell ref="IDS38:IDS39"/>
    <mergeCell ref="IDT38:IDT39"/>
    <mergeCell ref="IDO39:IDQ39"/>
    <mergeCell ref="ICW38:ICW39"/>
    <mergeCell ref="ICX38:ICX39"/>
    <mergeCell ref="ICY38:IDA38"/>
    <mergeCell ref="IDB38:IDB39"/>
    <mergeCell ref="IDC38:IDC39"/>
    <mergeCell ref="IDD38:IDD39"/>
    <mergeCell ref="IDE38:IDE39"/>
    <mergeCell ref="IDF38:IDF39"/>
    <mergeCell ref="IDG38:IDI38"/>
    <mergeCell ref="ICY39:IDA39"/>
    <mergeCell ref="IDG39:IDI39"/>
    <mergeCell ref="ICL38:ICL39"/>
    <mergeCell ref="ICM38:ICM39"/>
    <mergeCell ref="ICN38:ICN39"/>
    <mergeCell ref="ICO38:ICO39"/>
    <mergeCell ref="ICP38:ICP39"/>
    <mergeCell ref="ICQ38:ICS38"/>
    <mergeCell ref="ICT38:ICT39"/>
    <mergeCell ref="ICU38:ICU39"/>
    <mergeCell ref="ICV38:ICV39"/>
    <mergeCell ref="ICQ39:ICS39"/>
    <mergeCell ref="IBY38:IBY39"/>
    <mergeCell ref="IBZ38:IBZ39"/>
    <mergeCell ref="ICA38:ICC38"/>
    <mergeCell ref="ICD38:ICD39"/>
    <mergeCell ref="ICE38:ICE39"/>
    <mergeCell ref="ICF38:ICF39"/>
    <mergeCell ref="ICG38:ICG39"/>
    <mergeCell ref="ICH38:ICH39"/>
    <mergeCell ref="ICI38:ICK38"/>
    <mergeCell ref="ICA39:ICC39"/>
    <mergeCell ref="ICI39:ICK39"/>
    <mergeCell ref="IBN38:IBN39"/>
    <mergeCell ref="IBO38:IBO39"/>
    <mergeCell ref="IBP38:IBP39"/>
    <mergeCell ref="IBQ38:IBQ39"/>
    <mergeCell ref="IBR38:IBR39"/>
    <mergeCell ref="IBS38:IBU38"/>
    <mergeCell ref="IBV38:IBV39"/>
    <mergeCell ref="IBW38:IBW39"/>
    <mergeCell ref="IBX38:IBX39"/>
    <mergeCell ref="IBS39:IBU39"/>
    <mergeCell ref="IBA38:IBA39"/>
    <mergeCell ref="IBB38:IBB39"/>
    <mergeCell ref="IBC38:IBE38"/>
    <mergeCell ref="IBF38:IBF39"/>
    <mergeCell ref="IBG38:IBG39"/>
    <mergeCell ref="IBH38:IBH39"/>
    <mergeCell ref="IBI38:IBI39"/>
    <mergeCell ref="IBJ38:IBJ39"/>
    <mergeCell ref="IBK38:IBM38"/>
    <mergeCell ref="IBC39:IBE39"/>
    <mergeCell ref="IBK39:IBM39"/>
    <mergeCell ref="IAP38:IAP39"/>
    <mergeCell ref="IAQ38:IAQ39"/>
    <mergeCell ref="IAR38:IAR39"/>
    <mergeCell ref="IAS38:IAS39"/>
    <mergeCell ref="IAT38:IAT39"/>
    <mergeCell ref="IAU38:IAW38"/>
    <mergeCell ref="IAX38:IAX39"/>
    <mergeCell ref="IAY38:IAY39"/>
    <mergeCell ref="IAZ38:IAZ39"/>
    <mergeCell ref="IAU39:IAW39"/>
    <mergeCell ref="IAC38:IAC39"/>
    <mergeCell ref="IAD38:IAD39"/>
    <mergeCell ref="IAE38:IAG38"/>
    <mergeCell ref="IAH38:IAH39"/>
    <mergeCell ref="IAI38:IAI39"/>
    <mergeCell ref="IAJ38:IAJ39"/>
    <mergeCell ref="IAK38:IAK39"/>
    <mergeCell ref="IAL38:IAL39"/>
    <mergeCell ref="IAM38:IAO38"/>
    <mergeCell ref="IAE39:IAG39"/>
    <mergeCell ref="IAM39:IAO39"/>
    <mergeCell ref="HZR38:HZR39"/>
    <mergeCell ref="HZS38:HZS39"/>
    <mergeCell ref="HZT38:HZT39"/>
    <mergeCell ref="HZU38:HZU39"/>
    <mergeCell ref="HZV38:HZV39"/>
    <mergeCell ref="HZW38:HZY38"/>
    <mergeCell ref="HZZ38:HZZ39"/>
    <mergeCell ref="IAA38:IAA39"/>
    <mergeCell ref="IAB38:IAB39"/>
    <mergeCell ref="HZW39:HZY39"/>
    <mergeCell ref="HZE38:HZE39"/>
    <mergeCell ref="HZF38:HZF39"/>
    <mergeCell ref="HZG38:HZI38"/>
    <mergeCell ref="HZJ38:HZJ39"/>
    <mergeCell ref="HZK38:HZK39"/>
    <mergeCell ref="HZL38:HZL39"/>
    <mergeCell ref="HZM38:HZM39"/>
    <mergeCell ref="HZN38:HZN39"/>
    <mergeCell ref="HZO38:HZQ38"/>
    <mergeCell ref="HZG39:HZI39"/>
    <mergeCell ref="HZO39:HZQ39"/>
    <mergeCell ref="HYT38:HYT39"/>
    <mergeCell ref="HYU38:HYU39"/>
    <mergeCell ref="HYV38:HYV39"/>
    <mergeCell ref="HYW38:HYW39"/>
    <mergeCell ref="HYX38:HYX39"/>
    <mergeCell ref="HYY38:HZA38"/>
    <mergeCell ref="HZB38:HZB39"/>
    <mergeCell ref="HZC38:HZC39"/>
    <mergeCell ref="HZD38:HZD39"/>
    <mergeCell ref="HYY39:HZA39"/>
    <mergeCell ref="HYG38:HYG39"/>
    <mergeCell ref="HYH38:HYH39"/>
    <mergeCell ref="HYI38:HYK38"/>
    <mergeCell ref="HYL38:HYL39"/>
    <mergeCell ref="HYM38:HYM39"/>
    <mergeCell ref="HYN38:HYN39"/>
    <mergeCell ref="HYO38:HYO39"/>
    <mergeCell ref="HYP38:HYP39"/>
    <mergeCell ref="HYQ38:HYS38"/>
    <mergeCell ref="HYI39:HYK39"/>
    <mergeCell ref="HYQ39:HYS39"/>
    <mergeCell ref="HXV38:HXV39"/>
    <mergeCell ref="HXW38:HXW39"/>
    <mergeCell ref="HXX38:HXX39"/>
    <mergeCell ref="HXY38:HXY39"/>
    <mergeCell ref="HXZ38:HXZ39"/>
    <mergeCell ref="HYA38:HYC38"/>
    <mergeCell ref="HYD38:HYD39"/>
    <mergeCell ref="HYE38:HYE39"/>
    <mergeCell ref="HYF38:HYF39"/>
    <mergeCell ref="HYA39:HYC39"/>
    <mergeCell ref="HXI38:HXI39"/>
    <mergeCell ref="HXJ38:HXJ39"/>
    <mergeCell ref="HXK38:HXM38"/>
    <mergeCell ref="HXN38:HXN39"/>
    <mergeCell ref="HXO38:HXO39"/>
    <mergeCell ref="HXP38:HXP39"/>
    <mergeCell ref="HXQ38:HXQ39"/>
    <mergeCell ref="HXR38:HXR39"/>
    <mergeCell ref="HXS38:HXU38"/>
    <mergeCell ref="HXK39:HXM39"/>
    <mergeCell ref="HXS39:HXU39"/>
    <mergeCell ref="HWX38:HWX39"/>
    <mergeCell ref="HWY38:HWY39"/>
    <mergeCell ref="HWZ38:HWZ39"/>
    <mergeCell ref="HXA38:HXA39"/>
    <mergeCell ref="HXB38:HXB39"/>
    <mergeCell ref="HXC38:HXE38"/>
    <mergeCell ref="HXF38:HXF39"/>
    <mergeCell ref="HXG38:HXG39"/>
    <mergeCell ref="HXH38:HXH39"/>
    <mergeCell ref="HXC39:HXE39"/>
    <mergeCell ref="HWK38:HWK39"/>
    <mergeCell ref="HWL38:HWL39"/>
    <mergeCell ref="HWM38:HWO38"/>
    <mergeCell ref="HWP38:HWP39"/>
    <mergeCell ref="HWQ38:HWQ39"/>
    <mergeCell ref="HWR38:HWR39"/>
    <mergeCell ref="HWS38:HWS39"/>
    <mergeCell ref="HWT38:HWT39"/>
    <mergeCell ref="HWU38:HWW38"/>
    <mergeCell ref="HWM39:HWO39"/>
    <mergeCell ref="HWU39:HWW39"/>
    <mergeCell ref="HVZ38:HVZ39"/>
    <mergeCell ref="HWA38:HWA39"/>
    <mergeCell ref="HWB38:HWB39"/>
    <mergeCell ref="HWC38:HWC39"/>
    <mergeCell ref="HWD38:HWD39"/>
    <mergeCell ref="HWE38:HWG38"/>
    <mergeCell ref="HWH38:HWH39"/>
    <mergeCell ref="HWI38:HWI39"/>
    <mergeCell ref="HWJ38:HWJ39"/>
    <mergeCell ref="HWE39:HWG39"/>
    <mergeCell ref="HVM38:HVM39"/>
    <mergeCell ref="HVN38:HVN39"/>
    <mergeCell ref="HVO38:HVQ38"/>
    <mergeCell ref="HVR38:HVR39"/>
    <mergeCell ref="HVS38:HVS39"/>
    <mergeCell ref="HVT38:HVT39"/>
    <mergeCell ref="HVU38:HVU39"/>
    <mergeCell ref="HVV38:HVV39"/>
    <mergeCell ref="HVW38:HVY38"/>
    <mergeCell ref="HVO39:HVQ39"/>
    <mergeCell ref="HVW39:HVY39"/>
    <mergeCell ref="HVB38:HVB39"/>
    <mergeCell ref="HVC38:HVC39"/>
    <mergeCell ref="HVD38:HVD39"/>
    <mergeCell ref="HVE38:HVE39"/>
    <mergeCell ref="HVF38:HVF39"/>
    <mergeCell ref="HVG38:HVI38"/>
    <mergeCell ref="HVJ38:HVJ39"/>
    <mergeCell ref="HVK38:HVK39"/>
    <mergeCell ref="HVL38:HVL39"/>
    <mergeCell ref="HVG39:HVI39"/>
    <mergeCell ref="HUO38:HUO39"/>
    <mergeCell ref="HUP38:HUP39"/>
    <mergeCell ref="HUQ38:HUS38"/>
    <mergeCell ref="HUT38:HUT39"/>
    <mergeCell ref="HUU38:HUU39"/>
    <mergeCell ref="HUV38:HUV39"/>
    <mergeCell ref="HUW38:HUW39"/>
    <mergeCell ref="HUX38:HUX39"/>
    <mergeCell ref="HUY38:HVA38"/>
    <mergeCell ref="HUQ39:HUS39"/>
    <mergeCell ref="HUY39:HVA39"/>
    <mergeCell ref="HUD38:HUD39"/>
    <mergeCell ref="HUE38:HUE39"/>
    <mergeCell ref="HUF38:HUF39"/>
    <mergeCell ref="HUG38:HUG39"/>
    <mergeCell ref="HUH38:HUH39"/>
    <mergeCell ref="HUI38:HUK38"/>
    <mergeCell ref="HUL38:HUL39"/>
    <mergeCell ref="HUM38:HUM39"/>
    <mergeCell ref="HUN38:HUN39"/>
    <mergeCell ref="HUI39:HUK39"/>
    <mergeCell ref="HTQ38:HTQ39"/>
    <mergeCell ref="HTR38:HTR39"/>
    <mergeCell ref="HTS38:HTU38"/>
    <mergeCell ref="HTV38:HTV39"/>
    <mergeCell ref="HTW38:HTW39"/>
    <mergeCell ref="HTX38:HTX39"/>
    <mergeCell ref="HTY38:HTY39"/>
    <mergeCell ref="HTZ38:HTZ39"/>
    <mergeCell ref="HUA38:HUC38"/>
    <mergeCell ref="HTS39:HTU39"/>
    <mergeCell ref="HUA39:HUC39"/>
    <mergeCell ref="HTF38:HTF39"/>
    <mergeCell ref="HTG38:HTG39"/>
    <mergeCell ref="HTH38:HTH39"/>
    <mergeCell ref="HTI38:HTI39"/>
    <mergeCell ref="HTJ38:HTJ39"/>
    <mergeCell ref="HTK38:HTM38"/>
    <mergeCell ref="HTN38:HTN39"/>
    <mergeCell ref="HTO38:HTO39"/>
    <mergeCell ref="HTP38:HTP39"/>
    <mergeCell ref="HTK39:HTM39"/>
    <mergeCell ref="HSS38:HSS39"/>
    <mergeCell ref="HST38:HST39"/>
    <mergeCell ref="HSU38:HSW38"/>
    <mergeCell ref="HSX38:HSX39"/>
    <mergeCell ref="HSY38:HSY39"/>
    <mergeCell ref="HSZ38:HSZ39"/>
    <mergeCell ref="HTA38:HTA39"/>
    <mergeCell ref="HTB38:HTB39"/>
    <mergeCell ref="HTC38:HTE38"/>
    <mergeCell ref="HSU39:HSW39"/>
    <mergeCell ref="HTC39:HTE39"/>
    <mergeCell ref="HSH38:HSH39"/>
    <mergeCell ref="HSI38:HSI39"/>
    <mergeCell ref="HSJ38:HSJ39"/>
    <mergeCell ref="HSK38:HSK39"/>
    <mergeCell ref="HSL38:HSL39"/>
    <mergeCell ref="HSM38:HSO38"/>
    <mergeCell ref="HSP38:HSP39"/>
    <mergeCell ref="HSQ38:HSQ39"/>
    <mergeCell ref="HSR38:HSR39"/>
    <mergeCell ref="HSM39:HSO39"/>
    <mergeCell ref="HRU38:HRU39"/>
    <mergeCell ref="HRV38:HRV39"/>
    <mergeCell ref="HRW38:HRY38"/>
    <mergeCell ref="HRZ38:HRZ39"/>
    <mergeCell ref="HSA38:HSA39"/>
    <mergeCell ref="HSB38:HSB39"/>
    <mergeCell ref="HSC38:HSC39"/>
    <mergeCell ref="HSD38:HSD39"/>
    <mergeCell ref="HSE38:HSG38"/>
    <mergeCell ref="HRW39:HRY39"/>
    <mergeCell ref="HSE39:HSG39"/>
    <mergeCell ref="HRJ38:HRJ39"/>
    <mergeCell ref="HRK38:HRK39"/>
    <mergeCell ref="HRL38:HRL39"/>
    <mergeCell ref="HRM38:HRM39"/>
    <mergeCell ref="HRN38:HRN39"/>
    <mergeCell ref="HRO38:HRQ38"/>
    <mergeCell ref="HRR38:HRR39"/>
    <mergeCell ref="HRS38:HRS39"/>
    <mergeCell ref="HRT38:HRT39"/>
    <mergeCell ref="HRO39:HRQ39"/>
    <mergeCell ref="HQW38:HQW39"/>
    <mergeCell ref="HQX38:HQX39"/>
    <mergeCell ref="HQY38:HRA38"/>
    <mergeCell ref="HRB38:HRB39"/>
    <mergeCell ref="HRC38:HRC39"/>
    <mergeCell ref="HRD38:HRD39"/>
    <mergeCell ref="HRE38:HRE39"/>
    <mergeCell ref="HRF38:HRF39"/>
    <mergeCell ref="HRG38:HRI38"/>
    <mergeCell ref="HQY39:HRA39"/>
    <mergeCell ref="HRG39:HRI39"/>
    <mergeCell ref="HQL38:HQL39"/>
    <mergeCell ref="HQM38:HQM39"/>
    <mergeCell ref="HQN38:HQN39"/>
    <mergeCell ref="HQO38:HQO39"/>
    <mergeCell ref="HQP38:HQP39"/>
    <mergeCell ref="HQQ38:HQS38"/>
    <mergeCell ref="HQT38:HQT39"/>
    <mergeCell ref="HQU38:HQU39"/>
    <mergeCell ref="HQV38:HQV39"/>
    <mergeCell ref="HQQ39:HQS39"/>
    <mergeCell ref="HPY38:HPY39"/>
    <mergeCell ref="HPZ38:HPZ39"/>
    <mergeCell ref="HQA38:HQC38"/>
    <mergeCell ref="HQD38:HQD39"/>
    <mergeCell ref="HQE38:HQE39"/>
    <mergeCell ref="HQF38:HQF39"/>
    <mergeCell ref="HQG38:HQG39"/>
    <mergeCell ref="HQH38:HQH39"/>
    <mergeCell ref="HQI38:HQK38"/>
    <mergeCell ref="HQA39:HQC39"/>
    <mergeCell ref="HQI39:HQK39"/>
    <mergeCell ref="HPN38:HPN39"/>
    <mergeCell ref="HPO38:HPO39"/>
    <mergeCell ref="HPP38:HPP39"/>
    <mergeCell ref="HPQ38:HPQ39"/>
    <mergeCell ref="HPR38:HPR39"/>
    <mergeCell ref="HPS38:HPU38"/>
    <mergeCell ref="HPV38:HPV39"/>
    <mergeCell ref="HPW38:HPW39"/>
    <mergeCell ref="HPX38:HPX39"/>
    <mergeCell ref="HPS39:HPU39"/>
    <mergeCell ref="HPA38:HPA39"/>
    <mergeCell ref="HPB38:HPB39"/>
    <mergeCell ref="HPC38:HPE38"/>
    <mergeCell ref="HPF38:HPF39"/>
    <mergeCell ref="HPG38:HPG39"/>
    <mergeCell ref="HPH38:HPH39"/>
    <mergeCell ref="HPI38:HPI39"/>
    <mergeCell ref="HPJ38:HPJ39"/>
    <mergeCell ref="HPK38:HPM38"/>
    <mergeCell ref="HPC39:HPE39"/>
    <mergeCell ref="HPK39:HPM39"/>
    <mergeCell ref="HOP38:HOP39"/>
    <mergeCell ref="HOQ38:HOQ39"/>
    <mergeCell ref="HOR38:HOR39"/>
    <mergeCell ref="HOS38:HOS39"/>
    <mergeCell ref="HOT38:HOT39"/>
    <mergeCell ref="HOU38:HOW38"/>
    <mergeCell ref="HOX38:HOX39"/>
    <mergeCell ref="HOY38:HOY39"/>
    <mergeCell ref="HOZ38:HOZ39"/>
    <mergeCell ref="HOU39:HOW39"/>
    <mergeCell ref="HOC38:HOC39"/>
    <mergeCell ref="HOD38:HOD39"/>
    <mergeCell ref="HOE38:HOG38"/>
    <mergeCell ref="HOH38:HOH39"/>
    <mergeCell ref="HOI38:HOI39"/>
    <mergeCell ref="HOJ38:HOJ39"/>
    <mergeCell ref="HOK38:HOK39"/>
    <mergeCell ref="HOL38:HOL39"/>
    <mergeCell ref="HOM38:HOO38"/>
    <mergeCell ref="HOE39:HOG39"/>
    <mergeCell ref="HOM39:HOO39"/>
    <mergeCell ref="HNR38:HNR39"/>
    <mergeCell ref="HNS38:HNS39"/>
    <mergeCell ref="HNT38:HNT39"/>
    <mergeCell ref="HNU38:HNU39"/>
    <mergeCell ref="HNV38:HNV39"/>
    <mergeCell ref="HNW38:HNY38"/>
    <mergeCell ref="HNZ38:HNZ39"/>
    <mergeCell ref="HOA38:HOA39"/>
    <mergeCell ref="HOB38:HOB39"/>
    <mergeCell ref="HNW39:HNY39"/>
    <mergeCell ref="HNE38:HNE39"/>
    <mergeCell ref="HNF38:HNF39"/>
    <mergeCell ref="HNG38:HNI38"/>
    <mergeCell ref="HNJ38:HNJ39"/>
    <mergeCell ref="HNK38:HNK39"/>
    <mergeCell ref="HNL38:HNL39"/>
    <mergeCell ref="HNM38:HNM39"/>
    <mergeCell ref="HNN38:HNN39"/>
    <mergeCell ref="HNO38:HNQ38"/>
    <mergeCell ref="HNG39:HNI39"/>
    <mergeCell ref="HNO39:HNQ39"/>
    <mergeCell ref="HMT38:HMT39"/>
    <mergeCell ref="HMU38:HMU39"/>
    <mergeCell ref="HMV38:HMV39"/>
    <mergeCell ref="HMW38:HMW39"/>
    <mergeCell ref="HMX38:HMX39"/>
    <mergeCell ref="HMY38:HNA38"/>
    <mergeCell ref="HNB38:HNB39"/>
    <mergeCell ref="HNC38:HNC39"/>
    <mergeCell ref="HND38:HND39"/>
    <mergeCell ref="HMY39:HNA39"/>
    <mergeCell ref="HMG38:HMG39"/>
    <mergeCell ref="HMH38:HMH39"/>
    <mergeCell ref="HMI38:HMK38"/>
    <mergeCell ref="HML38:HML39"/>
    <mergeCell ref="HMM38:HMM39"/>
    <mergeCell ref="HMN38:HMN39"/>
    <mergeCell ref="HMO38:HMO39"/>
    <mergeCell ref="HMP38:HMP39"/>
    <mergeCell ref="HMQ38:HMS38"/>
    <mergeCell ref="HMI39:HMK39"/>
    <mergeCell ref="HMQ39:HMS39"/>
    <mergeCell ref="HLV38:HLV39"/>
    <mergeCell ref="HLW38:HLW39"/>
    <mergeCell ref="HLX38:HLX39"/>
    <mergeCell ref="HLY38:HLY39"/>
    <mergeCell ref="HLZ38:HLZ39"/>
    <mergeCell ref="HMA38:HMC38"/>
    <mergeCell ref="HMD38:HMD39"/>
    <mergeCell ref="HME38:HME39"/>
    <mergeCell ref="HMF38:HMF39"/>
    <mergeCell ref="HMA39:HMC39"/>
    <mergeCell ref="HLI38:HLI39"/>
    <mergeCell ref="HLJ38:HLJ39"/>
    <mergeCell ref="HLK38:HLM38"/>
    <mergeCell ref="HLN38:HLN39"/>
    <mergeCell ref="HLO38:HLO39"/>
    <mergeCell ref="HLP38:HLP39"/>
    <mergeCell ref="HLQ38:HLQ39"/>
    <mergeCell ref="HLR38:HLR39"/>
    <mergeCell ref="HLS38:HLU38"/>
    <mergeCell ref="HLK39:HLM39"/>
    <mergeCell ref="HLS39:HLU39"/>
    <mergeCell ref="HKX38:HKX39"/>
    <mergeCell ref="HKY38:HKY39"/>
    <mergeCell ref="HKZ38:HKZ39"/>
    <mergeCell ref="HLA38:HLA39"/>
    <mergeCell ref="HLB38:HLB39"/>
    <mergeCell ref="HLC38:HLE38"/>
    <mergeCell ref="HLF38:HLF39"/>
    <mergeCell ref="HLG38:HLG39"/>
    <mergeCell ref="HLH38:HLH39"/>
    <mergeCell ref="HLC39:HLE39"/>
    <mergeCell ref="HKK38:HKK39"/>
    <mergeCell ref="HKL38:HKL39"/>
    <mergeCell ref="HKM38:HKO38"/>
    <mergeCell ref="HKP38:HKP39"/>
    <mergeCell ref="HKQ38:HKQ39"/>
    <mergeCell ref="HKR38:HKR39"/>
    <mergeCell ref="HKS38:HKS39"/>
    <mergeCell ref="HKT38:HKT39"/>
    <mergeCell ref="HKU38:HKW38"/>
    <mergeCell ref="HKM39:HKO39"/>
    <mergeCell ref="HKU39:HKW39"/>
    <mergeCell ref="HJZ38:HJZ39"/>
    <mergeCell ref="HKA38:HKA39"/>
    <mergeCell ref="HKB38:HKB39"/>
    <mergeCell ref="HKC38:HKC39"/>
    <mergeCell ref="HKD38:HKD39"/>
    <mergeCell ref="HKE38:HKG38"/>
    <mergeCell ref="HKH38:HKH39"/>
    <mergeCell ref="HKI38:HKI39"/>
    <mergeCell ref="HKJ38:HKJ39"/>
    <mergeCell ref="HKE39:HKG39"/>
    <mergeCell ref="HJM38:HJM39"/>
    <mergeCell ref="HJN38:HJN39"/>
    <mergeCell ref="HJO38:HJQ38"/>
    <mergeCell ref="HJR38:HJR39"/>
    <mergeCell ref="HJS38:HJS39"/>
    <mergeCell ref="HJT38:HJT39"/>
    <mergeCell ref="HJU38:HJU39"/>
    <mergeCell ref="HJV38:HJV39"/>
    <mergeCell ref="HJW38:HJY38"/>
    <mergeCell ref="HJO39:HJQ39"/>
    <mergeCell ref="HJW39:HJY39"/>
    <mergeCell ref="HJB38:HJB39"/>
    <mergeCell ref="HJC38:HJC39"/>
    <mergeCell ref="HJD38:HJD39"/>
    <mergeCell ref="HJE38:HJE39"/>
    <mergeCell ref="HJF38:HJF39"/>
    <mergeCell ref="HJG38:HJI38"/>
    <mergeCell ref="HJJ38:HJJ39"/>
    <mergeCell ref="HJK38:HJK39"/>
    <mergeCell ref="HJL38:HJL39"/>
    <mergeCell ref="HJG39:HJI39"/>
    <mergeCell ref="HIO38:HIO39"/>
    <mergeCell ref="HIP38:HIP39"/>
    <mergeCell ref="HIQ38:HIS38"/>
    <mergeCell ref="HIT38:HIT39"/>
    <mergeCell ref="HIU38:HIU39"/>
    <mergeCell ref="HIV38:HIV39"/>
    <mergeCell ref="HIW38:HIW39"/>
    <mergeCell ref="HIX38:HIX39"/>
    <mergeCell ref="HIY38:HJA38"/>
    <mergeCell ref="HIQ39:HIS39"/>
    <mergeCell ref="HIY39:HJA39"/>
    <mergeCell ref="HID38:HID39"/>
    <mergeCell ref="HIE38:HIE39"/>
    <mergeCell ref="HIF38:HIF39"/>
    <mergeCell ref="HIG38:HIG39"/>
    <mergeCell ref="HIH38:HIH39"/>
    <mergeCell ref="HII38:HIK38"/>
    <mergeCell ref="HIL38:HIL39"/>
    <mergeCell ref="HIM38:HIM39"/>
    <mergeCell ref="HIN38:HIN39"/>
    <mergeCell ref="HII39:HIK39"/>
    <mergeCell ref="HHQ38:HHQ39"/>
    <mergeCell ref="HHR38:HHR39"/>
    <mergeCell ref="HHS38:HHU38"/>
    <mergeCell ref="HHV38:HHV39"/>
    <mergeCell ref="HHW38:HHW39"/>
    <mergeCell ref="HHX38:HHX39"/>
    <mergeCell ref="HHY38:HHY39"/>
    <mergeCell ref="HHZ38:HHZ39"/>
    <mergeCell ref="HIA38:HIC38"/>
    <mergeCell ref="HHS39:HHU39"/>
    <mergeCell ref="HIA39:HIC39"/>
    <mergeCell ref="HHF38:HHF39"/>
    <mergeCell ref="HHG38:HHG39"/>
    <mergeCell ref="HHH38:HHH39"/>
    <mergeCell ref="HHI38:HHI39"/>
    <mergeCell ref="HHJ38:HHJ39"/>
    <mergeCell ref="HHK38:HHM38"/>
    <mergeCell ref="HHN38:HHN39"/>
    <mergeCell ref="HHO38:HHO39"/>
    <mergeCell ref="HHP38:HHP39"/>
    <mergeCell ref="HHK39:HHM39"/>
    <mergeCell ref="HGS38:HGS39"/>
    <mergeCell ref="HGT38:HGT39"/>
    <mergeCell ref="HGU38:HGW38"/>
    <mergeCell ref="HGX38:HGX39"/>
    <mergeCell ref="HGY38:HGY39"/>
    <mergeCell ref="HGZ38:HGZ39"/>
    <mergeCell ref="HHA38:HHA39"/>
    <mergeCell ref="HHB38:HHB39"/>
    <mergeCell ref="HHC38:HHE38"/>
    <mergeCell ref="HGU39:HGW39"/>
    <mergeCell ref="HHC39:HHE39"/>
    <mergeCell ref="HGH38:HGH39"/>
    <mergeCell ref="HGI38:HGI39"/>
    <mergeCell ref="HGJ38:HGJ39"/>
    <mergeCell ref="HGK38:HGK39"/>
    <mergeCell ref="HGL38:HGL39"/>
    <mergeCell ref="HGM38:HGO38"/>
    <mergeCell ref="HGP38:HGP39"/>
    <mergeCell ref="HGQ38:HGQ39"/>
    <mergeCell ref="HGR38:HGR39"/>
    <mergeCell ref="HGM39:HGO39"/>
    <mergeCell ref="HFU38:HFU39"/>
    <mergeCell ref="HFV38:HFV39"/>
    <mergeCell ref="HFW38:HFY38"/>
    <mergeCell ref="HFZ38:HFZ39"/>
    <mergeCell ref="HGA38:HGA39"/>
    <mergeCell ref="HGB38:HGB39"/>
    <mergeCell ref="HGC38:HGC39"/>
    <mergeCell ref="HGD38:HGD39"/>
    <mergeCell ref="HGE38:HGG38"/>
    <mergeCell ref="HFW39:HFY39"/>
    <mergeCell ref="HGE39:HGG39"/>
    <mergeCell ref="HFJ38:HFJ39"/>
    <mergeCell ref="HFK38:HFK39"/>
    <mergeCell ref="HFL38:HFL39"/>
    <mergeCell ref="HFM38:HFM39"/>
    <mergeCell ref="HFN38:HFN39"/>
    <mergeCell ref="HFO38:HFQ38"/>
    <mergeCell ref="HFR38:HFR39"/>
    <mergeCell ref="HFS38:HFS39"/>
    <mergeCell ref="HFT38:HFT39"/>
    <mergeCell ref="HFO39:HFQ39"/>
    <mergeCell ref="HEW38:HEW39"/>
    <mergeCell ref="HEX38:HEX39"/>
    <mergeCell ref="HEY38:HFA38"/>
    <mergeCell ref="HFB38:HFB39"/>
    <mergeCell ref="HFC38:HFC39"/>
    <mergeCell ref="HFD38:HFD39"/>
    <mergeCell ref="HFE38:HFE39"/>
    <mergeCell ref="HFF38:HFF39"/>
    <mergeCell ref="HFG38:HFI38"/>
    <mergeCell ref="HEY39:HFA39"/>
    <mergeCell ref="HFG39:HFI39"/>
    <mergeCell ref="HEL38:HEL39"/>
    <mergeCell ref="HEM38:HEM39"/>
    <mergeCell ref="HEN38:HEN39"/>
    <mergeCell ref="HEO38:HEO39"/>
    <mergeCell ref="HEP38:HEP39"/>
    <mergeCell ref="HEQ38:HES38"/>
    <mergeCell ref="HET38:HET39"/>
    <mergeCell ref="HEU38:HEU39"/>
    <mergeCell ref="HEV38:HEV39"/>
    <mergeCell ref="HEQ39:HES39"/>
    <mergeCell ref="HDY38:HDY39"/>
    <mergeCell ref="HDZ38:HDZ39"/>
    <mergeCell ref="HEA38:HEC38"/>
    <mergeCell ref="HED38:HED39"/>
    <mergeCell ref="HEE38:HEE39"/>
    <mergeCell ref="HEF38:HEF39"/>
    <mergeCell ref="HEG38:HEG39"/>
    <mergeCell ref="HEH38:HEH39"/>
    <mergeCell ref="HEI38:HEK38"/>
    <mergeCell ref="HEA39:HEC39"/>
    <mergeCell ref="HEI39:HEK39"/>
    <mergeCell ref="HDN38:HDN39"/>
    <mergeCell ref="HDO38:HDO39"/>
    <mergeCell ref="HDP38:HDP39"/>
    <mergeCell ref="HDQ38:HDQ39"/>
    <mergeCell ref="HDR38:HDR39"/>
    <mergeCell ref="HDS38:HDU38"/>
    <mergeCell ref="HDV38:HDV39"/>
    <mergeCell ref="HDW38:HDW39"/>
    <mergeCell ref="HDX38:HDX39"/>
    <mergeCell ref="HDS39:HDU39"/>
    <mergeCell ref="HDA38:HDA39"/>
    <mergeCell ref="HDB38:HDB39"/>
    <mergeCell ref="HDC38:HDE38"/>
    <mergeCell ref="HDF38:HDF39"/>
    <mergeCell ref="HDG38:HDG39"/>
    <mergeCell ref="HDH38:HDH39"/>
    <mergeCell ref="HDI38:HDI39"/>
    <mergeCell ref="HDJ38:HDJ39"/>
    <mergeCell ref="HDK38:HDM38"/>
    <mergeCell ref="HDC39:HDE39"/>
    <mergeCell ref="HDK39:HDM39"/>
    <mergeCell ref="HCP38:HCP39"/>
    <mergeCell ref="HCQ38:HCQ39"/>
    <mergeCell ref="HCR38:HCR39"/>
    <mergeCell ref="HCS38:HCS39"/>
    <mergeCell ref="HCT38:HCT39"/>
    <mergeCell ref="HCU38:HCW38"/>
    <mergeCell ref="HCX38:HCX39"/>
    <mergeCell ref="HCY38:HCY39"/>
    <mergeCell ref="HCZ38:HCZ39"/>
    <mergeCell ref="HCU39:HCW39"/>
    <mergeCell ref="HCC38:HCC39"/>
    <mergeCell ref="HCD38:HCD39"/>
    <mergeCell ref="HCE38:HCG38"/>
    <mergeCell ref="HCH38:HCH39"/>
    <mergeCell ref="HCI38:HCI39"/>
    <mergeCell ref="HCJ38:HCJ39"/>
    <mergeCell ref="HCK38:HCK39"/>
    <mergeCell ref="HCL38:HCL39"/>
    <mergeCell ref="HCM38:HCO38"/>
    <mergeCell ref="HCE39:HCG39"/>
    <mergeCell ref="HCM39:HCO39"/>
    <mergeCell ref="HBR38:HBR39"/>
    <mergeCell ref="HBS38:HBS39"/>
    <mergeCell ref="HBT38:HBT39"/>
    <mergeCell ref="HBU38:HBU39"/>
    <mergeCell ref="HBV38:HBV39"/>
    <mergeCell ref="HBW38:HBY38"/>
    <mergeCell ref="HBZ38:HBZ39"/>
    <mergeCell ref="HCA38:HCA39"/>
    <mergeCell ref="HCB38:HCB39"/>
    <mergeCell ref="HBW39:HBY39"/>
    <mergeCell ref="HBE38:HBE39"/>
    <mergeCell ref="HBF38:HBF39"/>
    <mergeCell ref="HBG38:HBI38"/>
    <mergeCell ref="HBJ38:HBJ39"/>
    <mergeCell ref="HBK38:HBK39"/>
    <mergeCell ref="HBL38:HBL39"/>
    <mergeCell ref="HBM38:HBM39"/>
    <mergeCell ref="HBN38:HBN39"/>
    <mergeCell ref="HBO38:HBQ38"/>
    <mergeCell ref="HBG39:HBI39"/>
    <mergeCell ref="HBO39:HBQ39"/>
    <mergeCell ref="HAT38:HAT39"/>
    <mergeCell ref="HAU38:HAU39"/>
    <mergeCell ref="HAV38:HAV39"/>
    <mergeCell ref="HAW38:HAW39"/>
    <mergeCell ref="HAX38:HAX39"/>
    <mergeCell ref="HAY38:HBA38"/>
    <mergeCell ref="HBB38:HBB39"/>
    <mergeCell ref="HBC38:HBC39"/>
    <mergeCell ref="HBD38:HBD39"/>
    <mergeCell ref="HAY39:HBA39"/>
    <mergeCell ref="HAG38:HAG39"/>
    <mergeCell ref="HAH38:HAH39"/>
    <mergeCell ref="HAI38:HAK38"/>
    <mergeCell ref="HAL38:HAL39"/>
    <mergeCell ref="HAM38:HAM39"/>
    <mergeCell ref="HAN38:HAN39"/>
    <mergeCell ref="HAO38:HAO39"/>
    <mergeCell ref="HAP38:HAP39"/>
    <mergeCell ref="HAQ38:HAS38"/>
    <mergeCell ref="HAI39:HAK39"/>
    <mergeCell ref="HAQ39:HAS39"/>
    <mergeCell ref="GZV38:GZV39"/>
    <mergeCell ref="GZW38:GZW39"/>
    <mergeCell ref="GZX38:GZX39"/>
    <mergeCell ref="GZY38:GZY39"/>
    <mergeCell ref="GZZ38:GZZ39"/>
    <mergeCell ref="HAA38:HAC38"/>
    <mergeCell ref="HAD38:HAD39"/>
    <mergeCell ref="HAE38:HAE39"/>
    <mergeCell ref="HAF38:HAF39"/>
    <mergeCell ref="HAA39:HAC39"/>
    <mergeCell ref="GZI38:GZI39"/>
    <mergeCell ref="GZJ38:GZJ39"/>
    <mergeCell ref="GZK38:GZM38"/>
    <mergeCell ref="GZN38:GZN39"/>
    <mergeCell ref="GZO38:GZO39"/>
    <mergeCell ref="GZP38:GZP39"/>
    <mergeCell ref="GZQ38:GZQ39"/>
    <mergeCell ref="GZR38:GZR39"/>
    <mergeCell ref="GZS38:GZU38"/>
    <mergeCell ref="GZK39:GZM39"/>
    <mergeCell ref="GZS39:GZU39"/>
    <mergeCell ref="GYX38:GYX39"/>
    <mergeCell ref="GYY38:GYY39"/>
    <mergeCell ref="GYZ38:GYZ39"/>
    <mergeCell ref="GZA38:GZA39"/>
    <mergeCell ref="GZB38:GZB39"/>
    <mergeCell ref="GZC38:GZE38"/>
    <mergeCell ref="GZF38:GZF39"/>
    <mergeCell ref="GZG38:GZG39"/>
    <mergeCell ref="GZH38:GZH39"/>
    <mergeCell ref="GZC39:GZE39"/>
    <mergeCell ref="GYK38:GYK39"/>
    <mergeCell ref="GYL38:GYL39"/>
    <mergeCell ref="GYM38:GYO38"/>
    <mergeCell ref="GYP38:GYP39"/>
    <mergeCell ref="GYQ38:GYQ39"/>
    <mergeCell ref="GYR38:GYR39"/>
    <mergeCell ref="GYS38:GYS39"/>
    <mergeCell ref="GYT38:GYT39"/>
    <mergeCell ref="GYU38:GYW38"/>
    <mergeCell ref="GYM39:GYO39"/>
    <mergeCell ref="GYU39:GYW39"/>
    <mergeCell ref="GXZ38:GXZ39"/>
    <mergeCell ref="GYA38:GYA39"/>
    <mergeCell ref="GYB38:GYB39"/>
    <mergeCell ref="GYC38:GYC39"/>
    <mergeCell ref="GYD38:GYD39"/>
    <mergeCell ref="GYE38:GYG38"/>
    <mergeCell ref="GYH38:GYH39"/>
    <mergeCell ref="GYI38:GYI39"/>
    <mergeCell ref="GYJ38:GYJ39"/>
    <mergeCell ref="GYE39:GYG39"/>
    <mergeCell ref="GXM38:GXM39"/>
    <mergeCell ref="GXN38:GXN39"/>
    <mergeCell ref="GXO38:GXQ38"/>
    <mergeCell ref="GXR38:GXR39"/>
    <mergeCell ref="GXS38:GXS39"/>
    <mergeCell ref="GXT38:GXT39"/>
    <mergeCell ref="GXU38:GXU39"/>
    <mergeCell ref="GXV38:GXV39"/>
    <mergeCell ref="GXW38:GXY38"/>
    <mergeCell ref="GXO39:GXQ39"/>
    <mergeCell ref="GXW39:GXY39"/>
    <mergeCell ref="GXB38:GXB39"/>
    <mergeCell ref="GXC38:GXC39"/>
    <mergeCell ref="GXD38:GXD39"/>
    <mergeCell ref="GXE38:GXE39"/>
    <mergeCell ref="GXF38:GXF39"/>
    <mergeCell ref="GXG38:GXI38"/>
    <mergeCell ref="GXJ38:GXJ39"/>
    <mergeCell ref="GXK38:GXK39"/>
    <mergeCell ref="GXL38:GXL39"/>
    <mergeCell ref="GXG39:GXI39"/>
    <mergeCell ref="GWO38:GWO39"/>
    <mergeCell ref="GWP38:GWP39"/>
    <mergeCell ref="GWQ38:GWS38"/>
    <mergeCell ref="GWT38:GWT39"/>
    <mergeCell ref="GWU38:GWU39"/>
    <mergeCell ref="GWV38:GWV39"/>
    <mergeCell ref="GWW38:GWW39"/>
    <mergeCell ref="GWX38:GWX39"/>
    <mergeCell ref="GWY38:GXA38"/>
    <mergeCell ref="GWQ39:GWS39"/>
    <mergeCell ref="GWY39:GXA39"/>
    <mergeCell ref="GWD38:GWD39"/>
    <mergeCell ref="GWE38:GWE39"/>
    <mergeCell ref="GWF38:GWF39"/>
    <mergeCell ref="GWG38:GWG39"/>
    <mergeCell ref="GWH38:GWH39"/>
    <mergeCell ref="GWI38:GWK38"/>
    <mergeCell ref="GWL38:GWL39"/>
    <mergeCell ref="GWM38:GWM39"/>
    <mergeCell ref="GWN38:GWN39"/>
    <mergeCell ref="GWI39:GWK39"/>
    <mergeCell ref="GVQ38:GVQ39"/>
    <mergeCell ref="GVR38:GVR39"/>
    <mergeCell ref="GVS38:GVU38"/>
    <mergeCell ref="GVV38:GVV39"/>
    <mergeCell ref="GVW38:GVW39"/>
    <mergeCell ref="GVX38:GVX39"/>
    <mergeCell ref="GVY38:GVY39"/>
    <mergeCell ref="GVZ38:GVZ39"/>
    <mergeCell ref="GWA38:GWC38"/>
    <mergeCell ref="GVS39:GVU39"/>
    <mergeCell ref="GWA39:GWC39"/>
    <mergeCell ref="GVF38:GVF39"/>
    <mergeCell ref="GVG38:GVG39"/>
    <mergeCell ref="GVH38:GVH39"/>
    <mergeCell ref="GVI38:GVI39"/>
    <mergeCell ref="GVJ38:GVJ39"/>
    <mergeCell ref="GVK38:GVM38"/>
    <mergeCell ref="GVN38:GVN39"/>
    <mergeCell ref="GVO38:GVO39"/>
    <mergeCell ref="GVP38:GVP39"/>
    <mergeCell ref="GVK39:GVM39"/>
    <mergeCell ref="GUS38:GUS39"/>
    <mergeCell ref="GUT38:GUT39"/>
    <mergeCell ref="GUU38:GUW38"/>
    <mergeCell ref="GUX38:GUX39"/>
    <mergeCell ref="GUY38:GUY39"/>
    <mergeCell ref="GUZ38:GUZ39"/>
    <mergeCell ref="GVA38:GVA39"/>
    <mergeCell ref="GVB38:GVB39"/>
    <mergeCell ref="GVC38:GVE38"/>
    <mergeCell ref="GUU39:GUW39"/>
    <mergeCell ref="GVC39:GVE39"/>
    <mergeCell ref="GUH38:GUH39"/>
    <mergeCell ref="GUI38:GUI39"/>
    <mergeCell ref="GUJ38:GUJ39"/>
    <mergeCell ref="GUK38:GUK39"/>
    <mergeCell ref="GUL38:GUL39"/>
    <mergeCell ref="GUM38:GUO38"/>
    <mergeCell ref="GUP38:GUP39"/>
    <mergeCell ref="GUQ38:GUQ39"/>
    <mergeCell ref="GUR38:GUR39"/>
    <mergeCell ref="GUM39:GUO39"/>
    <mergeCell ref="GTU38:GTU39"/>
    <mergeCell ref="GTV38:GTV39"/>
    <mergeCell ref="GTW38:GTY38"/>
    <mergeCell ref="GTZ38:GTZ39"/>
    <mergeCell ref="GUA38:GUA39"/>
    <mergeCell ref="GUB38:GUB39"/>
    <mergeCell ref="GUC38:GUC39"/>
    <mergeCell ref="GUD38:GUD39"/>
    <mergeCell ref="GUE38:GUG38"/>
    <mergeCell ref="GTW39:GTY39"/>
    <mergeCell ref="GUE39:GUG39"/>
    <mergeCell ref="GTJ38:GTJ39"/>
    <mergeCell ref="GTK38:GTK39"/>
    <mergeCell ref="GTL38:GTL39"/>
    <mergeCell ref="GTM38:GTM39"/>
    <mergeCell ref="GTN38:GTN39"/>
    <mergeCell ref="GTO38:GTQ38"/>
    <mergeCell ref="GTR38:GTR39"/>
    <mergeCell ref="GTS38:GTS39"/>
    <mergeCell ref="GTT38:GTT39"/>
    <mergeCell ref="GTO39:GTQ39"/>
    <mergeCell ref="GSW38:GSW39"/>
    <mergeCell ref="GSX38:GSX39"/>
    <mergeCell ref="GSY38:GTA38"/>
    <mergeCell ref="GTB38:GTB39"/>
    <mergeCell ref="GTC38:GTC39"/>
    <mergeCell ref="GTD38:GTD39"/>
    <mergeCell ref="GTE38:GTE39"/>
    <mergeCell ref="GTF38:GTF39"/>
    <mergeCell ref="GTG38:GTI38"/>
    <mergeCell ref="GSY39:GTA39"/>
    <mergeCell ref="GTG39:GTI39"/>
    <mergeCell ref="GSL38:GSL39"/>
    <mergeCell ref="GSM38:GSM39"/>
    <mergeCell ref="GSN38:GSN39"/>
    <mergeCell ref="GSO38:GSO39"/>
    <mergeCell ref="GSP38:GSP39"/>
    <mergeCell ref="GSQ38:GSS38"/>
    <mergeCell ref="GST38:GST39"/>
    <mergeCell ref="GSU38:GSU39"/>
    <mergeCell ref="GSV38:GSV39"/>
    <mergeCell ref="GSQ39:GSS39"/>
    <mergeCell ref="GRY38:GRY39"/>
    <mergeCell ref="GRZ38:GRZ39"/>
    <mergeCell ref="GSA38:GSC38"/>
    <mergeCell ref="GSD38:GSD39"/>
    <mergeCell ref="GSE38:GSE39"/>
    <mergeCell ref="GSF38:GSF39"/>
    <mergeCell ref="GSG38:GSG39"/>
    <mergeCell ref="GSH38:GSH39"/>
    <mergeCell ref="GSI38:GSK38"/>
    <mergeCell ref="GSA39:GSC39"/>
    <mergeCell ref="GSI39:GSK39"/>
    <mergeCell ref="GRN38:GRN39"/>
    <mergeCell ref="GRO38:GRO39"/>
    <mergeCell ref="GRP38:GRP39"/>
    <mergeCell ref="GRQ38:GRQ39"/>
    <mergeCell ref="GRR38:GRR39"/>
    <mergeCell ref="GRS38:GRU38"/>
    <mergeCell ref="GRV38:GRV39"/>
    <mergeCell ref="GRW38:GRW39"/>
    <mergeCell ref="GRX38:GRX39"/>
    <mergeCell ref="GRS39:GRU39"/>
    <mergeCell ref="GRA38:GRA39"/>
    <mergeCell ref="GRB38:GRB39"/>
    <mergeCell ref="GRC38:GRE38"/>
    <mergeCell ref="GRF38:GRF39"/>
    <mergeCell ref="GRG38:GRG39"/>
    <mergeCell ref="GRH38:GRH39"/>
    <mergeCell ref="GRI38:GRI39"/>
    <mergeCell ref="GRJ38:GRJ39"/>
    <mergeCell ref="GRK38:GRM38"/>
    <mergeCell ref="GRC39:GRE39"/>
    <mergeCell ref="GRK39:GRM39"/>
    <mergeCell ref="GQP38:GQP39"/>
    <mergeCell ref="GQQ38:GQQ39"/>
    <mergeCell ref="GQR38:GQR39"/>
    <mergeCell ref="GQS38:GQS39"/>
    <mergeCell ref="GQT38:GQT39"/>
    <mergeCell ref="GQU38:GQW38"/>
    <mergeCell ref="GQX38:GQX39"/>
    <mergeCell ref="GQY38:GQY39"/>
    <mergeCell ref="GQZ38:GQZ39"/>
    <mergeCell ref="GQU39:GQW39"/>
    <mergeCell ref="GQC38:GQC39"/>
    <mergeCell ref="GQD38:GQD39"/>
    <mergeCell ref="GQE38:GQG38"/>
    <mergeCell ref="GQH38:GQH39"/>
    <mergeCell ref="GQI38:GQI39"/>
    <mergeCell ref="GQJ38:GQJ39"/>
    <mergeCell ref="GQK38:GQK39"/>
    <mergeCell ref="GQL38:GQL39"/>
    <mergeCell ref="GQM38:GQO38"/>
    <mergeCell ref="GQE39:GQG39"/>
    <mergeCell ref="GQM39:GQO39"/>
    <mergeCell ref="GPR38:GPR39"/>
    <mergeCell ref="GPS38:GPS39"/>
    <mergeCell ref="GPT38:GPT39"/>
    <mergeCell ref="GPU38:GPU39"/>
    <mergeCell ref="GPV38:GPV39"/>
    <mergeCell ref="GPW38:GPY38"/>
    <mergeCell ref="GPZ38:GPZ39"/>
    <mergeCell ref="GQA38:GQA39"/>
    <mergeCell ref="GQB38:GQB39"/>
    <mergeCell ref="GPW39:GPY39"/>
    <mergeCell ref="GPE38:GPE39"/>
    <mergeCell ref="GPF38:GPF39"/>
    <mergeCell ref="GPG38:GPI38"/>
    <mergeCell ref="GPJ38:GPJ39"/>
    <mergeCell ref="GPK38:GPK39"/>
    <mergeCell ref="GPL38:GPL39"/>
    <mergeCell ref="GPM38:GPM39"/>
    <mergeCell ref="GPN38:GPN39"/>
    <mergeCell ref="GPO38:GPQ38"/>
    <mergeCell ref="GPG39:GPI39"/>
    <mergeCell ref="GPO39:GPQ39"/>
    <mergeCell ref="GOT38:GOT39"/>
    <mergeCell ref="GOU38:GOU39"/>
    <mergeCell ref="GOV38:GOV39"/>
    <mergeCell ref="GOW38:GOW39"/>
    <mergeCell ref="GOX38:GOX39"/>
    <mergeCell ref="GOY38:GPA38"/>
    <mergeCell ref="GPB38:GPB39"/>
    <mergeCell ref="GPC38:GPC39"/>
    <mergeCell ref="GPD38:GPD39"/>
    <mergeCell ref="GOY39:GPA39"/>
    <mergeCell ref="GOG38:GOG39"/>
    <mergeCell ref="GOH38:GOH39"/>
    <mergeCell ref="GOI38:GOK38"/>
    <mergeCell ref="GOL38:GOL39"/>
    <mergeCell ref="GOM38:GOM39"/>
    <mergeCell ref="GON38:GON39"/>
    <mergeCell ref="GOO38:GOO39"/>
    <mergeCell ref="GOP38:GOP39"/>
    <mergeCell ref="GOQ38:GOS38"/>
    <mergeCell ref="GOI39:GOK39"/>
    <mergeCell ref="GOQ39:GOS39"/>
    <mergeCell ref="GNV38:GNV39"/>
    <mergeCell ref="GNW38:GNW39"/>
    <mergeCell ref="GNX38:GNX39"/>
    <mergeCell ref="GNY38:GNY39"/>
    <mergeCell ref="GNZ38:GNZ39"/>
    <mergeCell ref="GOA38:GOC38"/>
    <mergeCell ref="GOD38:GOD39"/>
    <mergeCell ref="GOE38:GOE39"/>
    <mergeCell ref="GOF38:GOF39"/>
    <mergeCell ref="GOA39:GOC39"/>
    <mergeCell ref="GNI38:GNI39"/>
    <mergeCell ref="GNJ38:GNJ39"/>
    <mergeCell ref="GNK38:GNM38"/>
    <mergeCell ref="GNN38:GNN39"/>
    <mergeCell ref="GNO38:GNO39"/>
    <mergeCell ref="GNP38:GNP39"/>
    <mergeCell ref="GNQ38:GNQ39"/>
    <mergeCell ref="GNR38:GNR39"/>
    <mergeCell ref="GNS38:GNU38"/>
    <mergeCell ref="GNK39:GNM39"/>
    <mergeCell ref="GNS39:GNU39"/>
    <mergeCell ref="GMX38:GMX39"/>
    <mergeCell ref="GMY38:GMY39"/>
    <mergeCell ref="GMZ38:GMZ39"/>
    <mergeCell ref="GNA38:GNA39"/>
    <mergeCell ref="GNB38:GNB39"/>
    <mergeCell ref="GNC38:GNE38"/>
    <mergeCell ref="GNF38:GNF39"/>
    <mergeCell ref="GNG38:GNG39"/>
    <mergeCell ref="GNH38:GNH39"/>
    <mergeCell ref="GNC39:GNE39"/>
    <mergeCell ref="GMK38:GMK39"/>
    <mergeCell ref="GML38:GML39"/>
    <mergeCell ref="GMM38:GMO38"/>
    <mergeCell ref="GMP38:GMP39"/>
    <mergeCell ref="GMQ38:GMQ39"/>
    <mergeCell ref="GMR38:GMR39"/>
    <mergeCell ref="GMS38:GMS39"/>
    <mergeCell ref="GMT38:GMT39"/>
    <mergeCell ref="GMU38:GMW38"/>
    <mergeCell ref="GMM39:GMO39"/>
    <mergeCell ref="GMU39:GMW39"/>
    <mergeCell ref="GLZ38:GLZ39"/>
    <mergeCell ref="GMA38:GMA39"/>
    <mergeCell ref="GMB38:GMB39"/>
    <mergeCell ref="GMC38:GMC39"/>
    <mergeCell ref="GMD38:GMD39"/>
    <mergeCell ref="GME38:GMG38"/>
    <mergeCell ref="GMH38:GMH39"/>
    <mergeCell ref="GMI38:GMI39"/>
    <mergeCell ref="GMJ38:GMJ39"/>
    <mergeCell ref="GME39:GMG39"/>
    <mergeCell ref="GLM38:GLM39"/>
    <mergeCell ref="GLN38:GLN39"/>
    <mergeCell ref="GLO38:GLQ38"/>
    <mergeCell ref="GLR38:GLR39"/>
    <mergeCell ref="GLS38:GLS39"/>
    <mergeCell ref="GLT38:GLT39"/>
    <mergeCell ref="GLU38:GLU39"/>
    <mergeCell ref="GLV38:GLV39"/>
    <mergeCell ref="GLW38:GLY38"/>
    <mergeCell ref="GLO39:GLQ39"/>
    <mergeCell ref="GLW39:GLY39"/>
    <mergeCell ref="GLB38:GLB39"/>
    <mergeCell ref="GLC38:GLC39"/>
    <mergeCell ref="GLD38:GLD39"/>
    <mergeCell ref="GLE38:GLE39"/>
    <mergeCell ref="GLF38:GLF39"/>
    <mergeCell ref="GLG38:GLI38"/>
    <mergeCell ref="GLJ38:GLJ39"/>
    <mergeCell ref="GLK38:GLK39"/>
    <mergeCell ref="GLL38:GLL39"/>
    <mergeCell ref="GLG39:GLI39"/>
    <mergeCell ref="GKO38:GKO39"/>
    <mergeCell ref="GKP38:GKP39"/>
    <mergeCell ref="GKQ38:GKS38"/>
    <mergeCell ref="GKT38:GKT39"/>
    <mergeCell ref="GKU38:GKU39"/>
    <mergeCell ref="GKV38:GKV39"/>
    <mergeCell ref="GKW38:GKW39"/>
    <mergeCell ref="GKX38:GKX39"/>
    <mergeCell ref="GKY38:GLA38"/>
    <mergeCell ref="GKQ39:GKS39"/>
    <mergeCell ref="GKY39:GLA39"/>
    <mergeCell ref="GKD38:GKD39"/>
    <mergeCell ref="GKE38:GKE39"/>
    <mergeCell ref="GKF38:GKF39"/>
    <mergeCell ref="GKG38:GKG39"/>
    <mergeCell ref="GKH38:GKH39"/>
    <mergeCell ref="GKI38:GKK38"/>
    <mergeCell ref="GKL38:GKL39"/>
    <mergeCell ref="GKM38:GKM39"/>
    <mergeCell ref="GKN38:GKN39"/>
    <mergeCell ref="GKI39:GKK39"/>
    <mergeCell ref="GJQ38:GJQ39"/>
    <mergeCell ref="GJR38:GJR39"/>
    <mergeCell ref="GJS38:GJU38"/>
    <mergeCell ref="GJV38:GJV39"/>
    <mergeCell ref="GJW38:GJW39"/>
    <mergeCell ref="GJX38:GJX39"/>
    <mergeCell ref="GJY38:GJY39"/>
    <mergeCell ref="GJZ38:GJZ39"/>
    <mergeCell ref="GKA38:GKC38"/>
    <mergeCell ref="GJS39:GJU39"/>
    <mergeCell ref="GKA39:GKC39"/>
    <mergeCell ref="GJF38:GJF39"/>
    <mergeCell ref="GJG38:GJG39"/>
    <mergeCell ref="GJH38:GJH39"/>
    <mergeCell ref="GJI38:GJI39"/>
    <mergeCell ref="GJJ38:GJJ39"/>
    <mergeCell ref="GJK38:GJM38"/>
    <mergeCell ref="GJN38:GJN39"/>
    <mergeCell ref="GJO38:GJO39"/>
    <mergeCell ref="GJP38:GJP39"/>
    <mergeCell ref="GJK39:GJM39"/>
    <mergeCell ref="GIS38:GIS39"/>
    <mergeCell ref="GIT38:GIT39"/>
    <mergeCell ref="GIU38:GIW38"/>
    <mergeCell ref="GIX38:GIX39"/>
    <mergeCell ref="GIY38:GIY39"/>
    <mergeCell ref="GIZ38:GIZ39"/>
    <mergeCell ref="GJA38:GJA39"/>
    <mergeCell ref="GJB38:GJB39"/>
    <mergeCell ref="GJC38:GJE38"/>
    <mergeCell ref="GIU39:GIW39"/>
    <mergeCell ref="GJC39:GJE39"/>
    <mergeCell ref="GIH38:GIH39"/>
    <mergeCell ref="GII38:GII39"/>
    <mergeCell ref="GIJ38:GIJ39"/>
    <mergeCell ref="GIK38:GIK39"/>
    <mergeCell ref="GIL38:GIL39"/>
    <mergeCell ref="GIM38:GIO38"/>
    <mergeCell ref="GIP38:GIP39"/>
    <mergeCell ref="GIQ38:GIQ39"/>
    <mergeCell ref="GIR38:GIR39"/>
    <mergeCell ref="GIM39:GIO39"/>
    <mergeCell ref="GHU38:GHU39"/>
    <mergeCell ref="GHV38:GHV39"/>
    <mergeCell ref="GHW38:GHY38"/>
    <mergeCell ref="GHZ38:GHZ39"/>
    <mergeCell ref="GIA38:GIA39"/>
    <mergeCell ref="GIB38:GIB39"/>
    <mergeCell ref="GIC38:GIC39"/>
    <mergeCell ref="GID38:GID39"/>
    <mergeCell ref="GIE38:GIG38"/>
    <mergeCell ref="GHW39:GHY39"/>
    <mergeCell ref="GIE39:GIG39"/>
    <mergeCell ref="GHJ38:GHJ39"/>
    <mergeCell ref="GHK38:GHK39"/>
    <mergeCell ref="GHL38:GHL39"/>
    <mergeCell ref="GHM38:GHM39"/>
    <mergeCell ref="GHN38:GHN39"/>
    <mergeCell ref="GHO38:GHQ38"/>
    <mergeCell ref="GHR38:GHR39"/>
    <mergeCell ref="GHS38:GHS39"/>
    <mergeCell ref="GHT38:GHT39"/>
    <mergeCell ref="GHO39:GHQ39"/>
    <mergeCell ref="GGW38:GGW39"/>
    <mergeCell ref="GGX38:GGX39"/>
    <mergeCell ref="GGY38:GHA38"/>
    <mergeCell ref="GHB38:GHB39"/>
    <mergeCell ref="GHC38:GHC39"/>
    <mergeCell ref="GHD38:GHD39"/>
    <mergeCell ref="GHE38:GHE39"/>
    <mergeCell ref="GHF38:GHF39"/>
    <mergeCell ref="GHG38:GHI38"/>
    <mergeCell ref="GGY39:GHA39"/>
    <mergeCell ref="GHG39:GHI39"/>
    <mergeCell ref="GGL38:GGL39"/>
    <mergeCell ref="GGM38:GGM39"/>
    <mergeCell ref="GGN38:GGN39"/>
    <mergeCell ref="GGO38:GGO39"/>
    <mergeCell ref="GGP38:GGP39"/>
    <mergeCell ref="GGQ38:GGS38"/>
    <mergeCell ref="GGT38:GGT39"/>
    <mergeCell ref="GGU38:GGU39"/>
    <mergeCell ref="GGV38:GGV39"/>
    <mergeCell ref="GGQ39:GGS39"/>
    <mergeCell ref="GFY38:GFY39"/>
    <mergeCell ref="GFZ38:GFZ39"/>
    <mergeCell ref="GGA38:GGC38"/>
    <mergeCell ref="GGD38:GGD39"/>
    <mergeCell ref="GGE38:GGE39"/>
    <mergeCell ref="GGF38:GGF39"/>
    <mergeCell ref="GGG38:GGG39"/>
    <mergeCell ref="GGH38:GGH39"/>
    <mergeCell ref="GGI38:GGK38"/>
    <mergeCell ref="GGA39:GGC39"/>
    <mergeCell ref="GGI39:GGK39"/>
    <mergeCell ref="GFN38:GFN39"/>
    <mergeCell ref="GFO38:GFO39"/>
    <mergeCell ref="GFP38:GFP39"/>
    <mergeCell ref="GFQ38:GFQ39"/>
    <mergeCell ref="GFR38:GFR39"/>
    <mergeCell ref="GFS38:GFU38"/>
    <mergeCell ref="GFV38:GFV39"/>
    <mergeCell ref="GFW38:GFW39"/>
    <mergeCell ref="GFX38:GFX39"/>
    <mergeCell ref="GFS39:GFU39"/>
    <mergeCell ref="GFA38:GFA39"/>
    <mergeCell ref="GFB38:GFB39"/>
    <mergeCell ref="GFC38:GFE38"/>
    <mergeCell ref="GFF38:GFF39"/>
    <mergeCell ref="GFG38:GFG39"/>
    <mergeCell ref="GFH38:GFH39"/>
    <mergeCell ref="GFI38:GFI39"/>
    <mergeCell ref="GFJ38:GFJ39"/>
    <mergeCell ref="GFK38:GFM38"/>
    <mergeCell ref="GFC39:GFE39"/>
    <mergeCell ref="GFK39:GFM39"/>
    <mergeCell ref="GEP38:GEP39"/>
    <mergeCell ref="GEQ38:GEQ39"/>
    <mergeCell ref="GER38:GER39"/>
    <mergeCell ref="GES38:GES39"/>
    <mergeCell ref="GET38:GET39"/>
    <mergeCell ref="GEU38:GEW38"/>
    <mergeCell ref="GEX38:GEX39"/>
    <mergeCell ref="GEY38:GEY39"/>
    <mergeCell ref="GEZ38:GEZ39"/>
    <mergeCell ref="GEU39:GEW39"/>
    <mergeCell ref="GEC38:GEC39"/>
    <mergeCell ref="GED38:GED39"/>
    <mergeCell ref="GEE38:GEG38"/>
    <mergeCell ref="GEH38:GEH39"/>
    <mergeCell ref="GEI38:GEI39"/>
    <mergeCell ref="GEJ38:GEJ39"/>
    <mergeCell ref="GEK38:GEK39"/>
    <mergeCell ref="GEL38:GEL39"/>
    <mergeCell ref="GEM38:GEO38"/>
    <mergeCell ref="GEE39:GEG39"/>
    <mergeCell ref="GEM39:GEO39"/>
    <mergeCell ref="GDR38:GDR39"/>
    <mergeCell ref="GDS38:GDS39"/>
    <mergeCell ref="GDT38:GDT39"/>
    <mergeCell ref="GDU38:GDU39"/>
    <mergeCell ref="GDV38:GDV39"/>
    <mergeCell ref="GDW38:GDY38"/>
    <mergeCell ref="GDZ38:GDZ39"/>
    <mergeCell ref="GEA38:GEA39"/>
    <mergeCell ref="GEB38:GEB39"/>
    <mergeCell ref="GDW39:GDY39"/>
    <mergeCell ref="GDE38:GDE39"/>
    <mergeCell ref="GDF38:GDF39"/>
    <mergeCell ref="GDG38:GDI38"/>
    <mergeCell ref="GDJ38:GDJ39"/>
    <mergeCell ref="GDK38:GDK39"/>
    <mergeCell ref="GDL38:GDL39"/>
    <mergeCell ref="GDM38:GDM39"/>
    <mergeCell ref="GDN38:GDN39"/>
    <mergeCell ref="GDO38:GDQ38"/>
    <mergeCell ref="GDG39:GDI39"/>
    <mergeCell ref="GDO39:GDQ39"/>
    <mergeCell ref="GCT38:GCT39"/>
    <mergeCell ref="GCU38:GCU39"/>
    <mergeCell ref="GCV38:GCV39"/>
    <mergeCell ref="GCW38:GCW39"/>
    <mergeCell ref="GCX38:GCX39"/>
    <mergeCell ref="GCY38:GDA38"/>
    <mergeCell ref="GDB38:GDB39"/>
    <mergeCell ref="GDC38:GDC39"/>
    <mergeCell ref="GDD38:GDD39"/>
    <mergeCell ref="GCY39:GDA39"/>
    <mergeCell ref="GCG38:GCG39"/>
    <mergeCell ref="GCH38:GCH39"/>
    <mergeCell ref="GCI38:GCK38"/>
    <mergeCell ref="GCL38:GCL39"/>
    <mergeCell ref="GCM38:GCM39"/>
    <mergeCell ref="GCN38:GCN39"/>
    <mergeCell ref="GCO38:GCO39"/>
    <mergeCell ref="GCP38:GCP39"/>
    <mergeCell ref="GCQ38:GCS38"/>
    <mergeCell ref="GCI39:GCK39"/>
    <mergeCell ref="GCQ39:GCS39"/>
    <mergeCell ref="GBV38:GBV39"/>
    <mergeCell ref="GBW38:GBW39"/>
    <mergeCell ref="GBX38:GBX39"/>
    <mergeCell ref="GBY38:GBY39"/>
    <mergeCell ref="GBZ38:GBZ39"/>
    <mergeCell ref="GCA38:GCC38"/>
    <mergeCell ref="GCD38:GCD39"/>
    <mergeCell ref="GCE38:GCE39"/>
    <mergeCell ref="GCF38:GCF39"/>
    <mergeCell ref="GCA39:GCC39"/>
    <mergeCell ref="GBI38:GBI39"/>
    <mergeCell ref="GBJ38:GBJ39"/>
    <mergeCell ref="GBK38:GBM38"/>
    <mergeCell ref="GBN38:GBN39"/>
    <mergeCell ref="GBO38:GBO39"/>
    <mergeCell ref="GBP38:GBP39"/>
    <mergeCell ref="GBQ38:GBQ39"/>
    <mergeCell ref="GBR38:GBR39"/>
    <mergeCell ref="GBS38:GBU38"/>
    <mergeCell ref="GBK39:GBM39"/>
    <mergeCell ref="GBS39:GBU39"/>
    <mergeCell ref="GAX38:GAX39"/>
    <mergeCell ref="GAY38:GAY39"/>
    <mergeCell ref="GAZ38:GAZ39"/>
    <mergeCell ref="GBA38:GBA39"/>
    <mergeCell ref="GBB38:GBB39"/>
    <mergeCell ref="GBC38:GBE38"/>
    <mergeCell ref="GBF38:GBF39"/>
    <mergeCell ref="GBG38:GBG39"/>
    <mergeCell ref="GBH38:GBH39"/>
    <mergeCell ref="GBC39:GBE39"/>
    <mergeCell ref="GAK38:GAK39"/>
    <mergeCell ref="GAL38:GAL39"/>
    <mergeCell ref="GAM38:GAO38"/>
    <mergeCell ref="GAP38:GAP39"/>
    <mergeCell ref="GAQ38:GAQ39"/>
    <mergeCell ref="GAR38:GAR39"/>
    <mergeCell ref="GAS38:GAS39"/>
    <mergeCell ref="GAT38:GAT39"/>
    <mergeCell ref="GAU38:GAW38"/>
    <mergeCell ref="GAM39:GAO39"/>
    <mergeCell ref="GAU39:GAW39"/>
    <mergeCell ref="FZZ38:FZZ39"/>
    <mergeCell ref="GAA38:GAA39"/>
    <mergeCell ref="GAB38:GAB39"/>
    <mergeCell ref="GAC38:GAC39"/>
    <mergeCell ref="GAD38:GAD39"/>
    <mergeCell ref="GAE38:GAG38"/>
    <mergeCell ref="GAH38:GAH39"/>
    <mergeCell ref="GAI38:GAI39"/>
    <mergeCell ref="GAJ38:GAJ39"/>
    <mergeCell ref="GAE39:GAG39"/>
    <mergeCell ref="FZM38:FZM39"/>
    <mergeCell ref="FZN38:FZN39"/>
    <mergeCell ref="FZO38:FZQ38"/>
    <mergeCell ref="FZR38:FZR39"/>
    <mergeCell ref="FZS38:FZS39"/>
    <mergeCell ref="FZT38:FZT39"/>
    <mergeCell ref="FZU38:FZU39"/>
    <mergeCell ref="FZV38:FZV39"/>
    <mergeCell ref="FZW38:FZY38"/>
    <mergeCell ref="FZO39:FZQ39"/>
    <mergeCell ref="FZW39:FZY39"/>
    <mergeCell ref="FZB38:FZB39"/>
    <mergeCell ref="FZC38:FZC39"/>
    <mergeCell ref="FZD38:FZD39"/>
    <mergeCell ref="FZE38:FZE39"/>
    <mergeCell ref="FZF38:FZF39"/>
    <mergeCell ref="FZG38:FZI38"/>
    <mergeCell ref="FZJ38:FZJ39"/>
    <mergeCell ref="FZK38:FZK39"/>
    <mergeCell ref="FZL38:FZL39"/>
    <mergeCell ref="FZG39:FZI39"/>
    <mergeCell ref="FYO38:FYO39"/>
    <mergeCell ref="FYP38:FYP39"/>
    <mergeCell ref="FYQ38:FYS38"/>
    <mergeCell ref="FYT38:FYT39"/>
    <mergeCell ref="FYU38:FYU39"/>
    <mergeCell ref="FYV38:FYV39"/>
    <mergeCell ref="FYW38:FYW39"/>
    <mergeCell ref="FYX38:FYX39"/>
    <mergeCell ref="FYY38:FZA38"/>
    <mergeCell ref="FYQ39:FYS39"/>
    <mergeCell ref="FYY39:FZA39"/>
    <mergeCell ref="FYD38:FYD39"/>
    <mergeCell ref="FYE38:FYE39"/>
    <mergeCell ref="FYF38:FYF39"/>
    <mergeCell ref="FYG38:FYG39"/>
    <mergeCell ref="FYH38:FYH39"/>
    <mergeCell ref="FYI38:FYK38"/>
    <mergeCell ref="FYL38:FYL39"/>
    <mergeCell ref="FYM38:FYM39"/>
    <mergeCell ref="FYN38:FYN39"/>
    <mergeCell ref="FYI39:FYK39"/>
    <mergeCell ref="FXQ38:FXQ39"/>
    <mergeCell ref="FXR38:FXR39"/>
    <mergeCell ref="FXS38:FXU38"/>
    <mergeCell ref="FXV38:FXV39"/>
    <mergeCell ref="FXW38:FXW39"/>
    <mergeCell ref="FXX38:FXX39"/>
    <mergeCell ref="FXY38:FXY39"/>
    <mergeCell ref="FXZ38:FXZ39"/>
    <mergeCell ref="FYA38:FYC38"/>
    <mergeCell ref="FXS39:FXU39"/>
    <mergeCell ref="FYA39:FYC39"/>
    <mergeCell ref="FXF38:FXF39"/>
    <mergeCell ref="FXG38:FXG39"/>
    <mergeCell ref="FXH38:FXH39"/>
    <mergeCell ref="FXI38:FXI39"/>
    <mergeCell ref="FXJ38:FXJ39"/>
    <mergeCell ref="FXK38:FXM38"/>
    <mergeCell ref="FXN38:FXN39"/>
    <mergeCell ref="FXO38:FXO39"/>
    <mergeCell ref="FXP38:FXP39"/>
    <mergeCell ref="FXK39:FXM39"/>
    <mergeCell ref="FWS38:FWS39"/>
    <mergeCell ref="FWT38:FWT39"/>
    <mergeCell ref="FWU38:FWW38"/>
    <mergeCell ref="FWX38:FWX39"/>
    <mergeCell ref="FWY38:FWY39"/>
    <mergeCell ref="FWZ38:FWZ39"/>
    <mergeCell ref="FXA38:FXA39"/>
    <mergeCell ref="FXB38:FXB39"/>
    <mergeCell ref="FXC38:FXE38"/>
    <mergeCell ref="FWU39:FWW39"/>
    <mergeCell ref="FXC39:FXE39"/>
    <mergeCell ref="FWH38:FWH39"/>
    <mergeCell ref="FWI38:FWI39"/>
    <mergeCell ref="FWJ38:FWJ39"/>
    <mergeCell ref="FWK38:FWK39"/>
    <mergeCell ref="FWL38:FWL39"/>
    <mergeCell ref="FWM38:FWO38"/>
    <mergeCell ref="FWP38:FWP39"/>
    <mergeCell ref="FWQ38:FWQ39"/>
    <mergeCell ref="FWR38:FWR39"/>
    <mergeCell ref="FWM39:FWO39"/>
    <mergeCell ref="FVU38:FVU39"/>
    <mergeCell ref="FVV38:FVV39"/>
    <mergeCell ref="FVW38:FVY38"/>
    <mergeCell ref="FVZ38:FVZ39"/>
    <mergeCell ref="FWA38:FWA39"/>
    <mergeCell ref="FWB38:FWB39"/>
    <mergeCell ref="FWC38:FWC39"/>
    <mergeCell ref="FWD38:FWD39"/>
    <mergeCell ref="FWE38:FWG38"/>
    <mergeCell ref="FVW39:FVY39"/>
    <mergeCell ref="FWE39:FWG39"/>
    <mergeCell ref="FVJ38:FVJ39"/>
    <mergeCell ref="FVK38:FVK39"/>
    <mergeCell ref="FVL38:FVL39"/>
    <mergeCell ref="FVM38:FVM39"/>
    <mergeCell ref="FVN38:FVN39"/>
    <mergeCell ref="FVO38:FVQ38"/>
    <mergeCell ref="FVR38:FVR39"/>
    <mergeCell ref="FVS38:FVS39"/>
    <mergeCell ref="FVT38:FVT39"/>
    <mergeCell ref="FVO39:FVQ39"/>
    <mergeCell ref="FUW38:FUW39"/>
    <mergeCell ref="FUX38:FUX39"/>
    <mergeCell ref="FUY38:FVA38"/>
    <mergeCell ref="FVB38:FVB39"/>
    <mergeCell ref="FVC38:FVC39"/>
    <mergeCell ref="FVD38:FVD39"/>
    <mergeCell ref="FVE38:FVE39"/>
    <mergeCell ref="FVF38:FVF39"/>
    <mergeCell ref="FVG38:FVI38"/>
    <mergeCell ref="FUY39:FVA39"/>
    <mergeCell ref="FVG39:FVI39"/>
    <mergeCell ref="FUL38:FUL39"/>
    <mergeCell ref="FUM38:FUM39"/>
    <mergeCell ref="FUN38:FUN39"/>
    <mergeCell ref="FUO38:FUO39"/>
    <mergeCell ref="FUP38:FUP39"/>
    <mergeCell ref="FUQ38:FUS38"/>
    <mergeCell ref="FUT38:FUT39"/>
    <mergeCell ref="FUU38:FUU39"/>
    <mergeCell ref="FUV38:FUV39"/>
    <mergeCell ref="FUQ39:FUS39"/>
    <mergeCell ref="FTY38:FTY39"/>
    <mergeCell ref="FTZ38:FTZ39"/>
    <mergeCell ref="FUA38:FUC38"/>
    <mergeCell ref="FUD38:FUD39"/>
    <mergeCell ref="FUE38:FUE39"/>
    <mergeCell ref="FUF38:FUF39"/>
    <mergeCell ref="FUG38:FUG39"/>
    <mergeCell ref="FUH38:FUH39"/>
    <mergeCell ref="FUI38:FUK38"/>
    <mergeCell ref="FUA39:FUC39"/>
    <mergeCell ref="FUI39:FUK39"/>
    <mergeCell ref="FTN38:FTN39"/>
    <mergeCell ref="FTO38:FTO39"/>
    <mergeCell ref="FTP38:FTP39"/>
    <mergeCell ref="FTQ38:FTQ39"/>
    <mergeCell ref="FTR38:FTR39"/>
    <mergeCell ref="FTS38:FTU38"/>
    <mergeCell ref="FTV38:FTV39"/>
    <mergeCell ref="FTW38:FTW39"/>
    <mergeCell ref="FTX38:FTX39"/>
    <mergeCell ref="FTS39:FTU39"/>
    <mergeCell ref="FTA38:FTA39"/>
    <mergeCell ref="FTB38:FTB39"/>
    <mergeCell ref="FTC38:FTE38"/>
    <mergeCell ref="FTF38:FTF39"/>
    <mergeCell ref="FTG38:FTG39"/>
    <mergeCell ref="FTH38:FTH39"/>
    <mergeCell ref="FTI38:FTI39"/>
    <mergeCell ref="FTJ38:FTJ39"/>
    <mergeCell ref="FTK38:FTM38"/>
    <mergeCell ref="FTC39:FTE39"/>
    <mergeCell ref="FTK39:FTM39"/>
    <mergeCell ref="FSP38:FSP39"/>
    <mergeCell ref="FSQ38:FSQ39"/>
    <mergeCell ref="FSR38:FSR39"/>
    <mergeCell ref="FSS38:FSS39"/>
    <mergeCell ref="FST38:FST39"/>
    <mergeCell ref="FSU38:FSW38"/>
    <mergeCell ref="FSX38:FSX39"/>
    <mergeCell ref="FSY38:FSY39"/>
    <mergeCell ref="FSZ38:FSZ39"/>
    <mergeCell ref="FSU39:FSW39"/>
    <mergeCell ref="FSC38:FSC39"/>
    <mergeCell ref="FSD38:FSD39"/>
    <mergeCell ref="FSE38:FSG38"/>
    <mergeCell ref="FSH38:FSH39"/>
    <mergeCell ref="FSI38:FSI39"/>
    <mergeCell ref="FSJ38:FSJ39"/>
    <mergeCell ref="FSK38:FSK39"/>
    <mergeCell ref="FSL38:FSL39"/>
    <mergeCell ref="FSM38:FSO38"/>
    <mergeCell ref="FSE39:FSG39"/>
    <mergeCell ref="FSM39:FSO39"/>
    <mergeCell ref="FRR38:FRR39"/>
    <mergeCell ref="FRS38:FRS39"/>
    <mergeCell ref="FRT38:FRT39"/>
    <mergeCell ref="FRU38:FRU39"/>
    <mergeCell ref="FRV38:FRV39"/>
    <mergeCell ref="FRW38:FRY38"/>
    <mergeCell ref="FRZ38:FRZ39"/>
    <mergeCell ref="FSA38:FSA39"/>
    <mergeCell ref="FSB38:FSB39"/>
    <mergeCell ref="FRW39:FRY39"/>
    <mergeCell ref="FRE38:FRE39"/>
    <mergeCell ref="FRF38:FRF39"/>
    <mergeCell ref="FRG38:FRI38"/>
    <mergeCell ref="FRJ38:FRJ39"/>
    <mergeCell ref="FRK38:FRK39"/>
    <mergeCell ref="FRL38:FRL39"/>
    <mergeCell ref="FRM38:FRM39"/>
    <mergeCell ref="FRN38:FRN39"/>
    <mergeCell ref="FRO38:FRQ38"/>
    <mergeCell ref="FRG39:FRI39"/>
    <mergeCell ref="FRO39:FRQ39"/>
    <mergeCell ref="FQT38:FQT39"/>
    <mergeCell ref="FQU38:FQU39"/>
    <mergeCell ref="FQV38:FQV39"/>
    <mergeCell ref="FQW38:FQW39"/>
    <mergeCell ref="FQX38:FQX39"/>
    <mergeCell ref="FQY38:FRA38"/>
    <mergeCell ref="FRB38:FRB39"/>
    <mergeCell ref="FRC38:FRC39"/>
    <mergeCell ref="FRD38:FRD39"/>
    <mergeCell ref="FQY39:FRA39"/>
    <mergeCell ref="FQG38:FQG39"/>
    <mergeCell ref="FQH38:FQH39"/>
    <mergeCell ref="FQI38:FQK38"/>
    <mergeCell ref="FQL38:FQL39"/>
    <mergeCell ref="FQM38:FQM39"/>
    <mergeCell ref="FQN38:FQN39"/>
    <mergeCell ref="FQO38:FQO39"/>
    <mergeCell ref="FQP38:FQP39"/>
    <mergeCell ref="FQQ38:FQS38"/>
    <mergeCell ref="FQI39:FQK39"/>
    <mergeCell ref="FQQ39:FQS39"/>
    <mergeCell ref="FPV38:FPV39"/>
    <mergeCell ref="FPW38:FPW39"/>
    <mergeCell ref="FPX38:FPX39"/>
    <mergeCell ref="FPY38:FPY39"/>
    <mergeCell ref="FPZ38:FPZ39"/>
    <mergeCell ref="FQA38:FQC38"/>
    <mergeCell ref="FQD38:FQD39"/>
    <mergeCell ref="FQE38:FQE39"/>
    <mergeCell ref="FQF38:FQF39"/>
    <mergeCell ref="FQA39:FQC39"/>
    <mergeCell ref="FPI38:FPI39"/>
    <mergeCell ref="FPJ38:FPJ39"/>
    <mergeCell ref="FPK38:FPM38"/>
    <mergeCell ref="FPN38:FPN39"/>
    <mergeCell ref="FPO38:FPO39"/>
    <mergeCell ref="FPP38:FPP39"/>
    <mergeCell ref="FPQ38:FPQ39"/>
    <mergeCell ref="FPR38:FPR39"/>
    <mergeCell ref="FPS38:FPU38"/>
    <mergeCell ref="FPK39:FPM39"/>
    <mergeCell ref="FPS39:FPU39"/>
    <mergeCell ref="FOX38:FOX39"/>
    <mergeCell ref="FOY38:FOY39"/>
    <mergeCell ref="FOZ38:FOZ39"/>
    <mergeCell ref="FPA38:FPA39"/>
    <mergeCell ref="FPB38:FPB39"/>
    <mergeCell ref="FPC38:FPE38"/>
    <mergeCell ref="FPF38:FPF39"/>
    <mergeCell ref="FPG38:FPG39"/>
    <mergeCell ref="FPH38:FPH39"/>
    <mergeCell ref="FPC39:FPE39"/>
    <mergeCell ref="FOK38:FOK39"/>
    <mergeCell ref="FOL38:FOL39"/>
    <mergeCell ref="FOM38:FOO38"/>
    <mergeCell ref="FOP38:FOP39"/>
    <mergeCell ref="FOQ38:FOQ39"/>
    <mergeCell ref="FOR38:FOR39"/>
    <mergeCell ref="FOS38:FOS39"/>
    <mergeCell ref="FOT38:FOT39"/>
    <mergeCell ref="FOU38:FOW38"/>
    <mergeCell ref="FOM39:FOO39"/>
    <mergeCell ref="FOU39:FOW39"/>
    <mergeCell ref="FNZ38:FNZ39"/>
    <mergeCell ref="FOA38:FOA39"/>
    <mergeCell ref="FOB38:FOB39"/>
    <mergeCell ref="FOC38:FOC39"/>
    <mergeCell ref="FOD38:FOD39"/>
    <mergeCell ref="FOE38:FOG38"/>
    <mergeCell ref="FOH38:FOH39"/>
    <mergeCell ref="FOI38:FOI39"/>
    <mergeCell ref="FOJ38:FOJ39"/>
    <mergeCell ref="FOE39:FOG39"/>
    <mergeCell ref="FNM38:FNM39"/>
    <mergeCell ref="FNN38:FNN39"/>
    <mergeCell ref="FNO38:FNQ38"/>
    <mergeCell ref="FNR38:FNR39"/>
    <mergeCell ref="FNS38:FNS39"/>
    <mergeCell ref="FNT38:FNT39"/>
    <mergeCell ref="FNU38:FNU39"/>
    <mergeCell ref="FNV38:FNV39"/>
    <mergeCell ref="FNW38:FNY38"/>
    <mergeCell ref="FNO39:FNQ39"/>
    <mergeCell ref="FNW39:FNY39"/>
    <mergeCell ref="FNB38:FNB39"/>
    <mergeCell ref="FNC38:FNC39"/>
    <mergeCell ref="FND38:FND39"/>
    <mergeCell ref="FNE38:FNE39"/>
    <mergeCell ref="FNF38:FNF39"/>
    <mergeCell ref="FNG38:FNI38"/>
    <mergeCell ref="FNJ38:FNJ39"/>
    <mergeCell ref="FNK38:FNK39"/>
    <mergeCell ref="FNL38:FNL39"/>
    <mergeCell ref="FNG39:FNI39"/>
    <mergeCell ref="FMO38:FMO39"/>
    <mergeCell ref="FMP38:FMP39"/>
    <mergeCell ref="FMQ38:FMS38"/>
    <mergeCell ref="FMT38:FMT39"/>
    <mergeCell ref="FMU38:FMU39"/>
    <mergeCell ref="FMV38:FMV39"/>
    <mergeCell ref="FMW38:FMW39"/>
    <mergeCell ref="FMX38:FMX39"/>
    <mergeCell ref="FMY38:FNA38"/>
    <mergeCell ref="FMQ39:FMS39"/>
    <mergeCell ref="FMY39:FNA39"/>
    <mergeCell ref="FMD38:FMD39"/>
    <mergeCell ref="FME38:FME39"/>
    <mergeCell ref="FMF38:FMF39"/>
    <mergeCell ref="FMG38:FMG39"/>
    <mergeCell ref="FMH38:FMH39"/>
    <mergeCell ref="FMI38:FMK38"/>
    <mergeCell ref="FML38:FML39"/>
    <mergeCell ref="FMM38:FMM39"/>
    <mergeCell ref="FMN38:FMN39"/>
    <mergeCell ref="FMI39:FMK39"/>
    <mergeCell ref="FLQ38:FLQ39"/>
    <mergeCell ref="FLR38:FLR39"/>
    <mergeCell ref="FLS38:FLU38"/>
    <mergeCell ref="FLV38:FLV39"/>
    <mergeCell ref="FLW38:FLW39"/>
    <mergeCell ref="FLX38:FLX39"/>
    <mergeCell ref="FLY38:FLY39"/>
    <mergeCell ref="FLZ38:FLZ39"/>
    <mergeCell ref="FMA38:FMC38"/>
    <mergeCell ref="FLS39:FLU39"/>
    <mergeCell ref="FMA39:FMC39"/>
    <mergeCell ref="FLF38:FLF39"/>
    <mergeCell ref="FLG38:FLG39"/>
    <mergeCell ref="FLH38:FLH39"/>
    <mergeCell ref="FLI38:FLI39"/>
    <mergeCell ref="FLJ38:FLJ39"/>
    <mergeCell ref="FLK38:FLM38"/>
    <mergeCell ref="FLN38:FLN39"/>
    <mergeCell ref="FLO38:FLO39"/>
    <mergeCell ref="FLP38:FLP39"/>
    <mergeCell ref="FLK39:FLM39"/>
    <mergeCell ref="FKS38:FKS39"/>
    <mergeCell ref="FKT38:FKT39"/>
    <mergeCell ref="FKU38:FKW38"/>
    <mergeCell ref="FKX38:FKX39"/>
    <mergeCell ref="FKY38:FKY39"/>
    <mergeCell ref="FKZ38:FKZ39"/>
    <mergeCell ref="FLA38:FLA39"/>
    <mergeCell ref="FLB38:FLB39"/>
    <mergeCell ref="FLC38:FLE38"/>
    <mergeCell ref="FKU39:FKW39"/>
    <mergeCell ref="FLC39:FLE39"/>
    <mergeCell ref="FKH38:FKH39"/>
    <mergeCell ref="FKI38:FKI39"/>
    <mergeCell ref="FKJ38:FKJ39"/>
    <mergeCell ref="FKK38:FKK39"/>
    <mergeCell ref="FKL38:FKL39"/>
    <mergeCell ref="FKM38:FKO38"/>
    <mergeCell ref="FKP38:FKP39"/>
    <mergeCell ref="FKQ38:FKQ39"/>
    <mergeCell ref="FKR38:FKR39"/>
    <mergeCell ref="FKM39:FKO39"/>
    <mergeCell ref="FJU38:FJU39"/>
    <mergeCell ref="FJV38:FJV39"/>
    <mergeCell ref="FJW38:FJY38"/>
    <mergeCell ref="FJZ38:FJZ39"/>
    <mergeCell ref="FKA38:FKA39"/>
    <mergeCell ref="FKB38:FKB39"/>
    <mergeCell ref="FKC38:FKC39"/>
    <mergeCell ref="FKD38:FKD39"/>
    <mergeCell ref="FKE38:FKG38"/>
    <mergeCell ref="FJW39:FJY39"/>
    <mergeCell ref="FKE39:FKG39"/>
    <mergeCell ref="FJJ38:FJJ39"/>
    <mergeCell ref="FJK38:FJK39"/>
    <mergeCell ref="FJL38:FJL39"/>
    <mergeCell ref="FJM38:FJM39"/>
    <mergeCell ref="FJN38:FJN39"/>
    <mergeCell ref="FJO38:FJQ38"/>
    <mergeCell ref="FJR38:FJR39"/>
    <mergeCell ref="FJS38:FJS39"/>
    <mergeCell ref="FJT38:FJT39"/>
    <mergeCell ref="FJO39:FJQ39"/>
    <mergeCell ref="FIW38:FIW39"/>
    <mergeCell ref="FIX38:FIX39"/>
    <mergeCell ref="FIY38:FJA38"/>
    <mergeCell ref="FJB38:FJB39"/>
    <mergeCell ref="FJC38:FJC39"/>
    <mergeCell ref="FJD38:FJD39"/>
    <mergeCell ref="FJE38:FJE39"/>
    <mergeCell ref="FJF38:FJF39"/>
    <mergeCell ref="FJG38:FJI38"/>
    <mergeCell ref="FIY39:FJA39"/>
    <mergeCell ref="FJG39:FJI39"/>
    <mergeCell ref="FIL38:FIL39"/>
    <mergeCell ref="FIM38:FIM39"/>
    <mergeCell ref="FIN38:FIN39"/>
    <mergeCell ref="FIO38:FIO39"/>
    <mergeCell ref="FIP38:FIP39"/>
    <mergeCell ref="FIQ38:FIS38"/>
    <mergeCell ref="FIT38:FIT39"/>
    <mergeCell ref="FIU38:FIU39"/>
    <mergeCell ref="FIV38:FIV39"/>
    <mergeCell ref="FIQ39:FIS39"/>
    <mergeCell ref="FHY38:FHY39"/>
    <mergeCell ref="FHZ38:FHZ39"/>
    <mergeCell ref="FIA38:FIC38"/>
    <mergeCell ref="FID38:FID39"/>
    <mergeCell ref="FIE38:FIE39"/>
    <mergeCell ref="FIF38:FIF39"/>
    <mergeCell ref="FIG38:FIG39"/>
    <mergeCell ref="FIH38:FIH39"/>
    <mergeCell ref="FII38:FIK38"/>
    <mergeCell ref="FIA39:FIC39"/>
    <mergeCell ref="FII39:FIK39"/>
    <mergeCell ref="FHN38:FHN39"/>
    <mergeCell ref="FHO38:FHO39"/>
    <mergeCell ref="FHP38:FHP39"/>
    <mergeCell ref="FHQ38:FHQ39"/>
    <mergeCell ref="FHR38:FHR39"/>
    <mergeCell ref="FHS38:FHU38"/>
    <mergeCell ref="FHV38:FHV39"/>
    <mergeCell ref="FHW38:FHW39"/>
    <mergeCell ref="FHX38:FHX39"/>
    <mergeCell ref="FHS39:FHU39"/>
    <mergeCell ref="FHA38:FHA39"/>
    <mergeCell ref="FHB38:FHB39"/>
    <mergeCell ref="FHC38:FHE38"/>
    <mergeCell ref="FHF38:FHF39"/>
    <mergeCell ref="FHG38:FHG39"/>
    <mergeCell ref="FHH38:FHH39"/>
    <mergeCell ref="FHI38:FHI39"/>
    <mergeCell ref="FHJ38:FHJ39"/>
    <mergeCell ref="FHK38:FHM38"/>
    <mergeCell ref="FHC39:FHE39"/>
    <mergeCell ref="FHK39:FHM39"/>
    <mergeCell ref="FGP38:FGP39"/>
    <mergeCell ref="FGQ38:FGQ39"/>
    <mergeCell ref="FGR38:FGR39"/>
    <mergeCell ref="FGS38:FGS39"/>
    <mergeCell ref="FGT38:FGT39"/>
    <mergeCell ref="FGU38:FGW38"/>
    <mergeCell ref="FGX38:FGX39"/>
    <mergeCell ref="FGY38:FGY39"/>
    <mergeCell ref="FGZ38:FGZ39"/>
    <mergeCell ref="FGU39:FGW39"/>
    <mergeCell ref="FGC38:FGC39"/>
    <mergeCell ref="FGD38:FGD39"/>
    <mergeCell ref="FGE38:FGG38"/>
    <mergeCell ref="FGH38:FGH39"/>
    <mergeCell ref="FGI38:FGI39"/>
    <mergeCell ref="FGJ38:FGJ39"/>
    <mergeCell ref="FGK38:FGK39"/>
    <mergeCell ref="FGL38:FGL39"/>
    <mergeCell ref="FGM38:FGO38"/>
    <mergeCell ref="FGE39:FGG39"/>
    <mergeCell ref="FGM39:FGO39"/>
    <mergeCell ref="FFR38:FFR39"/>
    <mergeCell ref="FFS38:FFS39"/>
    <mergeCell ref="FFT38:FFT39"/>
    <mergeCell ref="FFU38:FFU39"/>
    <mergeCell ref="FFV38:FFV39"/>
    <mergeCell ref="FFW38:FFY38"/>
    <mergeCell ref="FFZ38:FFZ39"/>
    <mergeCell ref="FGA38:FGA39"/>
    <mergeCell ref="FGB38:FGB39"/>
    <mergeCell ref="FFW39:FFY39"/>
    <mergeCell ref="FFE38:FFE39"/>
    <mergeCell ref="FFF38:FFF39"/>
    <mergeCell ref="FFG38:FFI38"/>
    <mergeCell ref="FFJ38:FFJ39"/>
    <mergeCell ref="FFK38:FFK39"/>
    <mergeCell ref="FFL38:FFL39"/>
    <mergeCell ref="FFM38:FFM39"/>
    <mergeCell ref="FFN38:FFN39"/>
    <mergeCell ref="FFO38:FFQ38"/>
    <mergeCell ref="FFG39:FFI39"/>
    <mergeCell ref="FFO39:FFQ39"/>
    <mergeCell ref="FET38:FET39"/>
    <mergeCell ref="FEU38:FEU39"/>
    <mergeCell ref="FEV38:FEV39"/>
    <mergeCell ref="FEW38:FEW39"/>
    <mergeCell ref="FEX38:FEX39"/>
    <mergeCell ref="FEY38:FFA38"/>
    <mergeCell ref="FFB38:FFB39"/>
    <mergeCell ref="FFC38:FFC39"/>
    <mergeCell ref="FFD38:FFD39"/>
    <mergeCell ref="FEY39:FFA39"/>
    <mergeCell ref="FEG38:FEG39"/>
    <mergeCell ref="FEH38:FEH39"/>
    <mergeCell ref="FEI38:FEK38"/>
    <mergeCell ref="FEL38:FEL39"/>
    <mergeCell ref="FEM38:FEM39"/>
    <mergeCell ref="FEN38:FEN39"/>
    <mergeCell ref="FEO38:FEO39"/>
    <mergeCell ref="FEP38:FEP39"/>
    <mergeCell ref="FEQ38:FES38"/>
    <mergeCell ref="FEI39:FEK39"/>
    <mergeCell ref="FEQ39:FES39"/>
    <mergeCell ref="FDV38:FDV39"/>
    <mergeCell ref="FDW38:FDW39"/>
    <mergeCell ref="FDX38:FDX39"/>
    <mergeCell ref="FDY38:FDY39"/>
    <mergeCell ref="FDZ38:FDZ39"/>
    <mergeCell ref="FEA38:FEC38"/>
    <mergeCell ref="FED38:FED39"/>
    <mergeCell ref="FEE38:FEE39"/>
    <mergeCell ref="FEF38:FEF39"/>
    <mergeCell ref="FEA39:FEC39"/>
    <mergeCell ref="FDI38:FDI39"/>
    <mergeCell ref="FDJ38:FDJ39"/>
    <mergeCell ref="FDK38:FDM38"/>
    <mergeCell ref="FDN38:FDN39"/>
    <mergeCell ref="FDO38:FDO39"/>
    <mergeCell ref="FDP38:FDP39"/>
    <mergeCell ref="FDQ38:FDQ39"/>
    <mergeCell ref="FDR38:FDR39"/>
    <mergeCell ref="FDS38:FDU38"/>
    <mergeCell ref="FDK39:FDM39"/>
    <mergeCell ref="FDS39:FDU39"/>
    <mergeCell ref="FCX38:FCX39"/>
    <mergeCell ref="FCY38:FCY39"/>
    <mergeCell ref="FCZ38:FCZ39"/>
    <mergeCell ref="FDA38:FDA39"/>
    <mergeCell ref="FDB38:FDB39"/>
    <mergeCell ref="FDC38:FDE38"/>
    <mergeCell ref="FDF38:FDF39"/>
    <mergeCell ref="FDG38:FDG39"/>
    <mergeCell ref="FDH38:FDH39"/>
    <mergeCell ref="FDC39:FDE39"/>
    <mergeCell ref="FCK38:FCK39"/>
    <mergeCell ref="FCL38:FCL39"/>
    <mergeCell ref="FCM38:FCO38"/>
    <mergeCell ref="FCP38:FCP39"/>
    <mergeCell ref="FCQ38:FCQ39"/>
    <mergeCell ref="FCR38:FCR39"/>
    <mergeCell ref="FCS38:FCS39"/>
    <mergeCell ref="FCT38:FCT39"/>
    <mergeCell ref="FCU38:FCW38"/>
    <mergeCell ref="FCM39:FCO39"/>
    <mergeCell ref="FCU39:FCW39"/>
    <mergeCell ref="FBZ38:FBZ39"/>
    <mergeCell ref="FCA38:FCA39"/>
    <mergeCell ref="FCB38:FCB39"/>
    <mergeCell ref="FCC38:FCC39"/>
    <mergeCell ref="FCD38:FCD39"/>
    <mergeCell ref="FCE38:FCG38"/>
    <mergeCell ref="FCH38:FCH39"/>
    <mergeCell ref="FCI38:FCI39"/>
    <mergeCell ref="FCJ38:FCJ39"/>
    <mergeCell ref="FCE39:FCG39"/>
    <mergeCell ref="FBM38:FBM39"/>
    <mergeCell ref="FBN38:FBN39"/>
    <mergeCell ref="FBO38:FBQ38"/>
    <mergeCell ref="FBR38:FBR39"/>
    <mergeCell ref="FBS38:FBS39"/>
    <mergeCell ref="FBT38:FBT39"/>
    <mergeCell ref="FBU38:FBU39"/>
    <mergeCell ref="FBV38:FBV39"/>
    <mergeCell ref="FBW38:FBY38"/>
    <mergeCell ref="FBO39:FBQ39"/>
    <mergeCell ref="FBW39:FBY39"/>
    <mergeCell ref="FBB38:FBB39"/>
    <mergeCell ref="FBC38:FBC39"/>
    <mergeCell ref="FBD38:FBD39"/>
    <mergeCell ref="FBE38:FBE39"/>
    <mergeCell ref="FBF38:FBF39"/>
    <mergeCell ref="FBG38:FBI38"/>
    <mergeCell ref="FBJ38:FBJ39"/>
    <mergeCell ref="FBK38:FBK39"/>
    <mergeCell ref="FBL38:FBL39"/>
    <mergeCell ref="FBG39:FBI39"/>
    <mergeCell ref="FAO38:FAO39"/>
    <mergeCell ref="FAP38:FAP39"/>
    <mergeCell ref="FAQ38:FAS38"/>
    <mergeCell ref="FAT38:FAT39"/>
    <mergeCell ref="FAU38:FAU39"/>
    <mergeCell ref="FAV38:FAV39"/>
    <mergeCell ref="FAW38:FAW39"/>
    <mergeCell ref="FAX38:FAX39"/>
    <mergeCell ref="FAY38:FBA38"/>
    <mergeCell ref="FAQ39:FAS39"/>
    <mergeCell ref="FAY39:FBA39"/>
    <mergeCell ref="FAD38:FAD39"/>
    <mergeCell ref="FAE38:FAE39"/>
    <mergeCell ref="FAF38:FAF39"/>
    <mergeCell ref="FAG38:FAG39"/>
    <mergeCell ref="FAH38:FAH39"/>
    <mergeCell ref="FAI38:FAK38"/>
    <mergeCell ref="FAL38:FAL39"/>
    <mergeCell ref="FAM38:FAM39"/>
    <mergeCell ref="FAN38:FAN39"/>
    <mergeCell ref="FAI39:FAK39"/>
    <mergeCell ref="EZQ38:EZQ39"/>
    <mergeCell ref="EZR38:EZR39"/>
    <mergeCell ref="EZS38:EZU38"/>
    <mergeCell ref="EZV38:EZV39"/>
    <mergeCell ref="EZW38:EZW39"/>
    <mergeCell ref="EZX38:EZX39"/>
    <mergeCell ref="EZY38:EZY39"/>
    <mergeCell ref="EZZ38:EZZ39"/>
    <mergeCell ref="FAA38:FAC38"/>
    <mergeCell ref="EZS39:EZU39"/>
    <mergeCell ref="FAA39:FAC39"/>
    <mergeCell ref="EZF38:EZF39"/>
    <mergeCell ref="EZG38:EZG39"/>
    <mergeCell ref="EZH38:EZH39"/>
    <mergeCell ref="EZI38:EZI39"/>
    <mergeCell ref="EZJ38:EZJ39"/>
    <mergeCell ref="EZK38:EZM38"/>
    <mergeCell ref="EZN38:EZN39"/>
    <mergeCell ref="EZO38:EZO39"/>
    <mergeCell ref="EZP38:EZP39"/>
    <mergeCell ref="EZK39:EZM39"/>
    <mergeCell ref="EYS38:EYS39"/>
    <mergeCell ref="EYT38:EYT39"/>
    <mergeCell ref="EYU38:EYW38"/>
    <mergeCell ref="EYX38:EYX39"/>
    <mergeCell ref="EYY38:EYY39"/>
    <mergeCell ref="EYZ38:EYZ39"/>
    <mergeCell ref="EZA38:EZA39"/>
    <mergeCell ref="EZB38:EZB39"/>
    <mergeCell ref="EZC38:EZE38"/>
    <mergeCell ref="EYU39:EYW39"/>
    <mergeCell ref="EZC39:EZE39"/>
    <mergeCell ref="EYH38:EYH39"/>
    <mergeCell ref="EYI38:EYI39"/>
    <mergeCell ref="EYJ38:EYJ39"/>
    <mergeCell ref="EYK38:EYK39"/>
    <mergeCell ref="EYL38:EYL39"/>
    <mergeCell ref="EYM38:EYO38"/>
    <mergeCell ref="EYP38:EYP39"/>
    <mergeCell ref="EYQ38:EYQ39"/>
    <mergeCell ref="EYR38:EYR39"/>
    <mergeCell ref="EYM39:EYO39"/>
    <mergeCell ref="EXU38:EXU39"/>
    <mergeCell ref="EXV38:EXV39"/>
    <mergeCell ref="EXW38:EXY38"/>
    <mergeCell ref="EXZ38:EXZ39"/>
    <mergeCell ref="EYA38:EYA39"/>
    <mergeCell ref="EYB38:EYB39"/>
    <mergeCell ref="EYC38:EYC39"/>
    <mergeCell ref="EYD38:EYD39"/>
    <mergeCell ref="EYE38:EYG38"/>
    <mergeCell ref="EXW39:EXY39"/>
    <mergeCell ref="EYE39:EYG39"/>
    <mergeCell ref="EXJ38:EXJ39"/>
    <mergeCell ref="EXK38:EXK39"/>
    <mergeCell ref="EXL38:EXL39"/>
    <mergeCell ref="EXM38:EXM39"/>
    <mergeCell ref="EXN38:EXN39"/>
    <mergeCell ref="EXO38:EXQ38"/>
    <mergeCell ref="EXR38:EXR39"/>
    <mergeCell ref="EXS38:EXS39"/>
    <mergeCell ref="EXT38:EXT39"/>
    <mergeCell ref="EXO39:EXQ39"/>
    <mergeCell ref="EWW38:EWW39"/>
    <mergeCell ref="EWX38:EWX39"/>
    <mergeCell ref="EWY38:EXA38"/>
    <mergeCell ref="EXB38:EXB39"/>
    <mergeCell ref="EXC38:EXC39"/>
    <mergeCell ref="EXD38:EXD39"/>
    <mergeCell ref="EXE38:EXE39"/>
    <mergeCell ref="EXF38:EXF39"/>
    <mergeCell ref="EXG38:EXI38"/>
    <mergeCell ref="EWY39:EXA39"/>
    <mergeCell ref="EXG39:EXI39"/>
    <mergeCell ref="EWL38:EWL39"/>
    <mergeCell ref="EWM38:EWM39"/>
    <mergeCell ref="EWN38:EWN39"/>
    <mergeCell ref="EWO38:EWO39"/>
    <mergeCell ref="EWP38:EWP39"/>
    <mergeCell ref="EWQ38:EWS38"/>
    <mergeCell ref="EWT38:EWT39"/>
    <mergeCell ref="EWU38:EWU39"/>
    <mergeCell ref="EWV38:EWV39"/>
    <mergeCell ref="EWQ39:EWS39"/>
    <mergeCell ref="EVY38:EVY39"/>
    <mergeCell ref="EVZ38:EVZ39"/>
    <mergeCell ref="EWA38:EWC38"/>
    <mergeCell ref="EWD38:EWD39"/>
    <mergeCell ref="EWE38:EWE39"/>
    <mergeCell ref="EWF38:EWF39"/>
    <mergeCell ref="EWG38:EWG39"/>
    <mergeCell ref="EWH38:EWH39"/>
    <mergeCell ref="EWI38:EWK38"/>
    <mergeCell ref="EWA39:EWC39"/>
    <mergeCell ref="EWI39:EWK39"/>
    <mergeCell ref="EVN38:EVN39"/>
    <mergeCell ref="EVO38:EVO39"/>
    <mergeCell ref="EVP38:EVP39"/>
    <mergeCell ref="EVQ38:EVQ39"/>
    <mergeCell ref="EVR38:EVR39"/>
    <mergeCell ref="EVS38:EVU38"/>
    <mergeCell ref="EVV38:EVV39"/>
    <mergeCell ref="EVW38:EVW39"/>
    <mergeCell ref="EVX38:EVX39"/>
    <mergeCell ref="EVS39:EVU39"/>
    <mergeCell ref="EVA38:EVA39"/>
    <mergeCell ref="EVB38:EVB39"/>
    <mergeCell ref="EVC38:EVE38"/>
    <mergeCell ref="EVF38:EVF39"/>
    <mergeCell ref="EVG38:EVG39"/>
    <mergeCell ref="EVH38:EVH39"/>
    <mergeCell ref="EVI38:EVI39"/>
    <mergeCell ref="EVJ38:EVJ39"/>
    <mergeCell ref="EVK38:EVM38"/>
    <mergeCell ref="EVC39:EVE39"/>
    <mergeCell ref="EVK39:EVM39"/>
    <mergeCell ref="EUP38:EUP39"/>
    <mergeCell ref="EUQ38:EUQ39"/>
    <mergeCell ref="EUR38:EUR39"/>
    <mergeCell ref="EUS38:EUS39"/>
    <mergeCell ref="EUT38:EUT39"/>
    <mergeCell ref="EUU38:EUW38"/>
    <mergeCell ref="EUX38:EUX39"/>
    <mergeCell ref="EUY38:EUY39"/>
    <mergeCell ref="EUZ38:EUZ39"/>
    <mergeCell ref="EUU39:EUW39"/>
    <mergeCell ref="EUC38:EUC39"/>
    <mergeCell ref="EUD38:EUD39"/>
    <mergeCell ref="EUE38:EUG38"/>
    <mergeCell ref="EUH38:EUH39"/>
    <mergeCell ref="EUI38:EUI39"/>
    <mergeCell ref="EUJ38:EUJ39"/>
    <mergeCell ref="EUK38:EUK39"/>
    <mergeCell ref="EUL38:EUL39"/>
    <mergeCell ref="EUM38:EUO38"/>
    <mergeCell ref="EUE39:EUG39"/>
    <mergeCell ref="EUM39:EUO39"/>
    <mergeCell ref="ETR38:ETR39"/>
    <mergeCell ref="ETS38:ETS39"/>
    <mergeCell ref="ETT38:ETT39"/>
    <mergeCell ref="ETU38:ETU39"/>
    <mergeCell ref="ETV38:ETV39"/>
    <mergeCell ref="ETW38:ETY38"/>
    <mergeCell ref="ETZ38:ETZ39"/>
    <mergeCell ref="EUA38:EUA39"/>
    <mergeCell ref="EUB38:EUB39"/>
    <mergeCell ref="ETW39:ETY39"/>
    <mergeCell ref="ETE38:ETE39"/>
    <mergeCell ref="ETF38:ETF39"/>
    <mergeCell ref="ETG38:ETI38"/>
    <mergeCell ref="ETJ38:ETJ39"/>
    <mergeCell ref="ETK38:ETK39"/>
    <mergeCell ref="ETL38:ETL39"/>
    <mergeCell ref="ETM38:ETM39"/>
    <mergeCell ref="ETN38:ETN39"/>
    <mergeCell ref="ETO38:ETQ38"/>
    <mergeCell ref="ETG39:ETI39"/>
    <mergeCell ref="ETO39:ETQ39"/>
    <mergeCell ref="EST38:EST39"/>
    <mergeCell ref="ESU38:ESU39"/>
    <mergeCell ref="ESV38:ESV39"/>
    <mergeCell ref="ESW38:ESW39"/>
    <mergeCell ref="ESX38:ESX39"/>
    <mergeCell ref="ESY38:ETA38"/>
    <mergeCell ref="ETB38:ETB39"/>
    <mergeCell ref="ETC38:ETC39"/>
    <mergeCell ref="ETD38:ETD39"/>
    <mergeCell ref="ESY39:ETA39"/>
    <mergeCell ref="ESG38:ESG39"/>
    <mergeCell ref="ESH38:ESH39"/>
    <mergeCell ref="ESI38:ESK38"/>
    <mergeCell ref="ESL38:ESL39"/>
    <mergeCell ref="ESM38:ESM39"/>
    <mergeCell ref="ESN38:ESN39"/>
    <mergeCell ref="ESO38:ESO39"/>
    <mergeCell ref="ESP38:ESP39"/>
    <mergeCell ref="ESQ38:ESS38"/>
    <mergeCell ref="ESI39:ESK39"/>
    <mergeCell ref="ESQ39:ESS39"/>
    <mergeCell ref="ERV38:ERV39"/>
    <mergeCell ref="ERW38:ERW39"/>
    <mergeCell ref="ERX38:ERX39"/>
    <mergeCell ref="ERY38:ERY39"/>
    <mergeCell ref="ERZ38:ERZ39"/>
    <mergeCell ref="ESA38:ESC38"/>
    <mergeCell ref="ESD38:ESD39"/>
    <mergeCell ref="ESE38:ESE39"/>
    <mergeCell ref="ESF38:ESF39"/>
    <mergeCell ref="ESA39:ESC39"/>
    <mergeCell ref="ERI38:ERI39"/>
    <mergeCell ref="ERJ38:ERJ39"/>
    <mergeCell ref="ERK38:ERM38"/>
    <mergeCell ref="ERN38:ERN39"/>
    <mergeCell ref="ERO38:ERO39"/>
    <mergeCell ref="ERP38:ERP39"/>
    <mergeCell ref="ERQ38:ERQ39"/>
    <mergeCell ref="ERR38:ERR39"/>
    <mergeCell ref="ERS38:ERU38"/>
    <mergeCell ref="ERK39:ERM39"/>
    <mergeCell ref="ERS39:ERU39"/>
    <mergeCell ref="EQX38:EQX39"/>
    <mergeCell ref="EQY38:EQY39"/>
    <mergeCell ref="EQZ38:EQZ39"/>
    <mergeCell ref="ERA38:ERA39"/>
    <mergeCell ref="ERB38:ERB39"/>
    <mergeCell ref="ERC38:ERE38"/>
    <mergeCell ref="ERF38:ERF39"/>
    <mergeCell ref="ERG38:ERG39"/>
    <mergeCell ref="ERH38:ERH39"/>
    <mergeCell ref="ERC39:ERE39"/>
    <mergeCell ref="EQK38:EQK39"/>
    <mergeCell ref="EQL38:EQL39"/>
    <mergeCell ref="EQM38:EQO38"/>
    <mergeCell ref="EQP38:EQP39"/>
    <mergeCell ref="EQQ38:EQQ39"/>
    <mergeCell ref="EQR38:EQR39"/>
    <mergeCell ref="EQS38:EQS39"/>
    <mergeCell ref="EQT38:EQT39"/>
    <mergeCell ref="EQU38:EQW38"/>
    <mergeCell ref="EQM39:EQO39"/>
    <mergeCell ref="EQU39:EQW39"/>
    <mergeCell ref="EPZ38:EPZ39"/>
    <mergeCell ref="EQA38:EQA39"/>
    <mergeCell ref="EQB38:EQB39"/>
    <mergeCell ref="EQC38:EQC39"/>
    <mergeCell ref="EQD38:EQD39"/>
    <mergeCell ref="EQE38:EQG38"/>
    <mergeCell ref="EQH38:EQH39"/>
    <mergeCell ref="EQI38:EQI39"/>
    <mergeCell ref="EQJ38:EQJ39"/>
    <mergeCell ref="EQE39:EQG39"/>
    <mergeCell ref="EPM38:EPM39"/>
    <mergeCell ref="EPN38:EPN39"/>
    <mergeCell ref="EPO38:EPQ38"/>
    <mergeCell ref="EPR38:EPR39"/>
    <mergeCell ref="EPS38:EPS39"/>
    <mergeCell ref="EPT38:EPT39"/>
    <mergeCell ref="EPU38:EPU39"/>
    <mergeCell ref="EPV38:EPV39"/>
    <mergeCell ref="EPW38:EPY38"/>
    <mergeCell ref="EPO39:EPQ39"/>
    <mergeCell ref="EPW39:EPY39"/>
    <mergeCell ref="EPB38:EPB39"/>
    <mergeCell ref="EPC38:EPC39"/>
    <mergeCell ref="EPD38:EPD39"/>
    <mergeCell ref="EPE38:EPE39"/>
    <mergeCell ref="EPF38:EPF39"/>
    <mergeCell ref="EPG38:EPI38"/>
    <mergeCell ref="EPJ38:EPJ39"/>
    <mergeCell ref="EPK38:EPK39"/>
    <mergeCell ref="EPL38:EPL39"/>
    <mergeCell ref="EPG39:EPI39"/>
    <mergeCell ref="EOO38:EOO39"/>
    <mergeCell ref="EOP38:EOP39"/>
    <mergeCell ref="EOQ38:EOS38"/>
    <mergeCell ref="EOT38:EOT39"/>
    <mergeCell ref="EOU38:EOU39"/>
    <mergeCell ref="EOV38:EOV39"/>
    <mergeCell ref="EOW38:EOW39"/>
    <mergeCell ref="EOX38:EOX39"/>
    <mergeCell ref="EOY38:EPA38"/>
    <mergeCell ref="EOQ39:EOS39"/>
    <mergeCell ref="EOY39:EPA39"/>
    <mergeCell ref="EOD38:EOD39"/>
    <mergeCell ref="EOE38:EOE39"/>
    <mergeCell ref="EOF38:EOF39"/>
    <mergeCell ref="EOG38:EOG39"/>
    <mergeCell ref="EOH38:EOH39"/>
    <mergeCell ref="EOI38:EOK38"/>
    <mergeCell ref="EOL38:EOL39"/>
    <mergeCell ref="EOM38:EOM39"/>
    <mergeCell ref="EON38:EON39"/>
    <mergeCell ref="EOI39:EOK39"/>
    <mergeCell ref="ENQ38:ENQ39"/>
    <mergeCell ref="ENR38:ENR39"/>
    <mergeCell ref="ENS38:ENU38"/>
    <mergeCell ref="ENV38:ENV39"/>
    <mergeCell ref="ENW38:ENW39"/>
    <mergeCell ref="ENX38:ENX39"/>
    <mergeCell ref="ENY38:ENY39"/>
    <mergeCell ref="ENZ38:ENZ39"/>
    <mergeCell ref="EOA38:EOC38"/>
    <mergeCell ref="ENS39:ENU39"/>
    <mergeCell ref="EOA39:EOC39"/>
    <mergeCell ref="ENF38:ENF39"/>
    <mergeCell ref="ENG38:ENG39"/>
    <mergeCell ref="ENH38:ENH39"/>
    <mergeCell ref="ENI38:ENI39"/>
    <mergeCell ref="ENJ38:ENJ39"/>
    <mergeCell ref="ENK38:ENM38"/>
    <mergeCell ref="ENN38:ENN39"/>
    <mergeCell ref="ENO38:ENO39"/>
    <mergeCell ref="ENP38:ENP39"/>
    <mergeCell ref="ENK39:ENM39"/>
    <mergeCell ref="EMS38:EMS39"/>
    <mergeCell ref="EMT38:EMT39"/>
    <mergeCell ref="EMU38:EMW38"/>
    <mergeCell ref="EMX38:EMX39"/>
    <mergeCell ref="EMY38:EMY39"/>
    <mergeCell ref="EMZ38:EMZ39"/>
    <mergeCell ref="ENA38:ENA39"/>
    <mergeCell ref="ENB38:ENB39"/>
    <mergeCell ref="ENC38:ENE38"/>
    <mergeCell ref="EMU39:EMW39"/>
    <mergeCell ref="ENC39:ENE39"/>
    <mergeCell ref="EMH38:EMH39"/>
    <mergeCell ref="EMI38:EMI39"/>
    <mergeCell ref="EMJ38:EMJ39"/>
    <mergeCell ref="EMK38:EMK39"/>
    <mergeCell ref="EML38:EML39"/>
    <mergeCell ref="EMM38:EMO38"/>
    <mergeCell ref="EMP38:EMP39"/>
    <mergeCell ref="EMQ38:EMQ39"/>
    <mergeCell ref="EMR38:EMR39"/>
    <mergeCell ref="EMM39:EMO39"/>
    <mergeCell ref="ELU38:ELU39"/>
    <mergeCell ref="ELV38:ELV39"/>
    <mergeCell ref="ELW38:ELY38"/>
    <mergeCell ref="ELZ38:ELZ39"/>
    <mergeCell ref="EMA38:EMA39"/>
    <mergeCell ref="EMB38:EMB39"/>
    <mergeCell ref="EMC38:EMC39"/>
    <mergeCell ref="EMD38:EMD39"/>
    <mergeCell ref="EME38:EMG38"/>
    <mergeCell ref="ELW39:ELY39"/>
    <mergeCell ref="EME39:EMG39"/>
    <mergeCell ref="ELJ38:ELJ39"/>
    <mergeCell ref="ELK38:ELK39"/>
    <mergeCell ref="ELL38:ELL39"/>
    <mergeCell ref="ELM38:ELM39"/>
    <mergeCell ref="ELN38:ELN39"/>
    <mergeCell ref="ELO38:ELQ38"/>
    <mergeCell ref="ELR38:ELR39"/>
    <mergeCell ref="ELS38:ELS39"/>
    <mergeCell ref="ELT38:ELT39"/>
    <mergeCell ref="ELO39:ELQ39"/>
    <mergeCell ref="EKW38:EKW39"/>
    <mergeCell ref="EKX38:EKX39"/>
    <mergeCell ref="EKY38:ELA38"/>
    <mergeCell ref="ELB38:ELB39"/>
    <mergeCell ref="ELC38:ELC39"/>
    <mergeCell ref="ELD38:ELD39"/>
    <mergeCell ref="ELE38:ELE39"/>
    <mergeCell ref="ELF38:ELF39"/>
    <mergeCell ref="ELG38:ELI38"/>
    <mergeCell ref="EKY39:ELA39"/>
    <mergeCell ref="ELG39:ELI39"/>
    <mergeCell ref="EKL38:EKL39"/>
    <mergeCell ref="EKM38:EKM39"/>
    <mergeCell ref="EKN38:EKN39"/>
    <mergeCell ref="EKO38:EKO39"/>
    <mergeCell ref="EKP38:EKP39"/>
    <mergeCell ref="EKQ38:EKS38"/>
    <mergeCell ref="EKT38:EKT39"/>
    <mergeCell ref="EKU38:EKU39"/>
    <mergeCell ref="EKV38:EKV39"/>
    <mergeCell ref="EKQ39:EKS39"/>
    <mergeCell ref="EJY38:EJY39"/>
    <mergeCell ref="EJZ38:EJZ39"/>
    <mergeCell ref="EKA38:EKC38"/>
    <mergeCell ref="EKD38:EKD39"/>
    <mergeCell ref="EKE38:EKE39"/>
    <mergeCell ref="EKF38:EKF39"/>
    <mergeCell ref="EKG38:EKG39"/>
    <mergeCell ref="EKH38:EKH39"/>
    <mergeCell ref="EKI38:EKK38"/>
    <mergeCell ref="EKA39:EKC39"/>
    <mergeCell ref="EKI39:EKK39"/>
    <mergeCell ref="EJN38:EJN39"/>
    <mergeCell ref="EJO38:EJO39"/>
    <mergeCell ref="EJP38:EJP39"/>
    <mergeCell ref="EJQ38:EJQ39"/>
    <mergeCell ref="EJR38:EJR39"/>
    <mergeCell ref="EJS38:EJU38"/>
    <mergeCell ref="EJV38:EJV39"/>
    <mergeCell ref="EJW38:EJW39"/>
    <mergeCell ref="EJX38:EJX39"/>
    <mergeCell ref="EJS39:EJU39"/>
    <mergeCell ref="EJA38:EJA39"/>
    <mergeCell ref="EJB38:EJB39"/>
    <mergeCell ref="EJC38:EJE38"/>
    <mergeCell ref="EJF38:EJF39"/>
    <mergeCell ref="EJG38:EJG39"/>
    <mergeCell ref="EJH38:EJH39"/>
    <mergeCell ref="EJI38:EJI39"/>
    <mergeCell ref="EJJ38:EJJ39"/>
    <mergeCell ref="EJK38:EJM38"/>
    <mergeCell ref="EJC39:EJE39"/>
    <mergeCell ref="EJK39:EJM39"/>
    <mergeCell ref="EIP38:EIP39"/>
    <mergeCell ref="EIQ38:EIQ39"/>
    <mergeCell ref="EIR38:EIR39"/>
    <mergeCell ref="EIS38:EIS39"/>
    <mergeCell ref="EIT38:EIT39"/>
    <mergeCell ref="EIU38:EIW38"/>
    <mergeCell ref="EIX38:EIX39"/>
    <mergeCell ref="EIY38:EIY39"/>
    <mergeCell ref="EIZ38:EIZ39"/>
    <mergeCell ref="EIU39:EIW39"/>
    <mergeCell ref="EIC38:EIC39"/>
    <mergeCell ref="EID38:EID39"/>
    <mergeCell ref="EIE38:EIG38"/>
    <mergeCell ref="EIH38:EIH39"/>
    <mergeCell ref="EII38:EII39"/>
    <mergeCell ref="EIJ38:EIJ39"/>
    <mergeCell ref="EIK38:EIK39"/>
    <mergeCell ref="EIL38:EIL39"/>
    <mergeCell ref="EIM38:EIO38"/>
    <mergeCell ref="EIE39:EIG39"/>
    <mergeCell ref="EIM39:EIO39"/>
    <mergeCell ref="EHR38:EHR39"/>
    <mergeCell ref="EHS38:EHS39"/>
    <mergeCell ref="EHT38:EHT39"/>
    <mergeCell ref="EHU38:EHU39"/>
    <mergeCell ref="EHV38:EHV39"/>
    <mergeCell ref="EHW38:EHY38"/>
    <mergeCell ref="EHZ38:EHZ39"/>
    <mergeCell ref="EIA38:EIA39"/>
    <mergeCell ref="EIB38:EIB39"/>
    <mergeCell ref="EHW39:EHY39"/>
    <mergeCell ref="EHE38:EHE39"/>
    <mergeCell ref="EHF38:EHF39"/>
    <mergeCell ref="EHG38:EHI38"/>
    <mergeCell ref="EHJ38:EHJ39"/>
    <mergeCell ref="EHK38:EHK39"/>
    <mergeCell ref="EHL38:EHL39"/>
    <mergeCell ref="EHM38:EHM39"/>
    <mergeCell ref="EHN38:EHN39"/>
    <mergeCell ref="EHO38:EHQ38"/>
    <mergeCell ref="EHG39:EHI39"/>
    <mergeCell ref="EHO39:EHQ39"/>
    <mergeCell ref="EGT38:EGT39"/>
    <mergeCell ref="EGU38:EGU39"/>
    <mergeCell ref="EGV38:EGV39"/>
    <mergeCell ref="EGW38:EGW39"/>
    <mergeCell ref="EGX38:EGX39"/>
    <mergeCell ref="EGY38:EHA38"/>
    <mergeCell ref="EHB38:EHB39"/>
    <mergeCell ref="EHC38:EHC39"/>
    <mergeCell ref="EHD38:EHD39"/>
    <mergeCell ref="EGY39:EHA39"/>
    <mergeCell ref="EGG38:EGG39"/>
    <mergeCell ref="EGH38:EGH39"/>
    <mergeCell ref="EGI38:EGK38"/>
    <mergeCell ref="EGL38:EGL39"/>
    <mergeCell ref="EGM38:EGM39"/>
    <mergeCell ref="EGN38:EGN39"/>
    <mergeCell ref="EGO38:EGO39"/>
    <mergeCell ref="EGP38:EGP39"/>
    <mergeCell ref="EGQ38:EGS38"/>
    <mergeCell ref="EGI39:EGK39"/>
    <mergeCell ref="EGQ39:EGS39"/>
    <mergeCell ref="EFV38:EFV39"/>
    <mergeCell ref="EFW38:EFW39"/>
    <mergeCell ref="EFX38:EFX39"/>
    <mergeCell ref="EFY38:EFY39"/>
    <mergeCell ref="EFZ38:EFZ39"/>
    <mergeCell ref="EGA38:EGC38"/>
    <mergeCell ref="EGD38:EGD39"/>
    <mergeCell ref="EGE38:EGE39"/>
    <mergeCell ref="EGF38:EGF39"/>
    <mergeCell ref="EGA39:EGC39"/>
    <mergeCell ref="EFI38:EFI39"/>
    <mergeCell ref="EFJ38:EFJ39"/>
    <mergeCell ref="EFK38:EFM38"/>
    <mergeCell ref="EFN38:EFN39"/>
    <mergeCell ref="EFO38:EFO39"/>
    <mergeCell ref="EFP38:EFP39"/>
    <mergeCell ref="EFQ38:EFQ39"/>
    <mergeCell ref="EFR38:EFR39"/>
    <mergeCell ref="EFS38:EFU38"/>
    <mergeCell ref="EFK39:EFM39"/>
    <mergeCell ref="EFS39:EFU39"/>
    <mergeCell ref="EEX38:EEX39"/>
    <mergeCell ref="EEY38:EEY39"/>
    <mergeCell ref="EEZ38:EEZ39"/>
    <mergeCell ref="EFA38:EFA39"/>
    <mergeCell ref="EFB38:EFB39"/>
    <mergeCell ref="EFC38:EFE38"/>
    <mergeCell ref="EFF38:EFF39"/>
    <mergeCell ref="EFG38:EFG39"/>
    <mergeCell ref="EFH38:EFH39"/>
    <mergeCell ref="EFC39:EFE39"/>
    <mergeCell ref="EEK38:EEK39"/>
    <mergeCell ref="EEL38:EEL39"/>
    <mergeCell ref="EEM38:EEO38"/>
    <mergeCell ref="EEP38:EEP39"/>
    <mergeCell ref="EEQ38:EEQ39"/>
    <mergeCell ref="EER38:EER39"/>
    <mergeCell ref="EES38:EES39"/>
    <mergeCell ref="EET38:EET39"/>
    <mergeCell ref="EEU38:EEW38"/>
    <mergeCell ref="EEM39:EEO39"/>
    <mergeCell ref="EEU39:EEW39"/>
    <mergeCell ref="EDZ38:EDZ39"/>
    <mergeCell ref="EEA38:EEA39"/>
    <mergeCell ref="EEB38:EEB39"/>
    <mergeCell ref="EEC38:EEC39"/>
    <mergeCell ref="EED38:EED39"/>
    <mergeCell ref="EEE38:EEG38"/>
    <mergeCell ref="EEH38:EEH39"/>
    <mergeCell ref="EEI38:EEI39"/>
    <mergeCell ref="EEJ38:EEJ39"/>
    <mergeCell ref="EEE39:EEG39"/>
    <mergeCell ref="EDM38:EDM39"/>
    <mergeCell ref="EDN38:EDN39"/>
    <mergeCell ref="EDO38:EDQ38"/>
    <mergeCell ref="EDR38:EDR39"/>
    <mergeCell ref="EDS38:EDS39"/>
    <mergeCell ref="EDT38:EDT39"/>
    <mergeCell ref="EDU38:EDU39"/>
    <mergeCell ref="EDV38:EDV39"/>
    <mergeCell ref="EDW38:EDY38"/>
    <mergeCell ref="EDO39:EDQ39"/>
    <mergeCell ref="EDW39:EDY39"/>
    <mergeCell ref="EDB38:EDB39"/>
    <mergeCell ref="EDC38:EDC39"/>
    <mergeCell ref="EDD38:EDD39"/>
    <mergeCell ref="EDE38:EDE39"/>
    <mergeCell ref="EDF38:EDF39"/>
    <mergeCell ref="EDG38:EDI38"/>
    <mergeCell ref="EDJ38:EDJ39"/>
    <mergeCell ref="EDK38:EDK39"/>
    <mergeCell ref="EDL38:EDL39"/>
    <mergeCell ref="EDG39:EDI39"/>
    <mergeCell ref="ECO38:ECO39"/>
    <mergeCell ref="ECP38:ECP39"/>
    <mergeCell ref="ECQ38:ECS38"/>
    <mergeCell ref="ECT38:ECT39"/>
    <mergeCell ref="ECU38:ECU39"/>
    <mergeCell ref="ECV38:ECV39"/>
    <mergeCell ref="ECW38:ECW39"/>
    <mergeCell ref="ECX38:ECX39"/>
    <mergeCell ref="ECY38:EDA38"/>
    <mergeCell ref="ECQ39:ECS39"/>
    <mergeCell ref="ECY39:EDA39"/>
    <mergeCell ref="ECD38:ECD39"/>
    <mergeCell ref="ECE38:ECE39"/>
    <mergeCell ref="ECF38:ECF39"/>
    <mergeCell ref="ECG38:ECG39"/>
    <mergeCell ref="ECH38:ECH39"/>
    <mergeCell ref="ECI38:ECK38"/>
    <mergeCell ref="ECL38:ECL39"/>
    <mergeCell ref="ECM38:ECM39"/>
    <mergeCell ref="ECN38:ECN39"/>
    <mergeCell ref="ECI39:ECK39"/>
    <mergeCell ref="EBQ38:EBQ39"/>
    <mergeCell ref="EBR38:EBR39"/>
    <mergeCell ref="EBS38:EBU38"/>
    <mergeCell ref="EBV38:EBV39"/>
    <mergeCell ref="EBW38:EBW39"/>
    <mergeCell ref="EBX38:EBX39"/>
    <mergeCell ref="EBY38:EBY39"/>
    <mergeCell ref="EBZ38:EBZ39"/>
    <mergeCell ref="ECA38:ECC38"/>
    <mergeCell ref="EBS39:EBU39"/>
    <mergeCell ref="ECA39:ECC39"/>
    <mergeCell ref="EBF38:EBF39"/>
    <mergeCell ref="EBG38:EBG39"/>
    <mergeCell ref="EBH38:EBH39"/>
    <mergeCell ref="EBI38:EBI39"/>
    <mergeCell ref="EBJ38:EBJ39"/>
    <mergeCell ref="EBK38:EBM38"/>
    <mergeCell ref="EBN38:EBN39"/>
    <mergeCell ref="EBO38:EBO39"/>
    <mergeCell ref="EBP38:EBP39"/>
    <mergeCell ref="EBK39:EBM39"/>
    <mergeCell ref="EAS38:EAS39"/>
    <mergeCell ref="EAT38:EAT39"/>
    <mergeCell ref="EAU38:EAW38"/>
    <mergeCell ref="EAX38:EAX39"/>
    <mergeCell ref="EAY38:EAY39"/>
    <mergeCell ref="EAZ38:EAZ39"/>
    <mergeCell ref="EBA38:EBA39"/>
    <mergeCell ref="EBB38:EBB39"/>
    <mergeCell ref="EBC38:EBE38"/>
    <mergeCell ref="EAU39:EAW39"/>
    <mergeCell ref="EBC39:EBE39"/>
    <mergeCell ref="EAH38:EAH39"/>
    <mergeCell ref="EAI38:EAI39"/>
    <mergeCell ref="EAJ38:EAJ39"/>
    <mergeCell ref="EAK38:EAK39"/>
    <mergeCell ref="EAL38:EAL39"/>
    <mergeCell ref="EAM38:EAO38"/>
    <mergeCell ref="EAP38:EAP39"/>
    <mergeCell ref="EAQ38:EAQ39"/>
    <mergeCell ref="EAR38:EAR39"/>
    <mergeCell ref="EAM39:EAO39"/>
    <mergeCell ref="DZU38:DZU39"/>
    <mergeCell ref="DZV38:DZV39"/>
    <mergeCell ref="DZW38:DZY38"/>
    <mergeCell ref="DZZ38:DZZ39"/>
    <mergeCell ref="EAA38:EAA39"/>
    <mergeCell ref="EAB38:EAB39"/>
    <mergeCell ref="EAC38:EAC39"/>
    <mergeCell ref="EAD38:EAD39"/>
    <mergeCell ref="EAE38:EAG38"/>
    <mergeCell ref="DZW39:DZY39"/>
    <mergeCell ref="EAE39:EAG39"/>
    <mergeCell ref="DZJ38:DZJ39"/>
    <mergeCell ref="DZK38:DZK39"/>
    <mergeCell ref="DZL38:DZL39"/>
    <mergeCell ref="DZM38:DZM39"/>
    <mergeCell ref="DZN38:DZN39"/>
    <mergeCell ref="DZO38:DZQ38"/>
    <mergeCell ref="DZR38:DZR39"/>
    <mergeCell ref="DZS38:DZS39"/>
    <mergeCell ref="DZT38:DZT39"/>
    <mergeCell ref="DZO39:DZQ39"/>
    <mergeCell ref="DYW38:DYW39"/>
    <mergeCell ref="DYX38:DYX39"/>
    <mergeCell ref="DYY38:DZA38"/>
    <mergeCell ref="DZB38:DZB39"/>
    <mergeCell ref="DZC38:DZC39"/>
    <mergeCell ref="DZD38:DZD39"/>
    <mergeCell ref="DZE38:DZE39"/>
    <mergeCell ref="DZF38:DZF39"/>
    <mergeCell ref="DZG38:DZI38"/>
    <mergeCell ref="DYY39:DZA39"/>
    <mergeCell ref="DZG39:DZI39"/>
    <mergeCell ref="DYL38:DYL39"/>
    <mergeCell ref="DYM38:DYM39"/>
    <mergeCell ref="DYN38:DYN39"/>
    <mergeCell ref="DYO38:DYO39"/>
    <mergeCell ref="DYP38:DYP39"/>
    <mergeCell ref="DYQ38:DYS38"/>
    <mergeCell ref="DYT38:DYT39"/>
    <mergeCell ref="DYU38:DYU39"/>
    <mergeCell ref="DYV38:DYV39"/>
    <mergeCell ref="DYQ39:DYS39"/>
    <mergeCell ref="DXY38:DXY39"/>
    <mergeCell ref="DXZ38:DXZ39"/>
    <mergeCell ref="DYA38:DYC38"/>
    <mergeCell ref="DYD38:DYD39"/>
    <mergeCell ref="DYE38:DYE39"/>
    <mergeCell ref="DYF38:DYF39"/>
    <mergeCell ref="DYG38:DYG39"/>
    <mergeCell ref="DYH38:DYH39"/>
    <mergeCell ref="DYI38:DYK38"/>
    <mergeCell ref="DYA39:DYC39"/>
    <mergeCell ref="DYI39:DYK39"/>
    <mergeCell ref="DXN38:DXN39"/>
    <mergeCell ref="DXO38:DXO39"/>
    <mergeCell ref="DXP38:DXP39"/>
    <mergeCell ref="DXQ38:DXQ39"/>
    <mergeCell ref="DXR38:DXR39"/>
    <mergeCell ref="DXS38:DXU38"/>
    <mergeCell ref="DXV38:DXV39"/>
    <mergeCell ref="DXW38:DXW39"/>
    <mergeCell ref="DXX38:DXX39"/>
    <mergeCell ref="DXS39:DXU39"/>
    <mergeCell ref="DXA38:DXA39"/>
    <mergeCell ref="DXB38:DXB39"/>
    <mergeCell ref="DXC38:DXE38"/>
    <mergeCell ref="DXF38:DXF39"/>
    <mergeCell ref="DXG38:DXG39"/>
    <mergeCell ref="DXH38:DXH39"/>
    <mergeCell ref="DXI38:DXI39"/>
    <mergeCell ref="DXJ38:DXJ39"/>
    <mergeCell ref="DXK38:DXM38"/>
    <mergeCell ref="DXC39:DXE39"/>
    <mergeCell ref="DXK39:DXM39"/>
    <mergeCell ref="DWP38:DWP39"/>
    <mergeCell ref="DWQ38:DWQ39"/>
    <mergeCell ref="DWR38:DWR39"/>
    <mergeCell ref="DWS38:DWS39"/>
    <mergeCell ref="DWT38:DWT39"/>
    <mergeCell ref="DWU38:DWW38"/>
    <mergeCell ref="DWX38:DWX39"/>
    <mergeCell ref="DWY38:DWY39"/>
    <mergeCell ref="DWZ38:DWZ39"/>
    <mergeCell ref="DWU39:DWW39"/>
    <mergeCell ref="DWC38:DWC39"/>
    <mergeCell ref="DWD38:DWD39"/>
    <mergeCell ref="DWE38:DWG38"/>
    <mergeCell ref="DWH38:DWH39"/>
    <mergeCell ref="DWI38:DWI39"/>
    <mergeCell ref="DWJ38:DWJ39"/>
    <mergeCell ref="DWK38:DWK39"/>
    <mergeCell ref="DWL38:DWL39"/>
    <mergeCell ref="DWM38:DWO38"/>
    <mergeCell ref="DWE39:DWG39"/>
    <mergeCell ref="DWM39:DWO39"/>
    <mergeCell ref="DVR38:DVR39"/>
    <mergeCell ref="DVS38:DVS39"/>
    <mergeCell ref="DVT38:DVT39"/>
    <mergeCell ref="DVU38:DVU39"/>
    <mergeCell ref="DVV38:DVV39"/>
    <mergeCell ref="DVW38:DVY38"/>
    <mergeCell ref="DVZ38:DVZ39"/>
    <mergeCell ref="DWA38:DWA39"/>
    <mergeCell ref="DWB38:DWB39"/>
    <mergeCell ref="DVW39:DVY39"/>
    <mergeCell ref="DVE38:DVE39"/>
    <mergeCell ref="DVF38:DVF39"/>
    <mergeCell ref="DVG38:DVI38"/>
    <mergeCell ref="DVJ38:DVJ39"/>
    <mergeCell ref="DVK38:DVK39"/>
    <mergeCell ref="DVL38:DVL39"/>
    <mergeCell ref="DVM38:DVM39"/>
    <mergeCell ref="DVN38:DVN39"/>
    <mergeCell ref="DVO38:DVQ38"/>
    <mergeCell ref="DVG39:DVI39"/>
    <mergeCell ref="DVO39:DVQ39"/>
    <mergeCell ref="DUT38:DUT39"/>
    <mergeCell ref="DUU38:DUU39"/>
    <mergeCell ref="DUV38:DUV39"/>
    <mergeCell ref="DUW38:DUW39"/>
    <mergeCell ref="DUX38:DUX39"/>
    <mergeCell ref="DUY38:DVA38"/>
    <mergeCell ref="DVB38:DVB39"/>
    <mergeCell ref="DVC38:DVC39"/>
    <mergeCell ref="DVD38:DVD39"/>
    <mergeCell ref="DUY39:DVA39"/>
    <mergeCell ref="DUG38:DUG39"/>
    <mergeCell ref="DUH38:DUH39"/>
    <mergeCell ref="DUI38:DUK38"/>
    <mergeCell ref="DUL38:DUL39"/>
    <mergeCell ref="DUM38:DUM39"/>
    <mergeCell ref="DUN38:DUN39"/>
    <mergeCell ref="DUO38:DUO39"/>
    <mergeCell ref="DUP38:DUP39"/>
    <mergeCell ref="DUQ38:DUS38"/>
    <mergeCell ref="DUI39:DUK39"/>
    <mergeCell ref="DUQ39:DUS39"/>
    <mergeCell ref="DTV38:DTV39"/>
    <mergeCell ref="DTW38:DTW39"/>
    <mergeCell ref="DTX38:DTX39"/>
    <mergeCell ref="DTY38:DTY39"/>
    <mergeCell ref="DTZ38:DTZ39"/>
    <mergeCell ref="DUA38:DUC38"/>
    <mergeCell ref="DUD38:DUD39"/>
    <mergeCell ref="DUE38:DUE39"/>
    <mergeCell ref="DUF38:DUF39"/>
    <mergeCell ref="DUA39:DUC39"/>
    <mergeCell ref="DTI38:DTI39"/>
    <mergeCell ref="DTJ38:DTJ39"/>
    <mergeCell ref="DTK38:DTM38"/>
    <mergeCell ref="DTN38:DTN39"/>
    <mergeCell ref="DTO38:DTO39"/>
    <mergeCell ref="DTP38:DTP39"/>
    <mergeCell ref="DTQ38:DTQ39"/>
    <mergeCell ref="DTR38:DTR39"/>
    <mergeCell ref="DTS38:DTU38"/>
    <mergeCell ref="DTK39:DTM39"/>
    <mergeCell ref="DTS39:DTU39"/>
    <mergeCell ref="DSX38:DSX39"/>
    <mergeCell ref="DSY38:DSY39"/>
    <mergeCell ref="DSZ38:DSZ39"/>
    <mergeCell ref="DTA38:DTA39"/>
    <mergeCell ref="DTB38:DTB39"/>
    <mergeCell ref="DTC38:DTE38"/>
    <mergeCell ref="DTF38:DTF39"/>
    <mergeCell ref="DTG38:DTG39"/>
    <mergeCell ref="DTH38:DTH39"/>
    <mergeCell ref="DTC39:DTE39"/>
    <mergeCell ref="DSK38:DSK39"/>
    <mergeCell ref="DSL38:DSL39"/>
    <mergeCell ref="DSM38:DSO38"/>
    <mergeCell ref="DSP38:DSP39"/>
    <mergeCell ref="DSQ38:DSQ39"/>
    <mergeCell ref="DSR38:DSR39"/>
    <mergeCell ref="DSS38:DSS39"/>
    <mergeCell ref="DST38:DST39"/>
    <mergeCell ref="DSU38:DSW38"/>
    <mergeCell ref="DSM39:DSO39"/>
    <mergeCell ref="DSU39:DSW39"/>
    <mergeCell ref="DRZ38:DRZ39"/>
    <mergeCell ref="DSA38:DSA39"/>
    <mergeCell ref="DSB38:DSB39"/>
    <mergeCell ref="DSC38:DSC39"/>
    <mergeCell ref="DSD38:DSD39"/>
    <mergeCell ref="DSE38:DSG38"/>
    <mergeCell ref="DSH38:DSH39"/>
    <mergeCell ref="DSI38:DSI39"/>
    <mergeCell ref="DSJ38:DSJ39"/>
    <mergeCell ref="DSE39:DSG39"/>
    <mergeCell ref="DRM38:DRM39"/>
    <mergeCell ref="DRN38:DRN39"/>
    <mergeCell ref="DRO38:DRQ38"/>
    <mergeCell ref="DRR38:DRR39"/>
    <mergeCell ref="DRS38:DRS39"/>
    <mergeCell ref="DRT38:DRT39"/>
    <mergeCell ref="DRU38:DRU39"/>
    <mergeCell ref="DRV38:DRV39"/>
    <mergeCell ref="DRW38:DRY38"/>
    <mergeCell ref="DRO39:DRQ39"/>
    <mergeCell ref="DRW39:DRY39"/>
    <mergeCell ref="DRB38:DRB39"/>
    <mergeCell ref="DRC38:DRC39"/>
    <mergeCell ref="DRD38:DRD39"/>
    <mergeCell ref="DRE38:DRE39"/>
    <mergeCell ref="DRF38:DRF39"/>
    <mergeCell ref="DRG38:DRI38"/>
    <mergeCell ref="DRJ38:DRJ39"/>
    <mergeCell ref="DRK38:DRK39"/>
    <mergeCell ref="DRL38:DRL39"/>
    <mergeCell ref="DRG39:DRI39"/>
    <mergeCell ref="DQO38:DQO39"/>
    <mergeCell ref="DQP38:DQP39"/>
    <mergeCell ref="DQQ38:DQS38"/>
    <mergeCell ref="DQT38:DQT39"/>
    <mergeCell ref="DQU38:DQU39"/>
    <mergeCell ref="DQV38:DQV39"/>
    <mergeCell ref="DQW38:DQW39"/>
    <mergeCell ref="DQX38:DQX39"/>
    <mergeCell ref="DQY38:DRA38"/>
    <mergeCell ref="DQQ39:DQS39"/>
    <mergeCell ref="DQY39:DRA39"/>
    <mergeCell ref="DQD38:DQD39"/>
    <mergeCell ref="DQE38:DQE39"/>
    <mergeCell ref="DQF38:DQF39"/>
    <mergeCell ref="DQG38:DQG39"/>
    <mergeCell ref="DQH38:DQH39"/>
    <mergeCell ref="DQI38:DQK38"/>
    <mergeCell ref="DQL38:DQL39"/>
    <mergeCell ref="DQM38:DQM39"/>
    <mergeCell ref="DQN38:DQN39"/>
    <mergeCell ref="DQI39:DQK39"/>
    <mergeCell ref="DPQ38:DPQ39"/>
    <mergeCell ref="DPR38:DPR39"/>
    <mergeCell ref="DPS38:DPU38"/>
    <mergeCell ref="DPV38:DPV39"/>
    <mergeCell ref="DPW38:DPW39"/>
    <mergeCell ref="DPX38:DPX39"/>
    <mergeCell ref="DPY38:DPY39"/>
    <mergeCell ref="DPZ38:DPZ39"/>
    <mergeCell ref="DQA38:DQC38"/>
    <mergeCell ref="DPS39:DPU39"/>
    <mergeCell ref="DQA39:DQC39"/>
    <mergeCell ref="DPF38:DPF39"/>
    <mergeCell ref="DPG38:DPG39"/>
    <mergeCell ref="DPH38:DPH39"/>
    <mergeCell ref="DPI38:DPI39"/>
    <mergeCell ref="DPJ38:DPJ39"/>
    <mergeCell ref="DPK38:DPM38"/>
    <mergeCell ref="DPN38:DPN39"/>
    <mergeCell ref="DPO38:DPO39"/>
    <mergeCell ref="DPP38:DPP39"/>
    <mergeCell ref="DPK39:DPM39"/>
    <mergeCell ref="DOS38:DOS39"/>
    <mergeCell ref="DOT38:DOT39"/>
    <mergeCell ref="DOU38:DOW38"/>
    <mergeCell ref="DOX38:DOX39"/>
    <mergeCell ref="DOY38:DOY39"/>
    <mergeCell ref="DOZ38:DOZ39"/>
    <mergeCell ref="DPA38:DPA39"/>
    <mergeCell ref="DPB38:DPB39"/>
    <mergeCell ref="DPC38:DPE38"/>
    <mergeCell ref="DOU39:DOW39"/>
    <mergeCell ref="DPC39:DPE39"/>
    <mergeCell ref="DOH38:DOH39"/>
    <mergeCell ref="DOI38:DOI39"/>
    <mergeCell ref="DOJ38:DOJ39"/>
    <mergeCell ref="DOK38:DOK39"/>
    <mergeCell ref="DOL38:DOL39"/>
    <mergeCell ref="DOM38:DOO38"/>
    <mergeCell ref="DOP38:DOP39"/>
    <mergeCell ref="DOQ38:DOQ39"/>
    <mergeCell ref="DOR38:DOR39"/>
    <mergeCell ref="DOM39:DOO39"/>
    <mergeCell ref="DNU38:DNU39"/>
    <mergeCell ref="DNV38:DNV39"/>
    <mergeCell ref="DNW38:DNY38"/>
    <mergeCell ref="DNZ38:DNZ39"/>
    <mergeCell ref="DOA38:DOA39"/>
    <mergeCell ref="DOB38:DOB39"/>
    <mergeCell ref="DOC38:DOC39"/>
    <mergeCell ref="DOD38:DOD39"/>
    <mergeCell ref="DOE38:DOG38"/>
    <mergeCell ref="DNW39:DNY39"/>
    <mergeCell ref="DOE39:DOG39"/>
    <mergeCell ref="DNJ38:DNJ39"/>
    <mergeCell ref="DNK38:DNK39"/>
    <mergeCell ref="DNL38:DNL39"/>
    <mergeCell ref="DNM38:DNM39"/>
    <mergeCell ref="DNN38:DNN39"/>
    <mergeCell ref="DNO38:DNQ38"/>
    <mergeCell ref="DNR38:DNR39"/>
    <mergeCell ref="DNS38:DNS39"/>
    <mergeCell ref="DNT38:DNT39"/>
    <mergeCell ref="DNO39:DNQ39"/>
    <mergeCell ref="DMW38:DMW39"/>
    <mergeCell ref="DMX38:DMX39"/>
    <mergeCell ref="DMY38:DNA38"/>
    <mergeCell ref="DNB38:DNB39"/>
    <mergeCell ref="DNC38:DNC39"/>
    <mergeCell ref="DND38:DND39"/>
    <mergeCell ref="DNE38:DNE39"/>
    <mergeCell ref="DNF38:DNF39"/>
    <mergeCell ref="DNG38:DNI38"/>
    <mergeCell ref="DMY39:DNA39"/>
    <mergeCell ref="DNG39:DNI39"/>
    <mergeCell ref="DML38:DML39"/>
    <mergeCell ref="DMM38:DMM39"/>
    <mergeCell ref="DMN38:DMN39"/>
    <mergeCell ref="DMO38:DMO39"/>
    <mergeCell ref="DMP38:DMP39"/>
    <mergeCell ref="DMQ38:DMS38"/>
    <mergeCell ref="DMT38:DMT39"/>
    <mergeCell ref="DMU38:DMU39"/>
    <mergeCell ref="DMV38:DMV39"/>
    <mergeCell ref="DMQ39:DMS39"/>
    <mergeCell ref="DLY38:DLY39"/>
    <mergeCell ref="DLZ38:DLZ39"/>
    <mergeCell ref="DMA38:DMC38"/>
    <mergeCell ref="DMD38:DMD39"/>
    <mergeCell ref="DME38:DME39"/>
    <mergeCell ref="DMF38:DMF39"/>
    <mergeCell ref="DMG38:DMG39"/>
    <mergeCell ref="DMH38:DMH39"/>
    <mergeCell ref="DMI38:DMK38"/>
    <mergeCell ref="DMA39:DMC39"/>
    <mergeCell ref="DMI39:DMK39"/>
    <mergeCell ref="DLN38:DLN39"/>
    <mergeCell ref="DLO38:DLO39"/>
    <mergeCell ref="DLP38:DLP39"/>
    <mergeCell ref="DLQ38:DLQ39"/>
    <mergeCell ref="DLR38:DLR39"/>
    <mergeCell ref="DLS38:DLU38"/>
    <mergeCell ref="DLV38:DLV39"/>
    <mergeCell ref="DLW38:DLW39"/>
    <mergeCell ref="DLX38:DLX39"/>
    <mergeCell ref="DLS39:DLU39"/>
    <mergeCell ref="DLA38:DLA39"/>
    <mergeCell ref="DLB38:DLB39"/>
    <mergeCell ref="DLC38:DLE38"/>
    <mergeCell ref="DLF38:DLF39"/>
    <mergeCell ref="DLG38:DLG39"/>
    <mergeCell ref="DLH38:DLH39"/>
    <mergeCell ref="DLI38:DLI39"/>
    <mergeCell ref="DLJ38:DLJ39"/>
    <mergeCell ref="DLK38:DLM38"/>
    <mergeCell ref="DLC39:DLE39"/>
    <mergeCell ref="DLK39:DLM39"/>
    <mergeCell ref="DKP38:DKP39"/>
    <mergeCell ref="DKQ38:DKQ39"/>
    <mergeCell ref="DKR38:DKR39"/>
    <mergeCell ref="DKS38:DKS39"/>
    <mergeCell ref="DKT38:DKT39"/>
    <mergeCell ref="DKU38:DKW38"/>
    <mergeCell ref="DKX38:DKX39"/>
    <mergeCell ref="DKY38:DKY39"/>
    <mergeCell ref="DKZ38:DKZ39"/>
    <mergeCell ref="DKU39:DKW39"/>
    <mergeCell ref="DKC38:DKC39"/>
    <mergeCell ref="DKD38:DKD39"/>
    <mergeCell ref="DKE38:DKG38"/>
    <mergeCell ref="DKH38:DKH39"/>
    <mergeCell ref="DKI38:DKI39"/>
    <mergeCell ref="DKJ38:DKJ39"/>
    <mergeCell ref="DKK38:DKK39"/>
    <mergeCell ref="DKL38:DKL39"/>
    <mergeCell ref="DKM38:DKO38"/>
    <mergeCell ref="DKE39:DKG39"/>
    <mergeCell ref="DKM39:DKO39"/>
    <mergeCell ref="DJR38:DJR39"/>
    <mergeCell ref="DJS38:DJS39"/>
    <mergeCell ref="DJT38:DJT39"/>
    <mergeCell ref="DJU38:DJU39"/>
    <mergeCell ref="DJV38:DJV39"/>
    <mergeCell ref="DJW38:DJY38"/>
    <mergeCell ref="DJZ38:DJZ39"/>
    <mergeCell ref="DKA38:DKA39"/>
    <mergeCell ref="DKB38:DKB39"/>
    <mergeCell ref="DJW39:DJY39"/>
    <mergeCell ref="DJE38:DJE39"/>
    <mergeCell ref="DJF38:DJF39"/>
    <mergeCell ref="DJG38:DJI38"/>
    <mergeCell ref="DJJ38:DJJ39"/>
    <mergeCell ref="DJK38:DJK39"/>
    <mergeCell ref="DJL38:DJL39"/>
    <mergeCell ref="DJM38:DJM39"/>
    <mergeCell ref="DJN38:DJN39"/>
    <mergeCell ref="DJO38:DJQ38"/>
    <mergeCell ref="DJG39:DJI39"/>
    <mergeCell ref="DJO39:DJQ39"/>
    <mergeCell ref="DIT38:DIT39"/>
    <mergeCell ref="DIU38:DIU39"/>
    <mergeCell ref="DIV38:DIV39"/>
    <mergeCell ref="DIW38:DIW39"/>
    <mergeCell ref="DIX38:DIX39"/>
    <mergeCell ref="DIY38:DJA38"/>
    <mergeCell ref="DJB38:DJB39"/>
    <mergeCell ref="DJC38:DJC39"/>
    <mergeCell ref="DJD38:DJD39"/>
    <mergeCell ref="DIY39:DJA39"/>
    <mergeCell ref="DIG38:DIG39"/>
    <mergeCell ref="DIH38:DIH39"/>
    <mergeCell ref="DII38:DIK38"/>
    <mergeCell ref="DIL38:DIL39"/>
    <mergeCell ref="DIM38:DIM39"/>
    <mergeCell ref="DIN38:DIN39"/>
    <mergeCell ref="DIO38:DIO39"/>
    <mergeCell ref="DIP38:DIP39"/>
    <mergeCell ref="DIQ38:DIS38"/>
    <mergeCell ref="DII39:DIK39"/>
    <mergeCell ref="DIQ39:DIS39"/>
    <mergeCell ref="DHV38:DHV39"/>
    <mergeCell ref="DHW38:DHW39"/>
    <mergeCell ref="DHX38:DHX39"/>
    <mergeCell ref="DHY38:DHY39"/>
    <mergeCell ref="DHZ38:DHZ39"/>
    <mergeCell ref="DIA38:DIC38"/>
    <mergeCell ref="DID38:DID39"/>
    <mergeCell ref="DIE38:DIE39"/>
    <mergeCell ref="DIF38:DIF39"/>
    <mergeCell ref="DIA39:DIC39"/>
    <mergeCell ref="DHI38:DHI39"/>
    <mergeCell ref="DHJ38:DHJ39"/>
    <mergeCell ref="DHK38:DHM38"/>
    <mergeCell ref="DHN38:DHN39"/>
    <mergeCell ref="DHO38:DHO39"/>
    <mergeCell ref="DHP38:DHP39"/>
    <mergeCell ref="DHQ38:DHQ39"/>
    <mergeCell ref="DHR38:DHR39"/>
    <mergeCell ref="DHS38:DHU38"/>
    <mergeCell ref="DHK39:DHM39"/>
    <mergeCell ref="DHS39:DHU39"/>
    <mergeCell ref="DGX38:DGX39"/>
    <mergeCell ref="DGY38:DGY39"/>
    <mergeCell ref="DGZ38:DGZ39"/>
    <mergeCell ref="DHA38:DHA39"/>
    <mergeCell ref="DHB38:DHB39"/>
    <mergeCell ref="DHC38:DHE38"/>
    <mergeCell ref="DHF38:DHF39"/>
    <mergeCell ref="DHG38:DHG39"/>
    <mergeCell ref="DHH38:DHH39"/>
    <mergeCell ref="DHC39:DHE39"/>
    <mergeCell ref="DGK38:DGK39"/>
    <mergeCell ref="DGL38:DGL39"/>
    <mergeCell ref="DGM38:DGO38"/>
    <mergeCell ref="DGP38:DGP39"/>
    <mergeCell ref="DGQ38:DGQ39"/>
    <mergeCell ref="DGR38:DGR39"/>
    <mergeCell ref="DGS38:DGS39"/>
    <mergeCell ref="DGT38:DGT39"/>
    <mergeCell ref="DGU38:DGW38"/>
    <mergeCell ref="DGM39:DGO39"/>
    <mergeCell ref="DGU39:DGW39"/>
    <mergeCell ref="DFZ38:DFZ39"/>
    <mergeCell ref="DGA38:DGA39"/>
    <mergeCell ref="DGB38:DGB39"/>
    <mergeCell ref="DGC38:DGC39"/>
    <mergeCell ref="DGD38:DGD39"/>
    <mergeCell ref="DGE38:DGG38"/>
    <mergeCell ref="DGH38:DGH39"/>
    <mergeCell ref="DGI38:DGI39"/>
    <mergeCell ref="DGJ38:DGJ39"/>
    <mergeCell ref="DGE39:DGG39"/>
    <mergeCell ref="DFM38:DFM39"/>
    <mergeCell ref="DFN38:DFN39"/>
    <mergeCell ref="DFO38:DFQ38"/>
    <mergeCell ref="DFR38:DFR39"/>
    <mergeCell ref="DFS38:DFS39"/>
    <mergeCell ref="DFT38:DFT39"/>
    <mergeCell ref="DFU38:DFU39"/>
    <mergeCell ref="DFV38:DFV39"/>
    <mergeCell ref="DFW38:DFY38"/>
    <mergeCell ref="DFO39:DFQ39"/>
    <mergeCell ref="DFW39:DFY39"/>
    <mergeCell ref="DFB38:DFB39"/>
    <mergeCell ref="DFC38:DFC39"/>
    <mergeCell ref="DFD38:DFD39"/>
    <mergeCell ref="DFE38:DFE39"/>
    <mergeCell ref="DFF38:DFF39"/>
    <mergeCell ref="DFG38:DFI38"/>
    <mergeCell ref="DFJ38:DFJ39"/>
    <mergeCell ref="DFK38:DFK39"/>
    <mergeCell ref="DFL38:DFL39"/>
    <mergeCell ref="DFG39:DFI39"/>
    <mergeCell ref="DEO38:DEO39"/>
    <mergeCell ref="DEP38:DEP39"/>
    <mergeCell ref="DEQ38:DES38"/>
    <mergeCell ref="DET38:DET39"/>
    <mergeCell ref="DEU38:DEU39"/>
    <mergeCell ref="DEV38:DEV39"/>
    <mergeCell ref="DEW38:DEW39"/>
    <mergeCell ref="DEX38:DEX39"/>
    <mergeCell ref="DEY38:DFA38"/>
    <mergeCell ref="DEQ39:DES39"/>
    <mergeCell ref="DEY39:DFA39"/>
    <mergeCell ref="DED38:DED39"/>
    <mergeCell ref="DEE38:DEE39"/>
    <mergeCell ref="DEF38:DEF39"/>
    <mergeCell ref="DEG38:DEG39"/>
    <mergeCell ref="DEH38:DEH39"/>
    <mergeCell ref="DEI38:DEK38"/>
    <mergeCell ref="DEL38:DEL39"/>
    <mergeCell ref="DEM38:DEM39"/>
    <mergeCell ref="DEN38:DEN39"/>
    <mergeCell ref="DEI39:DEK39"/>
    <mergeCell ref="DDQ38:DDQ39"/>
    <mergeCell ref="DDR38:DDR39"/>
    <mergeCell ref="DDS38:DDU38"/>
    <mergeCell ref="DDV38:DDV39"/>
    <mergeCell ref="DDW38:DDW39"/>
    <mergeCell ref="DDX38:DDX39"/>
    <mergeCell ref="DDY38:DDY39"/>
    <mergeCell ref="DDZ38:DDZ39"/>
    <mergeCell ref="DEA38:DEC38"/>
    <mergeCell ref="DDS39:DDU39"/>
    <mergeCell ref="DEA39:DEC39"/>
    <mergeCell ref="DDF38:DDF39"/>
    <mergeCell ref="DDG38:DDG39"/>
    <mergeCell ref="DDH38:DDH39"/>
    <mergeCell ref="DDI38:DDI39"/>
    <mergeCell ref="DDJ38:DDJ39"/>
    <mergeCell ref="DDK38:DDM38"/>
    <mergeCell ref="DDN38:DDN39"/>
    <mergeCell ref="DDO38:DDO39"/>
    <mergeCell ref="DDP38:DDP39"/>
    <mergeCell ref="DDK39:DDM39"/>
    <mergeCell ref="DCS38:DCS39"/>
    <mergeCell ref="DCT38:DCT39"/>
    <mergeCell ref="DCU38:DCW38"/>
    <mergeCell ref="DCX38:DCX39"/>
    <mergeCell ref="DCY38:DCY39"/>
    <mergeCell ref="DCZ38:DCZ39"/>
    <mergeCell ref="DDA38:DDA39"/>
    <mergeCell ref="DDB38:DDB39"/>
    <mergeCell ref="DDC38:DDE38"/>
    <mergeCell ref="DCU39:DCW39"/>
    <mergeCell ref="DDC39:DDE39"/>
    <mergeCell ref="DCH38:DCH39"/>
    <mergeCell ref="DCI38:DCI39"/>
    <mergeCell ref="DCJ38:DCJ39"/>
    <mergeCell ref="DCK38:DCK39"/>
    <mergeCell ref="DCL38:DCL39"/>
    <mergeCell ref="DCM38:DCO38"/>
    <mergeCell ref="DCP38:DCP39"/>
    <mergeCell ref="DCQ38:DCQ39"/>
    <mergeCell ref="DCR38:DCR39"/>
    <mergeCell ref="DCM39:DCO39"/>
    <mergeCell ref="DBU38:DBU39"/>
    <mergeCell ref="DBV38:DBV39"/>
    <mergeCell ref="DBW38:DBY38"/>
    <mergeCell ref="DBZ38:DBZ39"/>
    <mergeCell ref="DCA38:DCA39"/>
    <mergeCell ref="DCB38:DCB39"/>
    <mergeCell ref="DCC38:DCC39"/>
    <mergeCell ref="DCD38:DCD39"/>
    <mergeCell ref="DCE38:DCG38"/>
    <mergeCell ref="DBW39:DBY39"/>
    <mergeCell ref="DCE39:DCG39"/>
    <mergeCell ref="DBJ38:DBJ39"/>
    <mergeCell ref="DBK38:DBK39"/>
    <mergeCell ref="DBL38:DBL39"/>
    <mergeCell ref="DBM38:DBM39"/>
    <mergeCell ref="DBN38:DBN39"/>
    <mergeCell ref="DBO38:DBQ38"/>
    <mergeCell ref="DBR38:DBR39"/>
    <mergeCell ref="DBS38:DBS39"/>
    <mergeCell ref="DBT38:DBT39"/>
    <mergeCell ref="DBO39:DBQ39"/>
    <mergeCell ref="DAW38:DAW39"/>
    <mergeCell ref="DAX38:DAX39"/>
    <mergeCell ref="DAY38:DBA38"/>
    <mergeCell ref="DBB38:DBB39"/>
    <mergeCell ref="DBC38:DBC39"/>
    <mergeCell ref="DBD38:DBD39"/>
    <mergeCell ref="DBE38:DBE39"/>
    <mergeCell ref="DBF38:DBF39"/>
    <mergeCell ref="DBG38:DBI38"/>
    <mergeCell ref="DAY39:DBA39"/>
    <mergeCell ref="DBG39:DBI39"/>
    <mergeCell ref="DAL38:DAL39"/>
    <mergeCell ref="DAM38:DAM39"/>
    <mergeCell ref="DAN38:DAN39"/>
    <mergeCell ref="DAO38:DAO39"/>
    <mergeCell ref="DAP38:DAP39"/>
    <mergeCell ref="DAQ38:DAS38"/>
    <mergeCell ref="DAT38:DAT39"/>
    <mergeCell ref="DAU38:DAU39"/>
    <mergeCell ref="DAV38:DAV39"/>
    <mergeCell ref="DAQ39:DAS39"/>
    <mergeCell ref="CZY38:CZY39"/>
    <mergeCell ref="CZZ38:CZZ39"/>
    <mergeCell ref="DAA38:DAC38"/>
    <mergeCell ref="DAD38:DAD39"/>
    <mergeCell ref="DAE38:DAE39"/>
    <mergeCell ref="DAF38:DAF39"/>
    <mergeCell ref="DAG38:DAG39"/>
    <mergeCell ref="DAH38:DAH39"/>
    <mergeCell ref="DAI38:DAK38"/>
    <mergeCell ref="DAA39:DAC39"/>
    <mergeCell ref="DAI39:DAK39"/>
    <mergeCell ref="CZN38:CZN39"/>
    <mergeCell ref="CZO38:CZO39"/>
    <mergeCell ref="CZP38:CZP39"/>
    <mergeCell ref="CZQ38:CZQ39"/>
    <mergeCell ref="CZR38:CZR39"/>
    <mergeCell ref="CZS38:CZU38"/>
    <mergeCell ref="CZV38:CZV39"/>
    <mergeCell ref="CZW38:CZW39"/>
    <mergeCell ref="CZX38:CZX39"/>
    <mergeCell ref="CZS39:CZU39"/>
    <mergeCell ref="CZA38:CZA39"/>
    <mergeCell ref="CZB38:CZB39"/>
    <mergeCell ref="CZC38:CZE38"/>
    <mergeCell ref="CZF38:CZF39"/>
    <mergeCell ref="CZG38:CZG39"/>
    <mergeCell ref="CZH38:CZH39"/>
    <mergeCell ref="CZI38:CZI39"/>
    <mergeCell ref="CZJ38:CZJ39"/>
    <mergeCell ref="CZK38:CZM38"/>
    <mergeCell ref="CZC39:CZE39"/>
    <mergeCell ref="CZK39:CZM39"/>
    <mergeCell ref="CYP38:CYP39"/>
    <mergeCell ref="CYQ38:CYQ39"/>
    <mergeCell ref="CYR38:CYR39"/>
    <mergeCell ref="CYS38:CYS39"/>
    <mergeCell ref="CYT38:CYT39"/>
    <mergeCell ref="CYU38:CYW38"/>
    <mergeCell ref="CYX38:CYX39"/>
    <mergeCell ref="CYY38:CYY39"/>
    <mergeCell ref="CYZ38:CYZ39"/>
    <mergeCell ref="CYU39:CYW39"/>
    <mergeCell ref="CYC38:CYC39"/>
    <mergeCell ref="CYD38:CYD39"/>
    <mergeCell ref="CYE38:CYG38"/>
    <mergeCell ref="CYH38:CYH39"/>
    <mergeCell ref="CYI38:CYI39"/>
    <mergeCell ref="CYJ38:CYJ39"/>
    <mergeCell ref="CYK38:CYK39"/>
    <mergeCell ref="CYL38:CYL39"/>
    <mergeCell ref="CYM38:CYO38"/>
    <mergeCell ref="CYE39:CYG39"/>
    <mergeCell ref="CYM39:CYO39"/>
    <mergeCell ref="CXR38:CXR39"/>
    <mergeCell ref="CXS38:CXS39"/>
    <mergeCell ref="CXT38:CXT39"/>
    <mergeCell ref="CXU38:CXU39"/>
    <mergeCell ref="CXV38:CXV39"/>
    <mergeCell ref="CXW38:CXY38"/>
    <mergeCell ref="CXZ38:CXZ39"/>
    <mergeCell ref="CYA38:CYA39"/>
    <mergeCell ref="CYB38:CYB39"/>
    <mergeCell ref="CXW39:CXY39"/>
    <mergeCell ref="CXE38:CXE39"/>
    <mergeCell ref="CXF38:CXF39"/>
    <mergeCell ref="CXG38:CXI38"/>
    <mergeCell ref="CXJ38:CXJ39"/>
    <mergeCell ref="CXK38:CXK39"/>
    <mergeCell ref="CXL38:CXL39"/>
    <mergeCell ref="CXM38:CXM39"/>
    <mergeCell ref="CXN38:CXN39"/>
    <mergeCell ref="CXO38:CXQ38"/>
    <mergeCell ref="CXG39:CXI39"/>
    <mergeCell ref="CXO39:CXQ39"/>
    <mergeCell ref="CWT38:CWT39"/>
    <mergeCell ref="CWU38:CWU39"/>
    <mergeCell ref="CWV38:CWV39"/>
    <mergeCell ref="CWW38:CWW39"/>
    <mergeCell ref="CWX38:CWX39"/>
    <mergeCell ref="CWY38:CXA38"/>
    <mergeCell ref="CXB38:CXB39"/>
    <mergeCell ref="CXC38:CXC39"/>
    <mergeCell ref="CXD38:CXD39"/>
    <mergeCell ref="CWY39:CXA39"/>
    <mergeCell ref="CWG38:CWG39"/>
    <mergeCell ref="CWH38:CWH39"/>
    <mergeCell ref="CWI38:CWK38"/>
    <mergeCell ref="CWL38:CWL39"/>
    <mergeCell ref="CWM38:CWM39"/>
    <mergeCell ref="CWN38:CWN39"/>
    <mergeCell ref="CWO38:CWO39"/>
    <mergeCell ref="CWP38:CWP39"/>
    <mergeCell ref="CWQ38:CWS38"/>
    <mergeCell ref="CWI39:CWK39"/>
    <mergeCell ref="CWQ39:CWS39"/>
    <mergeCell ref="CVV38:CVV39"/>
    <mergeCell ref="CVW38:CVW39"/>
    <mergeCell ref="CVX38:CVX39"/>
    <mergeCell ref="CVY38:CVY39"/>
    <mergeCell ref="CVZ38:CVZ39"/>
    <mergeCell ref="CWA38:CWC38"/>
    <mergeCell ref="CWD38:CWD39"/>
    <mergeCell ref="CWE38:CWE39"/>
    <mergeCell ref="CWF38:CWF39"/>
    <mergeCell ref="CWA39:CWC39"/>
    <mergeCell ref="CVI38:CVI39"/>
    <mergeCell ref="CVJ38:CVJ39"/>
    <mergeCell ref="CVK38:CVM38"/>
    <mergeCell ref="CVN38:CVN39"/>
    <mergeCell ref="CVO38:CVO39"/>
    <mergeCell ref="CVP38:CVP39"/>
    <mergeCell ref="CVQ38:CVQ39"/>
    <mergeCell ref="CVR38:CVR39"/>
    <mergeCell ref="CVS38:CVU38"/>
    <mergeCell ref="CVK39:CVM39"/>
    <mergeCell ref="CVS39:CVU39"/>
    <mergeCell ref="CUX38:CUX39"/>
    <mergeCell ref="CUY38:CUY39"/>
    <mergeCell ref="CUZ38:CUZ39"/>
    <mergeCell ref="CVA38:CVA39"/>
    <mergeCell ref="CVB38:CVB39"/>
    <mergeCell ref="CVC38:CVE38"/>
    <mergeCell ref="CVF38:CVF39"/>
    <mergeCell ref="CVG38:CVG39"/>
    <mergeCell ref="CVH38:CVH39"/>
    <mergeCell ref="CVC39:CVE39"/>
    <mergeCell ref="CUK38:CUK39"/>
    <mergeCell ref="CUL38:CUL39"/>
    <mergeCell ref="CUM38:CUO38"/>
    <mergeCell ref="CUP38:CUP39"/>
    <mergeCell ref="CUQ38:CUQ39"/>
    <mergeCell ref="CUR38:CUR39"/>
    <mergeCell ref="CUS38:CUS39"/>
    <mergeCell ref="CUT38:CUT39"/>
    <mergeCell ref="CUU38:CUW38"/>
    <mergeCell ref="CUM39:CUO39"/>
    <mergeCell ref="CUU39:CUW39"/>
    <mergeCell ref="CTZ38:CTZ39"/>
    <mergeCell ref="CUA38:CUA39"/>
    <mergeCell ref="CUB38:CUB39"/>
    <mergeCell ref="CUC38:CUC39"/>
    <mergeCell ref="CUD38:CUD39"/>
    <mergeCell ref="CUE38:CUG38"/>
    <mergeCell ref="CUH38:CUH39"/>
    <mergeCell ref="CUI38:CUI39"/>
    <mergeCell ref="CUJ38:CUJ39"/>
    <mergeCell ref="CUE39:CUG39"/>
    <mergeCell ref="CTM38:CTM39"/>
    <mergeCell ref="CTN38:CTN39"/>
    <mergeCell ref="CTO38:CTQ38"/>
    <mergeCell ref="CTR38:CTR39"/>
    <mergeCell ref="CTS38:CTS39"/>
    <mergeCell ref="CTT38:CTT39"/>
    <mergeCell ref="CTU38:CTU39"/>
    <mergeCell ref="CTV38:CTV39"/>
    <mergeCell ref="CTW38:CTY38"/>
    <mergeCell ref="CTO39:CTQ39"/>
    <mergeCell ref="CTW39:CTY39"/>
    <mergeCell ref="CTB38:CTB39"/>
    <mergeCell ref="CTC38:CTC39"/>
    <mergeCell ref="CTD38:CTD39"/>
    <mergeCell ref="CTE38:CTE39"/>
    <mergeCell ref="CTF38:CTF39"/>
    <mergeCell ref="CTG38:CTI38"/>
    <mergeCell ref="CTJ38:CTJ39"/>
    <mergeCell ref="CTK38:CTK39"/>
    <mergeCell ref="CTL38:CTL39"/>
    <mergeCell ref="CTG39:CTI39"/>
    <mergeCell ref="CSO38:CSO39"/>
    <mergeCell ref="CSP38:CSP39"/>
    <mergeCell ref="CSQ38:CSS38"/>
    <mergeCell ref="CST38:CST39"/>
    <mergeCell ref="CSU38:CSU39"/>
    <mergeCell ref="CSV38:CSV39"/>
    <mergeCell ref="CSW38:CSW39"/>
    <mergeCell ref="CSX38:CSX39"/>
    <mergeCell ref="CSY38:CTA38"/>
    <mergeCell ref="CSQ39:CSS39"/>
    <mergeCell ref="CSY39:CTA39"/>
    <mergeCell ref="CSD38:CSD39"/>
    <mergeCell ref="CSE38:CSE39"/>
    <mergeCell ref="CSF38:CSF39"/>
    <mergeCell ref="CSG38:CSG39"/>
    <mergeCell ref="CSH38:CSH39"/>
    <mergeCell ref="CSI38:CSK38"/>
    <mergeCell ref="CSL38:CSL39"/>
    <mergeCell ref="CSM38:CSM39"/>
    <mergeCell ref="CSN38:CSN39"/>
    <mergeCell ref="CSI39:CSK39"/>
    <mergeCell ref="CRQ38:CRQ39"/>
    <mergeCell ref="CRR38:CRR39"/>
    <mergeCell ref="CRS38:CRU38"/>
    <mergeCell ref="CRV38:CRV39"/>
    <mergeCell ref="CRW38:CRW39"/>
    <mergeCell ref="CRX38:CRX39"/>
    <mergeCell ref="CRY38:CRY39"/>
    <mergeCell ref="CRZ38:CRZ39"/>
    <mergeCell ref="CSA38:CSC38"/>
    <mergeCell ref="CRS39:CRU39"/>
    <mergeCell ref="CSA39:CSC39"/>
    <mergeCell ref="CRF38:CRF39"/>
    <mergeCell ref="CRG38:CRG39"/>
    <mergeCell ref="CRH38:CRH39"/>
    <mergeCell ref="CRI38:CRI39"/>
    <mergeCell ref="CRJ38:CRJ39"/>
    <mergeCell ref="CRK38:CRM38"/>
    <mergeCell ref="CRN38:CRN39"/>
    <mergeCell ref="CRO38:CRO39"/>
    <mergeCell ref="CRP38:CRP39"/>
    <mergeCell ref="CRK39:CRM39"/>
    <mergeCell ref="CQS38:CQS39"/>
    <mergeCell ref="CQT38:CQT39"/>
    <mergeCell ref="CQU38:CQW38"/>
    <mergeCell ref="CQX38:CQX39"/>
    <mergeCell ref="CQY38:CQY39"/>
    <mergeCell ref="CQZ38:CQZ39"/>
    <mergeCell ref="CRA38:CRA39"/>
    <mergeCell ref="CRB38:CRB39"/>
    <mergeCell ref="CRC38:CRE38"/>
    <mergeCell ref="CQU39:CQW39"/>
    <mergeCell ref="CRC39:CRE39"/>
    <mergeCell ref="CQH38:CQH39"/>
    <mergeCell ref="CQI38:CQI39"/>
    <mergeCell ref="CQJ38:CQJ39"/>
    <mergeCell ref="CQK38:CQK39"/>
    <mergeCell ref="CQL38:CQL39"/>
    <mergeCell ref="CQM38:CQO38"/>
    <mergeCell ref="CQP38:CQP39"/>
    <mergeCell ref="CQQ38:CQQ39"/>
    <mergeCell ref="CQR38:CQR39"/>
    <mergeCell ref="CQM39:CQO39"/>
    <mergeCell ref="CPU38:CPU39"/>
    <mergeCell ref="CPV38:CPV39"/>
    <mergeCell ref="CPW38:CPY38"/>
    <mergeCell ref="CPZ38:CPZ39"/>
    <mergeCell ref="CQA38:CQA39"/>
    <mergeCell ref="CQB38:CQB39"/>
    <mergeCell ref="CQC38:CQC39"/>
    <mergeCell ref="CQD38:CQD39"/>
    <mergeCell ref="CQE38:CQG38"/>
    <mergeCell ref="CPW39:CPY39"/>
    <mergeCell ref="CQE39:CQG39"/>
    <mergeCell ref="CPJ38:CPJ39"/>
    <mergeCell ref="CPK38:CPK39"/>
    <mergeCell ref="CPL38:CPL39"/>
    <mergeCell ref="CPM38:CPM39"/>
    <mergeCell ref="CPN38:CPN39"/>
    <mergeCell ref="CPO38:CPQ38"/>
    <mergeCell ref="CPR38:CPR39"/>
    <mergeCell ref="CPS38:CPS39"/>
    <mergeCell ref="CPT38:CPT39"/>
    <mergeCell ref="CPO39:CPQ39"/>
    <mergeCell ref="COW38:COW39"/>
    <mergeCell ref="COX38:COX39"/>
    <mergeCell ref="COY38:CPA38"/>
    <mergeCell ref="CPB38:CPB39"/>
    <mergeCell ref="CPC38:CPC39"/>
    <mergeCell ref="CPD38:CPD39"/>
    <mergeCell ref="CPE38:CPE39"/>
    <mergeCell ref="CPF38:CPF39"/>
    <mergeCell ref="CPG38:CPI38"/>
    <mergeCell ref="COY39:CPA39"/>
    <mergeCell ref="CPG39:CPI39"/>
    <mergeCell ref="COL38:COL39"/>
    <mergeCell ref="COM38:COM39"/>
    <mergeCell ref="CON38:CON39"/>
    <mergeCell ref="COO38:COO39"/>
    <mergeCell ref="COP38:COP39"/>
    <mergeCell ref="COQ38:COS38"/>
    <mergeCell ref="COT38:COT39"/>
    <mergeCell ref="COU38:COU39"/>
    <mergeCell ref="COV38:COV39"/>
    <mergeCell ref="COQ39:COS39"/>
    <mergeCell ref="CNY38:CNY39"/>
    <mergeCell ref="CNZ38:CNZ39"/>
    <mergeCell ref="COA38:COC38"/>
    <mergeCell ref="COD38:COD39"/>
    <mergeCell ref="COE38:COE39"/>
    <mergeCell ref="COF38:COF39"/>
    <mergeCell ref="COG38:COG39"/>
    <mergeCell ref="COH38:COH39"/>
    <mergeCell ref="COI38:COK38"/>
    <mergeCell ref="COA39:COC39"/>
    <mergeCell ref="COI39:COK39"/>
    <mergeCell ref="CNN38:CNN39"/>
    <mergeCell ref="CNO38:CNO39"/>
    <mergeCell ref="CNP38:CNP39"/>
    <mergeCell ref="CNQ38:CNQ39"/>
    <mergeCell ref="CNR38:CNR39"/>
    <mergeCell ref="CNS38:CNU38"/>
    <mergeCell ref="CNV38:CNV39"/>
    <mergeCell ref="CNW38:CNW39"/>
    <mergeCell ref="CNX38:CNX39"/>
    <mergeCell ref="CNS39:CNU39"/>
    <mergeCell ref="CNA38:CNA39"/>
    <mergeCell ref="CNB38:CNB39"/>
    <mergeCell ref="CNC38:CNE38"/>
    <mergeCell ref="CNF38:CNF39"/>
    <mergeCell ref="CNG38:CNG39"/>
    <mergeCell ref="CNH38:CNH39"/>
    <mergeCell ref="CNI38:CNI39"/>
    <mergeCell ref="CNJ38:CNJ39"/>
    <mergeCell ref="CNK38:CNM38"/>
    <mergeCell ref="CNC39:CNE39"/>
    <mergeCell ref="CNK39:CNM39"/>
    <mergeCell ref="CMP38:CMP39"/>
    <mergeCell ref="CMQ38:CMQ39"/>
    <mergeCell ref="CMR38:CMR39"/>
    <mergeCell ref="CMS38:CMS39"/>
    <mergeCell ref="CMT38:CMT39"/>
    <mergeCell ref="CMU38:CMW38"/>
    <mergeCell ref="CMX38:CMX39"/>
    <mergeCell ref="CMY38:CMY39"/>
    <mergeCell ref="CMZ38:CMZ39"/>
    <mergeCell ref="CMU39:CMW39"/>
    <mergeCell ref="CMC38:CMC39"/>
    <mergeCell ref="CMD38:CMD39"/>
    <mergeCell ref="CME38:CMG38"/>
    <mergeCell ref="CMH38:CMH39"/>
    <mergeCell ref="CMI38:CMI39"/>
    <mergeCell ref="CMJ38:CMJ39"/>
    <mergeCell ref="CMK38:CMK39"/>
    <mergeCell ref="CML38:CML39"/>
    <mergeCell ref="CMM38:CMO38"/>
    <mergeCell ref="CME39:CMG39"/>
    <mergeCell ref="CMM39:CMO39"/>
    <mergeCell ref="CLR38:CLR39"/>
    <mergeCell ref="CLS38:CLS39"/>
    <mergeCell ref="CLT38:CLT39"/>
    <mergeCell ref="CLU38:CLU39"/>
    <mergeCell ref="CLV38:CLV39"/>
    <mergeCell ref="CLW38:CLY38"/>
    <mergeCell ref="CLZ38:CLZ39"/>
    <mergeCell ref="CMA38:CMA39"/>
    <mergeCell ref="CMB38:CMB39"/>
    <mergeCell ref="CLW39:CLY39"/>
    <mergeCell ref="CLE38:CLE39"/>
    <mergeCell ref="CLF38:CLF39"/>
    <mergeCell ref="CLG38:CLI38"/>
    <mergeCell ref="CLJ38:CLJ39"/>
    <mergeCell ref="CLK38:CLK39"/>
    <mergeCell ref="CLL38:CLL39"/>
    <mergeCell ref="CLM38:CLM39"/>
    <mergeCell ref="CLN38:CLN39"/>
    <mergeCell ref="CLO38:CLQ38"/>
    <mergeCell ref="CLG39:CLI39"/>
    <mergeCell ref="CLO39:CLQ39"/>
    <mergeCell ref="CKT38:CKT39"/>
    <mergeCell ref="CKU38:CKU39"/>
    <mergeCell ref="CKV38:CKV39"/>
    <mergeCell ref="CKW38:CKW39"/>
    <mergeCell ref="CKX38:CKX39"/>
    <mergeCell ref="CKY38:CLA38"/>
    <mergeCell ref="CLB38:CLB39"/>
    <mergeCell ref="CLC38:CLC39"/>
    <mergeCell ref="CLD38:CLD39"/>
    <mergeCell ref="CKY39:CLA39"/>
    <mergeCell ref="CKG38:CKG39"/>
    <mergeCell ref="CKH38:CKH39"/>
    <mergeCell ref="CKI38:CKK38"/>
    <mergeCell ref="CKL38:CKL39"/>
    <mergeCell ref="CKM38:CKM39"/>
    <mergeCell ref="CKN38:CKN39"/>
    <mergeCell ref="CKO38:CKO39"/>
    <mergeCell ref="CKP38:CKP39"/>
    <mergeCell ref="CKQ38:CKS38"/>
    <mergeCell ref="CKI39:CKK39"/>
    <mergeCell ref="CKQ39:CKS39"/>
    <mergeCell ref="CJV38:CJV39"/>
    <mergeCell ref="CJW38:CJW39"/>
    <mergeCell ref="CJX38:CJX39"/>
    <mergeCell ref="CJY38:CJY39"/>
    <mergeCell ref="CJZ38:CJZ39"/>
    <mergeCell ref="CKA38:CKC38"/>
    <mergeCell ref="CKD38:CKD39"/>
    <mergeCell ref="CKE38:CKE39"/>
    <mergeCell ref="CKF38:CKF39"/>
    <mergeCell ref="CKA39:CKC39"/>
    <mergeCell ref="CJI38:CJI39"/>
    <mergeCell ref="CJJ38:CJJ39"/>
    <mergeCell ref="CJK38:CJM38"/>
    <mergeCell ref="CJN38:CJN39"/>
    <mergeCell ref="CJO38:CJO39"/>
    <mergeCell ref="CJP38:CJP39"/>
    <mergeCell ref="CJQ38:CJQ39"/>
    <mergeCell ref="CJR38:CJR39"/>
    <mergeCell ref="CJS38:CJU38"/>
    <mergeCell ref="CJK39:CJM39"/>
    <mergeCell ref="CJS39:CJU39"/>
    <mergeCell ref="CIX38:CIX39"/>
    <mergeCell ref="CIY38:CIY39"/>
    <mergeCell ref="CIZ38:CIZ39"/>
    <mergeCell ref="CJA38:CJA39"/>
    <mergeCell ref="CJB38:CJB39"/>
    <mergeCell ref="CJC38:CJE38"/>
    <mergeCell ref="CJF38:CJF39"/>
    <mergeCell ref="CJG38:CJG39"/>
    <mergeCell ref="CJH38:CJH39"/>
    <mergeCell ref="CJC39:CJE39"/>
    <mergeCell ref="CIK38:CIK39"/>
    <mergeCell ref="CIL38:CIL39"/>
    <mergeCell ref="CIM38:CIO38"/>
    <mergeCell ref="CIP38:CIP39"/>
    <mergeCell ref="CIQ38:CIQ39"/>
    <mergeCell ref="CIR38:CIR39"/>
    <mergeCell ref="CIS38:CIS39"/>
    <mergeCell ref="CIT38:CIT39"/>
    <mergeCell ref="CIU38:CIW38"/>
    <mergeCell ref="CIM39:CIO39"/>
    <mergeCell ref="CIU39:CIW39"/>
    <mergeCell ref="CHZ38:CHZ39"/>
    <mergeCell ref="CIA38:CIA39"/>
    <mergeCell ref="CIB38:CIB39"/>
    <mergeCell ref="CIC38:CIC39"/>
    <mergeCell ref="CID38:CID39"/>
    <mergeCell ref="CIE38:CIG38"/>
    <mergeCell ref="CIH38:CIH39"/>
    <mergeCell ref="CII38:CII39"/>
    <mergeCell ref="CIJ38:CIJ39"/>
    <mergeCell ref="CIE39:CIG39"/>
    <mergeCell ref="CHM38:CHM39"/>
    <mergeCell ref="CHN38:CHN39"/>
    <mergeCell ref="CHO38:CHQ38"/>
    <mergeCell ref="CHR38:CHR39"/>
    <mergeCell ref="CHS38:CHS39"/>
    <mergeCell ref="CHT38:CHT39"/>
    <mergeCell ref="CHU38:CHU39"/>
    <mergeCell ref="CHV38:CHV39"/>
    <mergeCell ref="CHW38:CHY38"/>
    <mergeCell ref="CHO39:CHQ39"/>
    <mergeCell ref="CHW39:CHY39"/>
    <mergeCell ref="CHB38:CHB39"/>
    <mergeCell ref="CHC38:CHC39"/>
    <mergeCell ref="CHD38:CHD39"/>
    <mergeCell ref="CHE38:CHE39"/>
    <mergeCell ref="CHF38:CHF39"/>
    <mergeCell ref="CHG38:CHI38"/>
    <mergeCell ref="CHJ38:CHJ39"/>
    <mergeCell ref="CHK38:CHK39"/>
    <mergeCell ref="CHL38:CHL39"/>
    <mergeCell ref="CHG39:CHI39"/>
    <mergeCell ref="CGO38:CGO39"/>
    <mergeCell ref="CGP38:CGP39"/>
    <mergeCell ref="CGQ38:CGS38"/>
    <mergeCell ref="CGT38:CGT39"/>
    <mergeCell ref="CGU38:CGU39"/>
    <mergeCell ref="CGV38:CGV39"/>
    <mergeCell ref="CGW38:CGW39"/>
    <mergeCell ref="CGX38:CGX39"/>
    <mergeCell ref="CGY38:CHA38"/>
    <mergeCell ref="CGQ39:CGS39"/>
    <mergeCell ref="CGY39:CHA39"/>
    <mergeCell ref="CGD38:CGD39"/>
    <mergeCell ref="CGE38:CGE39"/>
    <mergeCell ref="CGF38:CGF39"/>
    <mergeCell ref="CGG38:CGG39"/>
    <mergeCell ref="CGH38:CGH39"/>
    <mergeCell ref="CGI38:CGK38"/>
    <mergeCell ref="CGL38:CGL39"/>
    <mergeCell ref="CGM38:CGM39"/>
    <mergeCell ref="CGN38:CGN39"/>
    <mergeCell ref="CGI39:CGK39"/>
    <mergeCell ref="CFQ38:CFQ39"/>
    <mergeCell ref="CFR38:CFR39"/>
    <mergeCell ref="CFS38:CFU38"/>
    <mergeCell ref="CFV38:CFV39"/>
    <mergeCell ref="CFW38:CFW39"/>
    <mergeCell ref="CFX38:CFX39"/>
    <mergeCell ref="CFY38:CFY39"/>
    <mergeCell ref="CFZ38:CFZ39"/>
    <mergeCell ref="CGA38:CGC38"/>
    <mergeCell ref="CFS39:CFU39"/>
    <mergeCell ref="CGA39:CGC39"/>
    <mergeCell ref="CFF38:CFF39"/>
    <mergeCell ref="CFG38:CFG39"/>
    <mergeCell ref="CFH38:CFH39"/>
    <mergeCell ref="CFI38:CFI39"/>
    <mergeCell ref="CFJ38:CFJ39"/>
    <mergeCell ref="CFK38:CFM38"/>
    <mergeCell ref="CFN38:CFN39"/>
    <mergeCell ref="CFO38:CFO39"/>
    <mergeCell ref="CFP38:CFP39"/>
    <mergeCell ref="CFK39:CFM39"/>
    <mergeCell ref="CES38:CES39"/>
    <mergeCell ref="CET38:CET39"/>
    <mergeCell ref="CEU38:CEW38"/>
    <mergeCell ref="CEX38:CEX39"/>
    <mergeCell ref="CEY38:CEY39"/>
    <mergeCell ref="CEZ38:CEZ39"/>
    <mergeCell ref="CFA38:CFA39"/>
    <mergeCell ref="CFB38:CFB39"/>
    <mergeCell ref="CFC38:CFE38"/>
    <mergeCell ref="CEU39:CEW39"/>
    <mergeCell ref="CFC39:CFE39"/>
    <mergeCell ref="CEH38:CEH39"/>
    <mergeCell ref="CEI38:CEI39"/>
    <mergeCell ref="CEJ38:CEJ39"/>
    <mergeCell ref="CEK38:CEK39"/>
    <mergeCell ref="CEL38:CEL39"/>
    <mergeCell ref="CEM38:CEO38"/>
    <mergeCell ref="CEP38:CEP39"/>
    <mergeCell ref="CEQ38:CEQ39"/>
    <mergeCell ref="CER38:CER39"/>
    <mergeCell ref="CEM39:CEO39"/>
    <mergeCell ref="CDU38:CDU39"/>
    <mergeCell ref="CDV38:CDV39"/>
    <mergeCell ref="CDW38:CDY38"/>
    <mergeCell ref="CDZ38:CDZ39"/>
    <mergeCell ref="CEA38:CEA39"/>
    <mergeCell ref="CEB38:CEB39"/>
    <mergeCell ref="CEC38:CEC39"/>
    <mergeCell ref="CED38:CED39"/>
    <mergeCell ref="CEE38:CEG38"/>
    <mergeCell ref="CDW39:CDY39"/>
    <mergeCell ref="CEE39:CEG39"/>
    <mergeCell ref="CDJ38:CDJ39"/>
    <mergeCell ref="CDK38:CDK39"/>
    <mergeCell ref="CDL38:CDL39"/>
    <mergeCell ref="CDM38:CDM39"/>
    <mergeCell ref="CDN38:CDN39"/>
    <mergeCell ref="CDO38:CDQ38"/>
    <mergeCell ref="CDR38:CDR39"/>
    <mergeCell ref="CDS38:CDS39"/>
    <mergeCell ref="CDT38:CDT39"/>
    <mergeCell ref="CDO39:CDQ39"/>
    <mergeCell ref="CCW38:CCW39"/>
    <mergeCell ref="CCX38:CCX39"/>
    <mergeCell ref="CCY38:CDA38"/>
    <mergeCell ref="CDB38:CDB39"/>
    <mergeCell ref="CDC38:CDC39"/>
    <mergeCell ref="CDD38:CDD39"/>
    <mergeCell ref="CDE38:CDE39"/>
    <mergeCell ref="CDF38:CDF39"/>
    <mergeCell ref="CDG38:CDI38"/>
    <mergeCell ref="CCY39:CDA39"/>
    <mergeCell ref="CDG39:CDI39"/>
    <mergeCell ref="CCL38:CCL39"/>
    <mergeCell ref="CCM38:CCM39"/>
    <mergeCell ref="CCN38:CCN39"/>
    <mergeCell ref="CCO38:CCO39"/>
    <mergeCell ref="CCP38:CCP39"/>
    <mergeCell ref="CCQ38:CCS38"/>
    <mergeCell ref="CCT38:CCT39"/>
    <mergeCell ref="CCU38:CCU39"/>
    <mergeCell ref="CCV38:CCV39"/>
    <mergeCell ref="CCQ39:CCS39"/>
    <mergeCell ref="CBY38:CBY39"/>
    <mergeCell ref="CBZ38:CBZ39"/>
    <mergeCell ref="CCA38:CCC38"/>
    <mergeCell ref="CCD38:CCD39"/>
    <mergeCell ref="CCE38:CCE39"/>
    <mergeCell ref="CCF38:CCF39"/>
    <mergeCell ref="CCG38:CCG39"/>
    <mergeCell ref="CCH38:CCH39"/>
    <mergeCell ref="CCI38:CCK38"/>
    <mergeCell ref="CCA39:CCC39"/>
    <mergeCell ref="CCI39:CCK39"/>
    <mergeCell ref="CBN38:CBN39"/>
    <mergeCell ref="CBO38:CBO39"/>
    <mergeCell ref="CBP38:CBP39"/>
    <mergeCell ref="CBQ38:CBQ39"/>
    <mergeCell ref="CBR38:CBR39"/>
    <mergeCell ref="CBS38:CBU38"/>
    <mergeCell ref="CBV38:CBV39"/>
    <mergeCell ref="CBW38:CBW39"/>
    <mergeCell ref="CBX38:CBX39"/>
    <mergeCell ref="CBS39:CBU39"/>
    <mergeCell ref="CBA38:CBA39"/>
    <mergeCell ref="CBB38:CBB39"/>
    <mergeCell ref="CBC38:CBE38"/>
    <mergeCell ref="CBF38:CBF39"/>
    <mergeCell ref="CBG38:CBG39"/>
    <mergeCell ref="CBH38:CBH39"/>
    <mergeCell ref="CBI38:CBI39"/>
    <mergeCell ref="CBJ38:CBJ39"/>
    <mergeCell ref="CBK38:CBM38"/>
    <mergeCell ref="CBC39:CBE39"/>
    <mergeCell ref="CBK39:CBM39"/>
    <mergeCell ref="CAP38:CAP39"/>
    <mergeCell ref="CAQ38:CAQ39"/>
    <mergeCell ref="CAR38:CAR39"/>
    <mergeCell ref="CAS38:CAS39"/>
    <mergeCell ref="CAT38:CAT39"/>
    <mergeCell ref="CAU38:CAW38"/>
    <mergeCell ref="CAX38:CAX39"/>
    <mergeCell ref="CAY38:CAY39"/>
    <mergeCell ref="CAZ38:CAZ39"/>
    <mergeCell ref="CAU39:CAW39"/>
    <mergeCell ref="CAC38:CAC39"/>
    <mergeCell ref="CAD38:CAD39"/>
    <mergeCell ref="CAE38:CAG38"/>
    <mergeCell ref="CAH38:CAH39"/>
    <mergeCell ref="CAI38:CAI39"/>
    <mergeCell ref="CAJ38:CAJ39"/>
    <mergeCell ref="CAK38:CAK39"/>
    <mergeCell ref="CAL38:CAL39"/>
    <mergeCell ref="CAM38:CAO38"/>
    <mergeCell ref="CAE39:CAG39"/>
    <mergeCell ref="CAM39:CAO39"/>
    <mergeCell ref="BZR38:BZR39"/>
    <mergeCell ref="BZS38:BZS39"/>
    <mergeCell ref="BZT38:BZT39"/>
    <mergeCell ref="BZU38:BZU39"/>
    <mergeCell ref="BZV38:BZV39"/>
    <mergeCell ref="BZW38:BZY38"/>
    <mergeCell ref="BZZ38:BZZ39"/>
    <mergeCell ref="CAA38:CAA39"/>
    <mergeCell ref="CAB38:CAB39"/>
    <mergeCell ref="BZW39:BZY39"/>
    <mergeCell ref="BZE38:BZE39"/>
    <mergeCell ref="BZF38:BZF39"/>
    <mergeCell ref="BZG38:BZI38"/>
    <mergeCell ref="BZJ38:BZJ39"/>
    <mergeCell ref="BZK38:BZK39"/>
    <mergeCell ref="BZL38:BZL39"/>
    <mergeCell ref="BZM38:BZM39"/>
    <mergeCell ref="BZN38:BZN39"/>
    <mergeCell ref="BZO38:BZQ38"/>
    <mergeCell ref="BZG39:BZI39"/>
    <mergeCell ref="BZO39:BZQ39"/>
    <mergeCell ref="BYT38:BYT39"/>
    <mergeCell ref="BYU38:BYU39"/>
    <mergeCell ref="BYV38:BYV39"/>
    <mergeCell ref="BYW38:BYW39"/>
    <mergeCell ref="BYX38:BYX39"/>
    <mergeCell ref="BYY38:BZA38"/>
    <mergeCell ref="BZB38:BZB39"/>
    <mergeCell ref="BZC38:BZC39"/>
    <mergeCell ref="BZD38:BZD39"/>
    <mergeCell ref="BYY39:BZA39"/>
    <mergeCell ref="BYG38:BYG39"/>
    <mergeCell ref="BYH38:BYH39"/>
    <mergeCell ref="BYI38:BYK38"/>
    <mergeCell ref="BYL38:BYL39"/>
    <mergeCell ref="BYM38:BYM39"/>
    <mergeCell ref="BYN38:BYN39"/>
    <mergeCell ref="BYO38:BYO39"/>
    <mergeCell ref="BYP38:BYP39"/>
    <mergeCell ref="BYQ38:BYS38"/>
    <mergeCell ref="BYI39:BYK39"/>
    <mergeCell ref="BYQ39:BYS39"/>
    <mergeCell ref="BXV38:BXV39"/>
    <mergeCell ref="BXW38:BXW39"/>
    <mergeCell ref="BXX38:BXX39"/>
    <mergeCell ref="BXY38:BXY39"/>
    <mergeCell ref="BXZ38:BXZ39"/>
    <mergeCell ref="BYA38:BYC38"/>
    <mergeCell ref="BYD38:BYD39"/>
    <mergeCell ref="BYE38:BYE39"/>
    <mergeCell ref="BYF38:BYF39"/>
    <mergeCell ref="BYA39:BYC39"/>
    <mergeCell ref="BXI38:BXI39"/>
    <mergeCell ref="BXJ38:BXJ39"/>
    <mergeCell ref="BXK38:BXM38"/>
    <mergeCell ref="BXN38:BXN39"/>
    <mergeCell ref="BXO38:BXO39"/>
    <mergeCell ref="BXP38:BXP39"/>
    <mergeCell ref="BXQ38:BXQ39"/>
    <mergeCell ref="BXR38:BXR39"/>
    <mergeCell ref="BXS38:BXU38"/>
    <mergeCell ref="BXK39:BXM39"/>
    <mergeCell ref="BXS39:BXU39"/>
    <mergeCell ref="BWX38:BWX39"/>
    <mergeCell ref="BWY38:BWY39"/>
    <mergeCell ref="BWZ38:BWZ39"/>
    <mergeCell ref="BXA38:BXA39"/>
    <mergeCell ref="BXB38:BXB39"/>
    <mergeCell ref="BXC38:BXE38"/>
    <mergeCell ref="BXF38:BXF39"/>
    <mergeCell ref="BXG38:BXG39"/>
    <mergeCell ref="BXH38:BXH39"/>
    <mergeCell ref="BXC39:BXE39"/>
    <mergeCell ref="BWK38:BWK39"/>
    <mergeCell ref="BWL38:BWL39"/>
    <mergeCell ref="BWM38:BWO38"/>
    <mergeCell ref="BWP38:BWP39"/>
    <mergeCell ref="BWQ38:BWQ39"/>
    <mergeCell ref="BWR38:BWR39"/>
    <mergeCell ref="BWS38:BWS39"/>
    <mergeCell ref="BWT38:BWT39"/>
    <mergeCell ref="BWU38:BWW38"/>
    <mergeCell ref="BWM39:BWO39"/>
    <mergeCell ref="BWU39:BWW39"/>
    <mergeCell ref="BVZ38:BVZ39"/>
    <mergeCell ref="BWA38:BWA39"/>
    <mergeCell ref="BWB38:BWB39"/>
    <mergeCell ref="BWC38:BWC39"/>
    <mergeCell ref="BWD38:BWD39"/>
    <mergeCell ref="BWE38:BWG38"/>
    <mergeCell ref="BWH38:BWH39"/>
    <mergeCell ref="BWI38:BWI39"/>
    <mergeCell ref="BWJ38:BWJ39"/>
    <mergeCell ref="BWE39:BWG39"/>
    <mergeCell ref="BVM38:BVM39"/>
    <mergeCell ref="BVN38:BVN39"/>
    <mergeCell ref="BVO38:BVQ38"/>
    <mergeCell ref="BVR38:BVR39"/>
    <mergeCell ref="BVS38:BVS39"/>
    <mergeCell ref="BVT38:BVT39"/>
    <mergeCell ref="BVU38:BVU39"/>
    <mergeCell ref="BVV38:BVV39"/>
    <mergeCell ref="BVW38:BVY38"/>
    <mergeCell ref="BVO39:BVQ39"/>
    <mergeCell ref="BVW39:BVY39"/>
    <mergeCell ref="BVB38:BVB39"/>
    <mergeCell ref="BVC38:BVC39"/>
    <mergeCell ref="BVD38:BVD39"/>
    <mergeCell ref="BVE38:BVE39"/>
    <mergeCell ref="BVF38:BVF39"/>
    <mergeCell ref="BVG38:BVI38"/>
    <mergeCell ref="BVJ38:BVJ39"/>
    <mergeCell ref="BVK38:BVK39"/>
    <mergeCell ref="BVL38:BVL39"/>
    <mergeCell ref="BVG39:BVI39"/>
    <mergeCell ref="BUO38:BUO39"/>
    <mergeCell ref="BUP38:BUP39"/>
    <mergeCell ref="BUQ38:BUS38"/>
    <mergeCell ref="BUT38:BUT39"/>
    <mergeCell ref="BUU38:BUU39"/>
    <mergeCell ref="BUV38:BUV39"/>
    <mergeCell ref="BUW38:BUW39"/>
    <mergeCell ref="BUX38:BUX39"/>
    <mergeCell ref="BUY38:BVA38"/>
    <mergeCell ref="BUQ39:BUS39"/>
    <mergeCell ref="BUY39:BVA39"/>
    <mergeCell ref="BUD38:BUD39"/>
    <mergeCell ref="BUE38:BUE39"/>
    <mergeCell ref="BUF38:BUF39"/>
    <mergeCell ref="BUG38:BUG39"/>
    <mergeCell ref="BUH38:BUH39"/>
    <mergeCell ref="BUI38:BUK38"/>
    <mergeCell ref="BUL38:BUL39"/>
    <mergeCell ref="BUM38:BUM39"/>
    <mergeCell ref="BUN38:BUN39"/>
    <mergeCell ref="BUI39:BUK39"/>
    <mergeCell ref="BTQ38:BTQ39"/>
    <mergeCell ref="BTR38:BTR39"/>
    <mergeCell ref="BTS38:BTU38"/>
    <mergeCell ref="BTV38:BTV39"/>
    <mergeCell ref="BTW38:BTW39"/>
    <mergeCell ref="BTX38:BTX39"/>
    <mergeCell ref="BTY38:BTY39"/>
    <mergeCell ref="BTZ38:BTZ39"/>
    <mergeCell ref="BUA38:BUC38"/>
    <mergeCell ref="BTS39:BTU39"/>
    <mergeCell ref="BUA39:BUC39"/>
    <mergeCell ref="BTF38:BTF39"/>
    <mergeCell ref="BTG38:BTG39"/>
    <mergeCell ref="BTH38:BTH39"/>
    <mergeCell ref="BTI38:BTI39"/>
    <mergeCell ref="BTJ38:BTJ39"/>
    <mergeCell ref="BTK38:BTM38"/>
    <mergeCell ref="BTN38:BTN39"/>
    <mergeCell ref="BTO38:BTO39"/>
    <mergeCell ref="BTP38:BTP39"/>
    <mergeCell ref="BTK39:BTM39"/>
    <mergeCell ref="BSS38:BSS39"/>
    <mergeCell ref="BST38:BST39"/>
    <mergeCell ref="BSU38:BSW38"/>
    <mergeCell ref="BSX38:BSX39"/>
    <mergeCell ref="BSY38:BSY39"/>
    <mergeCell ref="BSZ38:BSZ39"/>
    <mergeCell ref="BTA38:BTA39"/>
    <mergeCell ref="BTB38:BTB39"/>
    <mergeCell ref="BTC38:BTE38"/>
    <mergeCell ref="BSU39:BSW39"/>
    <mergeCell ref="BTC39:BTE39"/>
    <mergeCell ref="BSH38:BSH39"/>
    <mergeCell ref="BSI38:BSI39"/>
    <mergeCell ref="BSJ38:BSJ39"/>
    <mergeCell ref="BSK38:BSK39"/>
    <mergeCell ref="BSL38:BSL39"/>
    <mergeCell ref="BSM38:BSO38"/>
    <mergeCell ref="BSP38:BSP39"/>
    <mergeCell ref="BSQ38:BSQ39"/>
    <mergeCell ref="BSR38:BSR39"/>
    <mergeCell ref="BSM39:BSO39"/>
    <mergeCell ref="BRU38:BRU39"/>
    <mergeCell ref="BRV38:BRV39"/>
    <mergeCell ref="BRW38:BRY38"/>
    <mergeCell ref="BRZ38:BRZ39"/>
    <mergeCell ref="BSA38:BSA39"/>
    <mergeCell ref="BSB38:BSB39"/>
    <mergeCell ref="BSC38:BSC39"/>
    <mergeCell ref="BSD38:BSD39"/>
    <mergeCell ref="BSE38:BSG38"/>
    <mergeCell ref="BRW39:BRY39"/>
    <mergeCell ref="BSE39:BSG39"/>
    <mergeCell ref="BRJ38:BRJ39"/>
    <mergeCell ref="BRK38:BRK39"/>
    <mergeCell ref="BRL38:BRL39"/>
    <mergeCell ref="BRM38:BRM39"/>
    <mergeCell ref="BRN38:BRN39"/>
    <mergeCell ref="BRO38:BRQ38"/>
    <mergeCell ref="BRR38:BRR39"/>
    <mergeCell ref="BRS38:BRS39"/>
    <mergeCell ref="BRT38:BRT39"/>
    <mergeCell ref="BRO39:BRQ39"/>
    <mergeCell ref="BQW38:BQW39"/>
    <mergeCell ref="BQX38:BQX39"/>
    <mergeCell ref="BQY38:BRA38"/>
    <mergeCell ref="BRB38:BRB39"/>
    <mergeCell ref="BRC38:BRC39"/>
    <mergeCell ref="BRD38:BRD39"/>
    <mergeCell ref="BRE38:BRE39"/>
    <mergeCell ref="BRF38:BRF39"/>
    <mergeCell ref="BRG38:BRI38"/>
    <mergeCell ref="BQY39:BRA39"/>
    <mergeCell ref="BRG39:BRI39"/>
    <mergeCell ref="BQL38:BQL39"/>
    <mergeCell ref="BQM38:BQM39"/>
    <mergeCell ref="BQN38:BQN39"/>
    <mergeCell ref="BQO38:BQO39"/>
    <mergeCell ref="BQP38:BQP39"/>
    <mergeCell ref="BQQ38:BQS38"/>
    <mergeCell ref="BQT38:BQT39"/>
    <mergeCell ref="BQU38:BQU39"/>
    <mergeCell ref="BQV38:BQV39"/>
    <mergeCell ref="BQQ39:BQS39"/>
    <mergeCell ref="BPY38:BPY39"/>
    <mergeCell ref="BPZ38:BPZ39"/>
    <mergeCell ref="BQA38:BQC38"/>
    <mergeCell ref="BQD38:BQD39"/>
    <mergeCell ref="BQE38:BQE39"/>
    <mergeCell ref="BQF38:BQF39"/>
    <mergeCell ref="BQG38:BQG39"/>
    <mergeCell ref="BQH38:BQH39"/>
    <mergeCell ref="BQI38:BQK38"/>
    <mergeCell ref="BQA39:BQC39"/>
    <mergeCell ref="BQI39:BQK39"/>
    <mergeCell ref="BPN38:BPN39"/>
    <mergeCell ref="BPO38:BPO39"/>
    <mergeCell ref="BPP38:BPP39"/>
    <mergeCell ref="BPQ38:BPQ39"/>
    <mergeCell ref="BPR38:BPR39"/>
    <mergeCell ref="BPS38:BPU38"/>
    <mergeCell ref="BPV38:BPV39"/>
    <mergeCell ref="BPW38:BPW39"/>
    <mergeCell ref="BPX38:BPX39"/>
    <mergeCell ref="BPS39:BPU39"/>
    <mergeCell ref="BPA38:BPA39"/>
    <mergeCell ref="BPB38:BPB39"/>
    <mergeCell ref="BPC38:BPE38"/>
    <mergeCell ref="BPF38:BPF39"/>
    <mergeCell ref="BPG38:BPG39"/>
    <mergeCell ref="BPH38:BPH39"/>
    <mergeCell ref="BPI38:BPI39"/>
    <mergeCell ref="BPJ38:BPJ39"/>
    <mergeCell ref="BPK38:BPM38"/>
    <mergeCell ref="BPC39:BPE39"/>
    <mergeCell ref="BPK39:BPM39"/>
    <mergeCell ref="BOP38:BOP39"/>
    <mergeCell ref="BOQ38:BOQ39"/>
    <mergeCell ref="BOR38:BOR39"/>
    <mergeCell ref="BOS38:BOS39"/>
    <mergeCell ref="BOT38:BOT39"/>
    <mergeCell ref="BOU38:BOW38"/>
    <mergeCell ref="BOX38:BOX39"/>
    <mergeCell ref="BOY38:BOY39"/>
    <mergeCell ref="BOZ38:BOZ39"/>
    <mergeCell ref="BOU39:BOW39"/>
    <mergeCell ref="BOC38:BOC39"/>
    <mergeCell ref="BOD38:BOD39"/>
    <mergeCell ref="BOE38:BOG38"/>
    <mergeCell ref="BOH38:BOH39"/>
    <mergeCell ref="BOI38:BOI39"/>
    <mergeCell ref="BOJ38:BOJ39"/>
    <mergeCell ref="BOK38:BOK39"/>
    <mergeCell ref="BOL38:BOL39"/>
    <mergeCell ref="BOM38:BOO38"/>
    <mergeCell ref="BOE39:BOG39"/>
    <mergeCell ref="BOM39:BOO39"/>
    <mergeCell ref="BNR38:BNR39"/>
    <mergeCell ref="BNS38:BNS39"/>
    <mergeCell ref="BNT38:BNT39"/>
    <mergeCell ref="BNU38:BNU39"/>
    <mergeCell ref="BNV38:BNV39"/>
    <mergeCell ref="BNW38:BNY38"/>
    <mergeCell ref="BNZ38:BNZ39"/>
    <mergeCell ref="BOA38:BOA39"/>
    <mergeCell ref="BOB38:BOB39"/>
    <mergeCell ref="BNW39:BNY39"/>
    <mergeCell ref="BNE38:BNE39"/>
    <mergeCell ref="BNF38:BNF39"/>
    <mergeCell ref="BNG38:BNI38"/>
    <mergeCell ref="BNJ38:BNJ39"/>
    <mergeCell ref="BNK38:BNK39"/>
    <mergeCell ref="BNL38:BNL39"/>
    <mergeCell ref="BNM38:BNM39"/>
    <mergeCell ref="BNN38:BNN39"/>
    <mergeCell ref="BNO38:BNQ38"/>
    <mergeCell ref="BNG39:BNI39"/>
    <mergeCell ref="BNO39:BNQ39"/>
    <mergeCell ref="BMT38:BMT39"/>
    <mergeCell ref="BMU38:BMU39"/>
    <mergeCell ref="BMV38:BMV39"/>
    <mergeCell ref="BMW38:BMW39"/>
    <mergeCell ref="BMX38:BMX39"/>
    <mergeCell ref="BMY38:BNA38"/>
    <mergeCell ref="BNB38:BNB39"/>
    <mergeCell ref="BNC38:BNC39"/>
    <mergeCell ref="BND38:BND39"/>
    <mergeCell ref="BMY39:BNA39"/>
    <mergeCell ref="BMG38:BMG39"/>
    <mergeCell ref="BMH38:BMH39"/>
    <mergeCell ref="BMI38:BMK38"/>
    <mergeCell ref="BML38:BML39"/>
    <mergeCell ref="BMM38:BMM39"/>
    <mergeCell ref="BMN38:BMN39"/>
    <mergeCell ref="BMO38:BMO39"/>
    <mergeCell ref="BMP38:BMP39"/>
    <mergeCell ref="BMQ38:BMS38"/>
    <mergeCell ref="BMI39:BMK39"/>
    <mergeCell ref="BMQ39:BMS39"/>
    <mergeCell ref="BLV38:BLV39"/>
    <mergeCell ref="BLW38:BLW39"/>
    <mergeCell ref="BLX38:BLX39"/>
    <mergeCell ref="BLY38:BLY39"/>
    <mergeCell ref="BLZ38:BLZ39"/>
    <mergeCell ref="BMA38:BMC38"/>
    <mergeCell ref="BMD38:BMD39"/>
    <mergeCell ref="BME38:BME39"/>
    <mergeCell ref="BMF38:BMF39"/>
    <mergeCell ref="BMA39:BMC39"/>
    <mergeCell ref="BLI38:BLI39"/>
    <mergeCell ref="BLJ38:BLJ39"/>
    <mergeCell ref="BLK38:BLM38"/>
    <mergeCell ref="BLN38:BLN39"/>
    <mergeCell ref="BLO38:BLO39"/>
    <mergeCell ref="BLP38:BLP39"/>
    <mergeCell ref="BLQ38:BLQ39"/>
    <mergeCell ref="BLR38:BLR39"/>
    <mergeCell ref="BLS38:BLU38"/>
    <mergeCell ref="BLK39:BLM39"/>
    <mergeCell ref="BLS39:BLU39"/>
    <mergeCell ref="BKX38:BKX39"/>
    <mergeCell ref="BKY38:BKY39"/>
    <mergeCell ref="BKZ38:BKZ39"/>
    <mergeCell ref="BLA38:BLA39"/>
    <mergeCell ref="BLB38:BLB39"/>
    <mergeCell ref="BLC38:BLE38"/>
    <mergeCell ref="BLF38:BLF39"/>
    <mergeCell ref="BLG38:BLG39"/>
    <mergeCell ref="BLH38:BLH39"/>
    <mergeCell ref="BLC39:BLE39"/>
    <mergeCell ref="BKK38:BKK39"/>
    <mergeCell ref="BKL38:BKL39"/>
    <mergeCell ref="BKM38:BKO38"/>
    <mergeCell ref="BKP38:BKP39"/>
    <mergeCell ref="BKQ38:BKQ39"/>
    <mergeCell ref="BKR38:BKR39"/>
    <mergeCell ref="BKS38:BKS39"/>
    <mergeCell ref="BKT38:BKT39"/>
    <mergeCell ref="BKU38:BKW38"/>
    <mergeCell ref="BKM39:BKO39"/>
    <mergeCell ref="BKU39:BKW39"/>
    <mergeCell ref="BJZ38:BJZ39"/>
    <mergeCell ref="BKA38:BKA39"/>
    <mergeCell ref="BKB38:BKB39"/>
    <mergeCell ref="BKC38:BKC39"/>
    <mergeCell ref="BKD38:BKD39"/>
    <mergeCell ref="BKE38:BKG38"/>
    <mergeCell ref="BKH38:BKH39"/>
    <mergeCell ref="BKI38:BKI39"/>
    <mergeCell ref="BKJ38:BKJ39"/>
    <mergeCell ref="BKE39:BKG39"/>
    <mergeCell ref="BJM38:BJM39"/>
    <mergeCell ref="BJN38:BJN39"/>
    <mergeCell ref="BJO38:BJQ38"/>
    <mergeCell ref="BJR38:BJR39"/>
    <mergeCell ref="BJS38:BJS39"/>
    <mergeCell ref="BJT38:BJT39"/>
    <mergeCell ref="BJU38:BJU39"/>
    <mergeCell ref="BJV38:BJV39"/>
    <mergeCell ref="BJW38:BJY38"/>
    <mergeCell ref="BJO39:BJQ39"/>
    <mergeCell ref="BJW39:BJY39"/>
    <mergeCell ref="BJB38:BJB39"/>
    <mergeCell ref="BJC38:BJC39"/>
    <mergeCell ref="BJD38:BJD39"/>
    <mergeCell ref="BJE38:BJE39"/>
    <mergeCell ref="BJF38:BJF39"/>
    <mergeCell ref="BJG38:BJI38"/>
    <mergeCell ref="BJJ38:BJJ39"/>
    <mergeCell ref="BJK38:BJK39"/>
    <mergeCell ref="BJL38:BJL39"/>
    <mergeCell ref="BJG39:BJI39"/>
    <mergeCell ref="BIO38:BIO39"/>
    <mergeCell ref="BIP38:BIP39"/>
    <mergeCell ref="BIQ38:BIS38"/>
    <mergeCell ref="BIT38:BIT39"/>
    <mergeCell ref="BIU38:BIU39"/>
    <mergeCell ref="BIV38:BIV39"/>
    <mergeCell ref="BIW38:BIW39"/>
    <mergeCell ref="BIX38:BIX39"/>
    <mergeCell ref="BIY38:BJA38"/>
    <mergeCell ref="BIQ39:BIS39"/>
    <mergeCell ref="BIY39:BJA39"/>
    <mergeCell ref="BID38:BID39"/>
    <mergeCell ref="BIE38:BIE39"/>
    <mergeCell ref="BIF38:BIF39"/>
    <mergeCell ref="BIG38:BIG39"/>
    <mergeCell ref="BIH38:BIH39"/>
    <mergeCell ref="BII38:BIK38"/>
    <mergeCell ref="BIL38:BIL39"/>
    <mergeCell ref="BIM38:BIM39"/>
    <mergeCell ref="BIN38:BIN39"/>
    <mergeCell ref="BII39:BIK39"/>
    <mergeCell ref="BHQ38:BHQ39"/>
    <mergeCell ref="BHR38:BHR39"/>
    <mergeCell ref="BHS38:BHU38"/>
    <mergeCell ref="BHV38:BHV39"/>
    <mergeCell ref="BHW38:BHW39"/>
    <mergeCell ref="BHX38:BHX39"/>
    <mergeCell ref="BHY38:BHY39"/>
    <mergeCell ref="BHZ38:BHZ39"/>
    <mergeCell ref="BIA38:BIC38"/>
    <mergeCell ref="BHS39:BHU39"/>
    <mergeCell ref="BIA39:BIC39"/>
    <mergeCell ref="BHF38:BHF39"/>
    <mergeCell ref="BHG38:BHG39"/>
    <mergeCell ref="BHH38:BHH39"/>
    <mergeCell ref="BHI38:BHI39"/>
    <mergeCell ref="BHJ38:BHJ39"/>
    <mergeCell ref="BHK38:BHM38"/>
    <mergeCell ref="BHN38:BHN39"/>
    <mergeCell ref="BHO38:BHO39"/>
    <mergeCell ref="BHP38:BHP39"/>
    <mergeCell ref="BHK39:BHM39"/>
    <mergeCell ref="BGS38:BGS39"/>
    <mergeCell ref="BGT38:BGT39"/>
    <mergeCell ref="BGU38:BGW38"/>
    <mergeCell ref="BGX38:BGX39"/>
    <mergeCell ref="BGY38:BGY39"/>
    <mergeCell ref="BGZ38:BGZ39"/>
    <mergeCell ref="BHA38:BHA39"/>
    <mergeCell ref="BHB38:BHB39"/>
    <mergeCell ref="BHC38:BHE38"/>
    <mergeCell ref="BGU39:BGW39"/>
    <mergeCell ref="BHC39:BHE39"/>
    <mergeCell ref="BGH38:BGH39"/>
    <mergeCell ref="BGI38:BGI39"/>
    <mergeCell ref="BGJ38:BGJ39"/>
    <mergeCell ref="BGK38:BGK39"/>
    <mergeCell ref="BGL38:BGL39"/>
    <mergeCell ref="BGM38:BGO38"/>
    <mergeCell ref="BGP38:BGP39"/>
    <mergeCell ref="BGQ38:BGQ39"/>
    <mergeCell ref="BGR38:BGR39"/>
    <mergeCell ref="BGM39:BGO39"/>
    <mergeCell ref="BFU38:BFU39"/>
    <mergeCell ref="BFV38:BFV39"/>
    <mergeCell ref="BFW38:BFY38"/>
    <mergeCell ref="BFZ38:BFZ39"/>
    <mergeCell ref="BGA38:BGA39"/>
    <mergeCell ref="BGB38:BGB39"/>
    <mergeCell ref="BGC38:BGC39"/>
    <mergeCell ref="BGD38:BGD39"/>
    <mergeCell ref="BGE38:BGG38"/>
    <mergeCell ref="BFW39:BFY39"/>
    <mergeCell ref="BGE39:BGG39"/>
    <mergeCell ref="BFJ38:BFJ39"/>
    <mergeCell ref="BFK38:BFK39"/>
    <mergeCell ref="BFL38:BFL39"/>
    <mergeCell ref="BFM38:BFM39"/>
    <mergeCell ref="BFN38:BFN39"/>
    <mergeCell ref="BFO38:BFQ38"/>
    <mergeCell ref="BFR38:BFR39"/>
    <mergeCell ref="BFS38:BFS39"/>
    <mergeCell ref="BFT38:BFT39"/>
    <mergeCell ref="BFO39:BFQ39"/>
    <mergeCell ref="BEW38:BEW39"/>
    <mergeCell ref="BEX38:BEX39"/>
    <mergeCell ref="BEY38:BFA38"/>
    <mergeCell ref="BFB38:BFB39"/>
    <mergeCell ref="BFC38:BFC39"/>
    <mergeCell ref="BFD38:BFD39"/>
    <mergeCell ref="BFE38:BFE39"/>
    <mergeCell ref="BFF38:BFF39"/>
    <mergeCell ref="BFG38:BFI38"/>
    <mergeCell ref="BEY39:BFA39"/>
    <mergeCell ref="BFG39:BFI39"/>
    <mergeCell ref="BEL38:BEL39"/>
    <mergeCell ref="BEM38:BEM39"/>
    <mergeCell ref="BEN38:BEN39"/>
    <mergeCell ref="BEO38:BEO39"/>
    <mergeCell ref="BEP38:BEP39"/>
    <mergeCell ref="BEQ38:BES38"/>
    <mergeCell ref="BET38:BET39"/>
    <mergeCell ref="BEU38:BEU39"/>
    <mergeCell ref="BEV38:BEV39"/>
    <mergeCell ref="BEQ39:BES39"/>
    <mergeCell ref="BDY38:BDY39"/>
    <mergeCell ref="BDZ38:BDZ39"/>
    <mergeCell ref="BEA38:BEC38"/>
    <mergeCell ref="BED38:BED39"/>
    <mergeCell ref="BEE38:BEE39"/>
    <mergeCell ref="BEF38:BEF39"/>
    <mergeCell ref="BEG38:BEG39"/>
    <mergeCell ref="BEH38:BEH39"/>
    <mergeCell ref="BEI38:BEK38"/>
    <mergeCell ref="BEA39:BEC39"/>
    <mergeCell ref="BEI39:BEK39"/>
    <mergeCell ref="BDN38:BDN39"/>
    <mergeCell ref="BDO38:BDO39"/>
    <mergeCell ref="BDP38:BDP39"/>
    <mergeCell ref="BDQ38:BDQ39"/>
    <mergeCell ref="BDR38:BDR39"/>
    <mergeCell ref="BDS38:BDU38"/>
    <mergeCell ref="BDV38:BDV39"/>
    <mergeCell ref="BDW38:BDW39"/>
    <mergeCell ref="BDX38:BDX39"/>
    <mergeCell ref="BDS39:BDU39"/>
    <mergeCell ref="BDA38:BDA39"/>
    <mergeCell ref="BDB38:BDB39"/>
    <mergeCell ref="BDC38:BDE38"/>
    <mergeCell ref="BDF38:BDF39"/>
    <mergeCell ref="BDG38:BDG39"/>
    <mergeCell ref="BDH38:BDH39"/>
    <mergeCell ref="BDI38:BDI39"/>
    <mergeCell ref="BDJ38:BDJ39"/>
    <mergeCell ref="BDK38:BDM38"/>
    <mergeCell ref="BDC39:BDE39"/>
    <mergeCell ref="BDK39:BDM39"/>
    <mergeCell ref="BCP38:BCP39"/>
    <mergeCell ref="BCQ38:BCQ39"/>
    <mergeCell ref="BCR38:BCR39"/>
    <mergeCell ref="BCS38:BCS39"/>
    <mergeCell ref="BCT38:BCT39"/>
    <mergeCell ref="BCU38:BCW38"/>
    <mergeCell ref="BCX38:BCX39"/>
    <mergeCell ref="BCY38:BCY39"/>
    <mergeCell ref="BCZ38:BCZ39"/>
    <mergeCell ref="BCU39:BCW39"/>
    <mergeCell ref="BCC38:BCC39"/>
    <mergeCell ref="BCD38:BCD39"/>
    <mergeCell ref="BCE38:BCG38"/>
    <mergeCell ref="BCH38:BCH39"/>
    <mergeCell ref="BCI38:BCI39"/>
    <mergeCell ref="BCJ38:BCJ39"/>
    <mergeCell ref="BCK38:BCK39"/>
    <mergeCell ref="BCL38:BCL39"/>
    <mergeCell ref="BCM38:BCO38"/>
    <mergeCell ref="BCE39:BCG39"/>
    <mergeCell ref="BCM39:BCO39"/>
    <mergeCell ref="BBR38:BBR39"/>
    <mergeCell ref="BBS38:BBS39"/>
    <mergeCell ref="BBT38:BBT39"/>
    <mergeCell ref="BBU38:BBU39"/>
    <mergeCell ref="BBV38:BBV39"/>
    <mergeCell ref="BBW38:BBY38"/>
    <mergeCell ref="BBZ38:BBZ39"/>
    <mergeCell ref="BCA38:BCA39"/>
    <mergeCell ref="BCB38:BCB39"/>
    <mergeCell ref="BBW39:BBY39"/>
    <mergeCell ref="BBE38:BBE39"/>
    <mergeCell ref="BBF38:BBF39"/>
    <mergeCell ref="BBG38:BBI38"/>
    <mergeCell ref="BBJ38:BBJ39"/>
    <mergeCell ref="BBK38:BBK39"/>
    <mergeCell ref="BBL38:BBL39"/>
    <mergeCell ref="BBM38:BBM39"/>
    <mergeCell ref="BBN38:BBN39"/>
    <mergeCell ref="BBO38:BBQ38"/>
    <mergeCell ref="BBG39:BBI39"/>
    <mergeCell ref="BBO39:BBQ39"/>
    <mergeCell ref="BAT38:BAT39"/>
    <mergeCell ref="BAU38:BAU39"/>
    <mergeCell ref="BAV38:BAV39"/>
    <mergeCell ref="BAW38:BAW39"/>
    <mergeCell ref="BAX38:BAX39"/>
    <mergeCell ref="BAY38:BBA38"/>
    <mergeCell ref="BBB38:BBB39"/>
    <mergeCell ref="BBC38:BBC39"/>
    <mergeCell ref="BBD38:BBD39"/>
    <mergeCell ref="BAY39:BBA39"/>
    <mergeCell ref="BAG38:BAG39"/>
    <mergeCell ref="BAH38:BAH39"/>
    <mergeCell ref="BAI38:BAK38"/>
    <mergeCell ref="BAL38:BAL39"/>
    <mergeCell ref="BAM38:BAM39"/>
    <mergeCell ref="BAN38:BAN39"/>
    <mergeCell ref="BAO38:BAO39"/>
    <mergeCell ref="BAP38:BAP39"/>
    <mergeCell ref="BAQ38:BAS38"/>
    <mergeCell ref="BAI39:BAK39"/>
    <mergeCell ref="BAQ39:BAS39"/>
    <mergeCell ref="AZV38:AZV39"/>
    <mergeCell ref="AZW38:AZW39"/>
    <mergeCell ref="AZX38:AZX39"/>
    <mergeCell ref="AZY38:AZY39"/>
    <mergeCell ref="AZZ38:AZZ39"/>
    <mergeCell ref="BAA38:BAC38"/>
    <mergeCell ref="BAD38:BAD39"/>
    <mergeCell ref="BAE38:BAE39"/>
    <mergeCell ref="BAF38:BAF39"/>
    <mergeCell ref="BAA39:BAC39"/>
    <mergeCell ref="AZI38:AZI39"/>
    <mergeCell ref="AZJ38:AZJ39"/>
    <mergeCell ref="AZK38:AZM38"/>
    <mergeCell ref="AZN38:AZN39"/>
    <mergeCell ref="AZO38:AZO39"/>
    <mergeCell ref="AZP38:AZP39"/>
    <mergeCell ref="AZQ38:AZQ39"/>
    <mergeCell ref="AZR38:AZR39"/>
    <mergeCell ref="AZS38:AZU38"/>
    <mergeCell ref="AZK39:AZM39"/>
    <mergeCell ref="AZS39:AZU39"/>
    <mergeCell ref="AYX38:AYX39"/>
    <mergeCell ref="AYY38:AYY39"/>
    <mergeCell ref="AYZ38:AYZ39"/>
    <mergeCell ref="AZA38:AZA39"/>
    <mergeCell ref="AZB38:AZB39"/>
    <mergeCell ref="AZC38:AZE38"/>
    <mergeCell ref="AZF38:AZF39"/>
    <mergeCell ref="AZG38:AZG39"/>
    <mergeCell ref="AZH38:AZH39"/>
    <mergeCell ref="AZC39:AZE39"/>
    <mergeCell ref="AYK38:AYK39"/>
    <mergeCell ref="AYL38:AYL39"/>
    <mergeCell ref="AYM38:AYO38"/>
    <mergeCell ref="AYP38:AYP39"/>
    <mergeCell ref="AYQ38:AYQ39"/>
    <mergeCell ref="AYR38:AYR39"/>
    <mergeCell ref="AYS38:AYS39"/>
    <mergeCell ref="AYT38:AYT39"/>
    <mergeCell ref="AYU38:AYW38"/>
    <mergeCell ref="AYM39:AYO39"/>
    <mergeCell ref="AYU39:AYW39"/>
    <mergeCell ref="AXZ38:AXZ39"/>
    <mergeCell ref="AYA38:AYA39"/>
    <mergeCell ref="AYB38:AYB39"/>
    <mergeCell ref="AYC38:AYC39"/>
    <mergeCell ref="AYD38:AYD39"/>
    <mergeCell ref="AYE38:AYG38"/>
    <mergeCell ref="AYH38:AYH39"/>
    <mergeCell ref="AYI38:AYI39"/>
    <mergeCell ref="AYJ38:AYJ39"/>
    <mergeCell ref="AYE39:AYG39"/>
    <mergeCell ref="AXM38:AXM39"/>
    <mergeCell ref="AXN38:AXN39"/>
    <mergeCell ref="AXO38:AXQ38"/>
    <mergeCell ref="AXR38:AXR39"/>
    <mergeCell ref="AXS38:AXS39"/>
    <mergeCell ref="AXT38:AXT39"/>
    <mergeCell ref="AXU38:AXU39"/>
    <mergeCell ref="AXV38:AXV39"/>
    <mergeCell ref="AXW38:AXY38"/>
    <mergeCell ref="AXO39:AXQ39"/>
    <mergeCell ref="AXW39:AXY39"/>
    <mergeCell ref="AXB38:AXB39"/>
    <mergeCell ref="AXC38:AXC39"/>
    <mergeCell ref="AXD38:AXD39"/>
    <mergeCell ref="AXE38:AXE39"/>
    <mergeCell ref="AXF38:AXF39"/>
    <mergeCell ref="AXG38:AXI38"/>
    <mergeCell ref="AXJ38:AXJ39"/>
    <mergeCell ref="AXK38:AXK39"/>
    <mergeCell ref="AXL38:AXL39"/>
    <mergeCell ref="AXG39:AXI39"/>
    <mergeCell ref="AWO38:AWO39"/>
    <mergeCell ref="AWP38:AWP39"/>
    <mergeCell ref="AWQ38:AWS38"/>
    <mergeCell ref="AWT38:AWT39"/>
    <mergeCell ref="AWU38:AWU39"/>
    <mergeCell ref="AWV38:AWV39"/>
    <mergeCell ref="AWW38:AWW39"/>
    <mergeCell ref="AWX38:AWX39"/>
    <mergeCell ref="AWY38:AXA38"/>
    <mergeCell ref="AWQ39:AWS39"/>
    <mergeCell ref="AWY39:AXA39"/>
    <mergeCell ref="AWD38:AWD39"/>
    <mergeCell ref="AWE38:AWE39"/>
    <mergeCell ref="AWF38:AWF39"/>
    <mergeCell ref="AWG38:AWG39"/>
    <mergeCell ref="AWH38:AWH39"/>
    <mergeCell ref="AWI38:AWK38"/>
    <mergeCell ref="AWL38:AWL39"/>
    <mergeCell ref="AWM38:AWM39"/>
    <mergeCell ref="AWN38:AWN39"/>
    <mergeCell ref="AWI39:AWK39"/>
    <mergeCell ref="AVQ38:AVQ39"/>
    <mergeCell ref="AVR38:AVR39"/>
    <mergeCell ref="AVS38:AVU38"/>
    <mergeCell ref="AVV38:AVV39"/>
    <mergeCell ref="AVW38:AVW39"/>
    <mergeCell ref="AVX38:AVX39"/>
    <mergeCell ref="AVY38:AVY39"/>
    <mergeCell ref="AVZ38:AVZ39"/>
    <mergeCell ref="AWA38:AWC38"/>
    <mergeCell ref="AVS39:AVU39"/>
    <mergeCell ref="AWA39:AWC39"/>
    <mergeCell ref="AVF38:AVF39"/>
    <mergeCell ref="AVG38:AVG39"/>
    <mergeCell ref="AVH38:AVH39"/>
    <mergeCell ref="AVI38:AVI39"/>
    <mergeCell ref="AVJ38:AVJ39"/>
    <mergeCell ref="AVK38:AVM38"/>
    <mergeCell ref="AVN38:AVN39"/>
    <mergeCell ref="AVO38:AVO39"/>
    <mergeCell ref="AVP38:AVP39"/>
    <mergeCell ref="AVK39:AVM39"/>
    <mergeCell ref="AUS38:AUS39"/>
    <mergeCell ref="AUT38:AUT39"/>
    <mergeCell ref="AUU38:AUW38"/>
    <mergeCell ref="AUX38:AUX39"/>
    <mergeCell ref="AUY38:AUY39"/>
    <mergeCell ref="AUZ38:AUZ39"/>
    <mergeCell ref="AVA38:AVA39"/>
    <mergeCell ref="AVB38:AVB39"/>
    <mergeCell ref="AVC38:AVE38"/>
    <mergeCell ref="AUU39:AUW39"/>
    <mergeCell ref="AVC39:AVE39"/>
    <mergeCell ref="AUH38:AUH39"/>
    <mergeCell ref="AUI38:AUI39"/>
    <mergeCell ref="AUJ38:AUJ39"/>
    <mergeCell ref="AUK38:AUK39"/>
    <mergeCell ref="AUL38:AUL39"/>
    <mergeCell ref="AUM38:AUO38"/>
    <mergeCell ref="AUP38:AUP39"/>
    <mergeCell ref="AUQ38:AUQ39"/>
    <mergeCell ref="AUR38:AUR39"/>
    <mergeCell ref="AUM39:AUO39"/>
    <mergeCell ref="ATU38:ATU39"/>
    <mergeCell ref="ATV38:ATV39"/>
    <mergeCell ref="ATW38:ATY38"/>
    <mergeCell ref="ATZ38:ATZ39"/>
    <mergeCell ref="AUA38:AUA39"/>
    <mergeCell ref="AUB38:AUB39"/>
    <mergeCell ref="AUC38:AUC39"/>
    <mergeCell ref="AUD38:AUD39"/>
    <mergeCell ref="AUE38:AUG38"/>
    <mergeCell ref="ATW39:ATY39"/>
    <mergeCell ref="AUE39:AUG39"/>
    <mergeCell ref="ATJ38:ATJ39"/>
    <mergeCell ref="ATK38:ATK39"/>
    <mergeCell ref="ATL38:ATL39"/>
    <mergeCell ref="ATM38:ATM39"/>
    <mergeCell ref="ATN38:ATN39"/>
    <mergeCell ref="ATO38:ATQ38"/>
    <mergeCell ref="ATR38:ATR39"/>
    <mergeCell ref="ATS38:ATS39"/>
    <mergeCell ref="ATT38:ATT39"/>
    <mergeCell ref="ATO39:ATQ39"/>
    <mergeCell ref="ASW38:ASW39"/>
    <mergeCell ref="ASX38:ASX39"/>
    <mergeCell ref="ASY38:ATA38"/>
    <mergeCell ref="ATB38:ATB39"/>
    <mergeCell ref="ATC38:ATC39"/>
    <mergeCell ref="ATD38:ATD39"/>
    <mergeCell ref="ATE38:ATE39"/>
    <mergeCell ref="ATF38:ATF39"/>
    <mergeCell ref="ATG38:ATI38"/>
    <mergeCell ref="ASY39:ATA39"/>
    <mergeCell ref="ATG39:ATI39"/>
    <mergeCell ref="ASL38:ASL39"/>
    <mergeCell ref="ASM38:ASM39"/>
    <mergeCell ref="ASN38:ASN39"/>
    <mergeCell ref="ASO38:ASO39"/>
    <mergeCell ref="ASP38:ASP39"/>
    <mergeCell ref="ASQ38:ASS38"/>
    <mergeCell ref="AST38:AST39"/>
    <mergeCell ref="ASU38:ASU39"/>
    <mergeCell ref="ASV38:ASV39"/>
    <mergeCell ref="ASQ39:ASS39"/>
    <mergeCell ref="ARY38:ARY39"/>
    <mergeCell ref="ARZ38:ARZ39"/>
    <mergeCell ref="ASA38:ASC38"/>
    <mergeCell ref="ASD38:ASD39"/>
    <mergeCell ref="ASE38:ASE39"/>
    <mergeCell ref="ASF38:ASF39"/>
    <mergeCell ref="ASG38:ASG39"/>
    <mergeCell ref="ASH38:ASH39"/>
    <mergeCell ref="ASI38:ASK38"/>
    <mergeCell ref="ASA39:ASC39"/>
    <mergeCell ref="ASI39:ASK39"/>
    <mergeCell ref="ARN38:ARN39"/>
    <mergeCell ref="ARO38:ARO39"/>
    <mergeCell ref="ARP38:ARP39"/>
    <mergeCell ref="ARQ38:ARQ39"/>
    <mergeCell ref="ARR38:ARR39"/>
    <mergeCell ref="ARS38:ARU38"/>
    <mergeCell ref="ARV38:ARV39"/>
    <mergeCell ref="ARW38:ARW39"/>
    <mergeCell ref="ARX38:ARX39"/>
    <mergeCell ref="ARS39:ARU39"/>
    <mergeCell ref="ARA38:ARA39"/>
    <mergeCell ref="ARB38:ARB39"/>
    <mergeCell ref="ARC38:ARE38"/>
    <mergeCell ref="ARF38:ARF39"/>
    <mergeCell ref="ARG38:ARG39"/>
    <mergeCell ref="ARH38:ARH39"/>
    <mergeCell ref="ARI38:ARI39"/>
    <mergeCell ref="ARJ38:ARJ39"/>
    <mergeCell ref="ARK38:ARM38"/>
    <mergeCell ref="ARC39:ARE39"/>
    <mergeCell ref="ARK39:ARM39"/>
    <mergeCell ref="AQP38:AQP39"/>
    <mergeCell ref="AQQ38:AQQ39"/>
    <mergeCell ref="AQR38:AQR39"/>
    <mergeCell ref="AQS38:AQS39"/>
    <mergeCell ref="AQT38:AQT39"/>
    <mergeCell ref="AQU38:AQW38"/>
    <mergeCell ref="AQX38:AQX39"/>
    <mergeCell ref="AQY38:AQY39"/>
    <mergeCell ref="AQZ38:AQZ39"/>
    <mergeCell ref="AQU39:AQW39"/>
    <mergeCell ref="AQC38:AQC39"/>
    <mergeCell ref="AQD38:AQD39"/>
    <mergeCell ref="AQE38:AQG38"/>
    <mergeCell ref="AQH38:AQH39"/>
    <mergeCell ref="AQI38:AQI39"/>
    <mergeCell ref="AQJ38:AQJ39"/>
    <mergeCell ref="AQK38:AQK39"/>
    <mergeCell ref="AQL38:AQL39"/>
    <mergeCell ref="AQM38:AQO38"/>
    <mergeCell ref="AQE39:AQG39"/>
    <mergeCell ref="AQM39:AQO39"/>
    <mergeCell ref="APR38:APR39"/>
    <mergeCell ref="APS38:APS39"/>
    <mergeCell ref="APT38:APT39"/>
    <mergeCell ref="APU38:APU39"/>
    <mergeCell ref="APV38:APV39"/>
    <mergeCell ref="APW38:APY38"/>
    <mergeCell ref="APZ38:APZ39"/>
    <mergeCell ref="AQA38:AQA39"/>
    <mergeCell ref="AQB38:AQB39"/>
    <mergeCell ref="APW39:APY39"/>
    <mergeCell ref="APE38:APE39"/>
    <mergeCell ref="APF38:APF39"/>
    <mergeCell ref="APG38:API38"/>
    <mergeCell ref="APJ38:APJ39"/>
    <mergeCell ref="APK38:APK39"/>
    <mergeCell ref="APL38:APL39"/>
    <mergeCell ref="APM38:APM39"/>
    <mergeCell ref="APN38:APN39"/>
    <mergeCell ref="APO38:APQ38"/>
    <mergeCell ref="APG39:API39"/>
    <mergeCell ref="APO39:APQ39"/>
    <mergeCell ref="AOT38:AOT39"/>
    <mergeCell ref="AOU38:AOU39"/>
    <mergeCell ref="AOV38:AOV39"/>
    <mergeCell ref="AOW38:AOW39"/>
    <mergeCell ref="AOX38:AOX39"/>
    <mergeCell ref="AOY38:APA38"/>
    <mergeCell ref="APB38:APB39"/>
    <mergeCell ref="APC38:APC39"/>
    <mergeCell ref="APD38:APD39"/>
    <mergeCell ref="AOY39:APA39"/>
    <mergeCell ref="AOG38:AOG39"/>
    <mergeCell ref="AOH38:AOH39"/>
    <mergeCell ref="AOI38:AOK38"/>
    <mergeCell ref="AOL38:AOL39"/>
    <mergeCell ref="AOM38:AOM39"/>
    <mergeCell ref="AON38:AON39"/>
    <mergeCell ref="AOO38:AOO39"/>
    <mergeCell ref="AOP38:AOP39"/>
    <mergeCell ref="AOQ38:AOS38"/>
    <mergeCell ref="AOI39:AOK39"/>
    <mergeCell ref="AOQ39:AOS39"/>
    <mergeCell ref="ANV38:ANV39"/>
    <mergeCell ref="ANW38:ANW39"/>
    <mergeCell ref="ANX38:ANX39"/>
    <mergeCell ref="ANY38:ANY39"/>
    <mergeCell ref="ANZ38:ANZ39"/>
    <mergeCell ref="AOA38:AOC38"/>
    <mergeCell ref="AOD38:AOD39"/>
    <mergeCell ref="AOE38:AOE39"/>
    <mergeCell ref="AOF38:AOF39"/>
    <mergeCell ref="AOA39:AOC39"/>
    <mergeCell ref="ANI38:ANI39"/>
    <mergeCell ref="ANJ38:ANJ39"/>
    <mergeCell ref="ANK38:ANM38"/>
    <mergeCell ref="ANN38:ANN39"/>
    <mergeCell ref="ANO38:ANO39"/>
    <mergeCell ref="ANP38:ANP39"/>
    <mergeCell ref="ANQ38:ANQ39"/>
    <mergeCell ref="ANR38:ANR39"/>
    <mergeCell ref="ANS38:ANU38"/>
    <mergeCell ref="ANK39:ANM39"/>
    <mergeCell ref="ANS39:ANU39"/>
    <mergeCell ref="AMX38:AMX39"/>
    <mergeCell ref="AMY38:AMY39"/>
    <mergeCell ref="AMZ38:AMZ39"/>
    <mergeCell ref="ANA38:ANA39"/>
    <mergeCell ref="ANB38:ANB39"/>
    <mergeCell ref="ANC38:ANE38"/>
    <mergeCell ref="ANF38:ANF39"/>
    <mergeCell ref="ANG38:ANG39"/>
    <mergeCell ref="ANH38:ANH39"/>
    <mergeCell ref="ANC39:ANE39"/>
    <mergeCell ref="AMK38:AMK39"/>
    <mergeCell ref="AML38:AML39"/>
    <mergeCell ref="AMM38:AMO38"/>
    <mergeCell ref="AMP38:AMP39"/>
    <mergeCell ref="AMQ38:AMQ39"/>
    <mergeCell ref="AMR38:AMR39"/>
    <mergeCell ref="AMS38:AMS39"/>
    <mergeCell ref="AMT38:AMT39"/>
    <mergeCell ref="AMU38:AMW38"/>
    <mergeCell ref="AMM39:AMO39"/>
    <mergeCell ref="AMU39:AMW39"/>
    <mergeCell ref="ALZ38:ALZ39"/>
    <mergeCell ref="AMA38:AMA39"/>
    <mergeCell ref="AMB38:AMB39"/>
    <mergeCell ref="AMC38:AMC39"/>
    <mergeCell ref="AMD38:AMD39"/>
    <mergeCell ref="AME38:AMG38"/>
    <mergeCell ref="AMH38:AMH39"/>
    <mergeCell ref="AMI38:AMI39"/>
    <mergeCell ref="AMJ38:AMJ39"/>
    <mergeCell ref="AME39:AMG39"/>
    <mergeCell ref="ALM38:ALM39"/>
    <mergeCell ref="ALN38:ALN39"/>
    <mergeCell ref="ALO38:ALQ38"/>
    <mergeCell ref="ALR38:ALR39"/>
    <mergeCell ref="ALS38:ALS39"/>
    <mergeCell ref="ALT38:ALT39"/>
    <mergeCell ref="ALU38:ALU39"/>
    <mergeCell ref="ALV38:ALV39"/>
    <mergeCell ref="ALW38:ALY38"/>
    <mergeCell ref="ALO39:ALQ39"/>
    <mergeCell ref="ALW39:ALY39"/>
    <mergeCell ref="ALB38:ALB39"/>
    <mergeCell ref="ALC38:ALC39"/>
    <mergeCell ref="ALD38:ALD39"/>
    <mergeCell ref="ALE38:ALE39"/>
    <mergeCell ref="ALF38:ALF39"/>
    <mergeCell ref="ALG38:ALI38"/>
    <mergeCell ref="ALJ38:ALJ39"/>
    <mergeCell ref="ALK38:ALK39"/>
    <mergeCell ref="ALL38:ALL39"/>
    <mergeCell ref="ALG39:ALI39"/>
    <mergeCell ref="AKO38:AKO39"/>
    <mergeCell ref="AKP38:AKP39"/>
    <mergeCell ref="AKQ38:AKS38"/>
    <mergeCell ref="AKT38:AKT39"/>
    <mergeCell ref="AKU38:AKU39"/>
    <mergeCell ref="AKV38:AKV39"/>
    <mergeCell ref="AKW38:AKW39"/>
    <mergeCell ref="AKX38:AKX39"/>
    <mergeCell ref="AKY38:ALA38"/>
    <mergeCell ref="AKQ39:AKS39"/>
    <mergeCell ref="AKY39:ALA39"/>
    <mergeCell ref="AKD38:AKD39"/>
    <mergeCell ref="AKE38:AKE39"/>
    <mergeCell ref="AKF38:AKF39"/>
    <mergeCell ref="AKG38:AKG39"/>
    <mergeCell ref="AKH38:AKH39"/>
    <mergeCell ref="AKI38:AKK38"/>
    <mergeCell ref="AKL38:AKL39"/>
    <mergeCell ref="AKM38:AKM39"/>
    <mergeCell ref="AKN38:AKN39"/>
    <mergeCell ref="AKI39:AKK39"/>
    <mergeCell ref="AJQ38:AJQ39"/>
    <mergeCell ref="AJR38:AJR39"/>
    <mergeCell ref="AJS38:AJU38"/>
    <mergeCell ref="AJV38:AJV39"/>
    <mergeCell ref="AJW38:AJW39"/>
    <mergeCell ref="AJX38:AJX39"/>
    <mergeCell ref="AJY38:AJY39"/>
    <mergeCell ref="AJZ38:AJZ39"/>
    <mergeCell ref="AKA38:AKC38"/>
    <mergeCell ref="AJS39:AJU39"/>
    <mergeCell ref="AKA39:AKC39"/>
    <mergeCell ref="AJF38:AJF39"/>
    <mergeCell ref="AJG38:AJG39"/>
    <mergeCell ref="AJH38:AJH39"/>
    <mergeCell ref="AJI38:AJI39"/>
    <mergeCell ref="AJJ38:AJJ39"/>
    <mergeCell ref="AJK38:AJM38"/>
    <mergeCell ref="AJN38:AJN39"/>
    <mergeCell ref="AJO38:AJO39"/>
    <mergeCell ref="AJP38:AJP39"/>
    <mergeCell ref="AJK39:AJM39"/>
    <mergeCell ref="AIS38:AIS39"/>
    <mergeCell ref="AIT38:AIT39"/>
    <mergeCell ref="AIU38:AIW38"/>
    <mergeCell ref="AIX38:AIX39"/>
    <mergeCell ref="AIY38:AIY39"/>
    <mergeCell ref="AIZ38:AIZ39"/>
    <mergeCell ref="AJA38:AJA39"/>
    <mergeCell ref="AJB38:AJB39"/>
    <mergeCell ref="AJC38:AJE38"/>
    <mergeCell ref="AIU39:AIW39"/>
    <mergeCell ref="AJC39:AJE39"/>
    <mergeCell ref="AIH38:AIH39"/>
    <mergeCell ref="AII38:AII39"/>
    <mergeCell ref="AIJ38:AIJ39"/>
    <mergeCell ref="AIK38:AIK39"/>
    <mergeCell ref="AIL38:AIL39"/>
    <mergeCell ref="AIM38:AIO38"/>
    <mergeCell ref="AIP38:AIP39"/>
    <mergeCell ref="AIQ38:AIQ39"/>
    <mergeCell ref="AIR38:AIR39"/>
    <mergeCell ref="AIM39:AIO39"/>
    <mergeCell ref="AHU38:AHU39"/>
    <mergeCell ref="AHV38:AHV39"/>
    <mergeCell ref="AHW38:AHY38"/>
    <mergeCell ref="AHZ38:AHZ39"/>
    <mergeCell ref="AIA38:AIA39"/>
    <mergeCell ref="AIB38:AIB39"/>
    <mergeCell ref="AIC38:AIC39"/>
    <mergeCell ref="AID38:AID39"/>
    <mergeCell ref="AIE38:AIG38"/>
    <mergeCell ref="AHW39:AHY39"/>
    <mergeCell ref="AIE39:AIG39"/>
    <mergeCell ref="AHJ38:AHJ39"/>
    <mergeCell ref="AHK38:AHK39"/>
    <mergeCell ref="AHL38:AHL39"/>
    <mergeCell ref="AHM38:AHM39"/>
    <mergeCell ref="AHN38:AHN39"/>
    <mergeCell ref="AHO38:AHQ38"/>
    <mergeCell ref="AHR38:AHR39"/>
    <mergeCell ref="AHS38:AHS39"/>
    <mergeCell ref="AHT38:AHT39"/>
    <mergeCell ref="AHO39:AHQ39"/>
    <mergeCell ref="AGW38:AGW39"/>
    <mergeCell ref="AGX38:AGX39"/>
    <mergeCell ref="AGY38:AHA38"/>
    <mergeCell ref="AHB38:AHB39"/>
    <mergeCell ref="AHC38:AHC39"/>
    <mergeCell ref="AHD38:AHD39"/>
    <mergeCell ref="AHE38:AHE39"/>
    <mergeCell ref="AHF38:AHF39"/>
    <mergeCell ref="AHG38:AHI38"/>
    <mergeCell ref="AGY39:AHA39"/>
    <mergeCell ref="AHG39:AHI39"/>
    <mergeCell ref="AGL38:AGL39"/>
    <mergeCell ref="AGM38:AGM39"/>
    <mergeCell ref="AGN38:AGN39"/>
    <mergeCell ref="AGO38:AGO39"/>
    <mergeCell ref="AGP38:AGP39"/>
    <mergeCell ref="AGQ38:AGS38"/>
    <mergeCell ref="AGT38:AGT39"/>
    <mergeCell ref="AGU38:AGU39"/>
    <mergeCell ref="AGV38:AGV39"/>
    <mergeCell ref="AGQ39:AGS39"/>
    <mergeCell ref="AFY38:AFY39"/>
    <mergeCell ref="AFZ38:AFZ39"/>
    <mergeCell ref="AGA38:AGC38"/>
    <mergeCell ref="AGD38:AGD39"/>
    <mergeCell ref="AGE38:AGE39"/>
    <mergeCell ref="AGF38:AGF39"/>
    <mergeCell ref="AGG38:AGG39"/>
    <mergeCell ref="AGH38:AGH39"/>
    <mergeCell ref="AGI38:AGK38"/>
    <mergeCell ref="AGA39:AGC39"/>
    <mergeCell ref="AGI39:AGK39"/>
    <mergeCell ref="AFN38:AFN39"/>
    <mergeCell ref="AFO38:AFO39"/>
    <mergeCell ref="AFP38:AFP39"/>
    <mergeCell ref="AFQ38:AFQ39"/>
    <mergeCell ref="AFR38:AFR39"/>
    <mergeCell ref="AFS38:AFU38"/>
    <mergeCell ref="AFV38:AFV39"/>
    <mergeCell ref="AFW38:AFW39"/>
    <mergeCell ref="AFX38:AFX39"/>
    <mergeCell ref="AFS39:AFU39"/>
    <mergeCell ref="AFA38:AFA39"/>
    <mergeCell ref="AFB38:AFB39"/>
    <mergeCell ref="AFC38:AFE38"/>
    <mergeCell ref="AFF38:AFF39"/>
    <mergeCell ref="AFG38:AFG39"/>
    <mergeCell ref="AFH38:AFH39"/>
    <mergeCell ref="AFI38:AFI39"/>
    <mergeCell ref="AFJ38:AFJ39"/>
    <mergeCell ref="AFK38:AFM38"/>
    <mergeCell ref="AFC39:AFE39"/>
    <mergeCell ref="AFK39:AFM39"/>
    <mergeCell ref="AEP38:AEP39"/>
    <mergeCell ref="AEQ38:AEQ39"/>
    <mergeCell ref="AER38:AER39"/>
    <mergeCell ref="AES38:AES39"/>
    <mergeCell ref="AET38:AET39"/>
    <mergeCell ref="AEU38:AEW38"/>
    <mergeCell ref="AEX38:AEX39"/>
    <mergeCell ref="AEY38:AEY39"/>
    <mergeCell ref="AEZ38:AEZ39"/>
    <mergeCell ref="AEU39:AEW39"/>
    <mergeCell ref="AEC38:AEC39"/>
    <mergeCell ref="AED38:AED39"/>
    <mergeCell ref="AEE38:AEG38"/>
    <mergeCell ref="AEH38:AEH39"/>
    <mergeCell ref="AEI38:AEI39"/>
    <mergeCell ref="AEJ38:AEJ39"/>
    <mergeCell ref="AEK38:AEK39"/>
    <mergeCell ref="AEL38:AEL39"/>
    <mergeCell ref="AEM38:AEO38"/>
    <mergeCell ref="AEE39:AEG39"/>
    <mergeCell ref="AEM39:AEO39"/>
    <mergeCell ref="ADR38:ADR39"/>
    <mergeCell ref="ADS38:ADS39"/>
    <mergeCell ref="ADT38:ADT39"/>
    <mergeCell ref="ADU38:ADU39"/>
    <mergeCell ref="ADV38:ADV39"/>
    <mergeCell ref="ADW38:ADY38"/>
    <mergeCell ref="ADZ38:ADZ39"/>
    <mergeCell ref="AEA38:AEA39"/>
    <mergeCell ref="AEB38:AEB39"/>
    <mergeCell ref="ADW39:ADY39"/>
    <mergeCell ref="ADE38:ADE39"/>
    <mergeCell ref="ADF38:ADF39"/>
    <mergeCell ref="ADG38:ADI38"/>
    <mergeCell ref="ADJ38:ADJ39"/>
    <mergeCell ref="ADK38:ADK39"/>
    <mergeCell ref="ADL38:ADL39"/>
    <mergeCell ref="ADM38:ADM39"/>
    <mergeCell ref="ADN38:ADN39"/>
    <mergeCell ref="ADO38:ADQ38"/>
    <mergeCell ref="ADG39:ADI39"/>
    <mergeCell ref="ADO39:ADQ39"/>
    <mergeCell ref="ACT38:ACT39"/>
    <mergeCell ref="ACU38:ACU39"/>
    <mergeCell ref="ACV38:ACV39"/>
    <mergeCell ref="ACW38:ACW39"/>
    <mergeCell ref="ACX38:ACX39"/>
    <mergeCell ref="ACY38:ADA38"/>
    <mergeCell ref="ADB38:ADB39"/>
    <mergeCell ref="ADC38:ADC39"/>
    <mergeCell ref="ADD38:ADD39"/>
    <mergeCell ref="ACY39:ADA39"/>
    <mergeCell ref="ACG38:ACG39"/>
    <mergeCell ref="ACH38:ACH39"/>
    <mergeCell ref="ACI38:ACK38"/>
    <mergeCell ref="ACL38:ACL39"/>
    <mergeCell ref="ACM38:ACM39"/>
    <mergeCell ref="ACN38:ACN39"/>
    <mergeCell ref="ACO38:ACO39"/>
    <mergeCell ref="ACP38:ACP39"/>
    <mergeCell ref="ACQ38:ACS38"/>
    <mergeCell ref="ACI39:ACK39"/>
    <mergeCell ref="ACQ39:ACS39"/>
    <mergeCell ref="ABV38:ABV39"/>
    <mergeCell ref="ABW38:ABW39"/>
    <mergeCell ref="ABX38:ABX39"/>
    <mergeCell ref="ABY38:ABY39"/>
    <mergeCell ref="ABZ38:ABZ39"/>
    <mergeCell ref="ACA38:ACC38"/>
    <mergeCell ref="ACD38:ACD39"/>
    <mergeCell ref="ACE38:ACE39"/>
    <mergeCell ref="ACF38:ACF39"/>
    <mergeCell ref="ACA39:ACC39"/>
    <mergeCell ref="ABI38:ABI39"/>
    <mergeCell ref="ABJ38:ABJ39"/>
    <mergeCell ref="ABK38:ABM38"/>
    <mergeCell ref="ABN38:ABN39"/>
    <mergeCell ref="ABO38:ABO39"/>
    <mergeCell ref="ABP38:ABP39"/>
    <mergeCell ref="ABQ38:ABQ39"/>
    <mergeCell ref="ABR38:ABR39"/>
    <mergeCell ref="ABS38:ABU38"/>
    <mergeCell ref="ABK39:ABM39"/>
    <mergeCell ref="ABS39:ABU39"/>
    <mergeCell ref="AAX38:AAX39"/>
    <mergeCell ref="AAY38:AAY39"/>
    <mergeCell ref="AAZ38:AAZ39"/>
    <mergeCell ref="ABA38:ABA39"/>
    <mergeCell ref="ABB38:ABB39"/>
    <mergeCell ref="ABC38:ABE38"/>
    <mergeCell ref="ABF38:ABF39"/>
    <mergeCell ref="ABG38:ABG39"/>
    <mergeCell ref="ABH38:ABH39"/>
    <mergeCell ref="ABC39:ABE39"/>
    <mergeCell ref="AAK38:AAK39"/>
    <mergeCell ref="AAL38:AAL39"/>
    <mergeCell ref="AAM38:AAO38"/>
    <mergeCell ref="AAP38:AAP39"/>
    <mergeCell ref="AAQ38:AAQ39"/>
    <mergeCell ref="AAR38:AAR39"/>
    <mergeCell ref="AAS38:AAS39"/>
    <mergeCell ref="AAT38:AAT39"/>
    <mergeCell ref="AAU38:AAW38"/>
    <mergeCell ref="AAM39:AAO39"/>
    <mergeCell ref="AAU39:AAW39"/>
    <mergeCell ref="ZZ38:ZZ39"/>
    <mergeCell ref="AAA38:AAA39"/>
    <mergeCell ref="AAB38:AAB39"/>
    <mergeCell ref="AAC38:AAC39"/>
    <mergeCell ref="AAD38:AAD39"/>
    <mergeCell ref="AAE38:AAG38"/>
    <mergeCell ref="AAH38:AAH39"/>
    <mergeCell ref="AAI38:AAI39"/>
    <mergeCell ref="AAJ38:AAJ39"/>
    <mergeCell ref="AAE39:AAG39"/>
    <mergeCell ref="ZM38:ZM39"/>
    <mergeCell ref="ZN38:ZN39"/>
    <mergeCell ref="ZO38:ZQ38"/>
    <mergeCell ref="ZR38:ZR39"/>
    <mergeCell ref="ZS38:ZS39"/>
    <mergeCell ref="ZT38:ZT39"/>
    <mergeCell ref="ZU38:ZU39"/>
    <mergeCell ref="ZV38:ZV39"/>
    <mergeCell ref="ZW38:ZY38"/>
    <mergeCell ref="ZO39:ZQ39"/>
    <mergeCell ref="ZW39:ZY39"/>
    <mergeCell ref="ZB38:ZB39"/>
    <mergeCell ref="ZC38:ZC39"/>
    <mergeCell ref="ZD38:ZD39"/>
    <mergeCell ref="ZE38:ZE39"/>
    <mergeCell ref="ZF38:ZF39"/>
    <mergeCell ref="ZG38:ZI38"/>
    <mergeCell ref="ZJ38:ZJ39"/>
    <mergeCell ref="ZK38:ZK39"/>
    <mergeCell ref="ZL38:ZL39"/>
    <mergeCell ref="ZG39:ZI39"/>
    <mergeCell ref="YO38:YO39"/>
    <mergeCell ref="YP38:YP39"/>
    <mergeCell ref="YQ38:YS38"/>
    <mergeCell ref="YT38:YT39"/>
    <mergeCell ref="YU38:YU39"/>
    <mergeCell ref="YV38:YV39"/>
    <mergeCell ref="YW38:YW39"/>
    <mergeCell ref="YX38:YX39"/>
    <mergeCell ref="YY38:ZA38"/>
    <mergeCell ref="YQ39:YS39"/>
    <mergeCell ref="YY39:ZA39"/>
    <mergeCell ref="YD38:YD39"/>
    <mergeCell ref="YE38:YE39"/>
    <mergeCell ref="YF38:YF39"/>
    <mergeCell ref="YG38:YG39"/>
    <mergeCell ref="YH38:YH39"/>
    <mergeCell ref="YI38:YK38"/>
    <mergeCell ref="YL38:YL39"/>
    <mergeCell ref="YM38:YM39"/>
    <mergeCell ref="YN38:YN39"/>
    <mergeCell ref="YI39:YK39"/>
    <mergeCell ref="XQ38:XQ39"/>
    <mergeCell ref="XR38:XR39"/>
    <mergeCell ref="XS38:XU38"/>
    <mergeCell ref="XV38:XV39"/>
    <mergeCell ref="XW38:XW39"/>
    <mergeCell ref="XX38:XX39"/>
    <mergeCell ref="XY38:XY39"/>
    <mergeCell ref="XZ38:XZ39"/>
    <mergeCell ref="YA38:YC38"/>
    <mergeCell ref="XS39:XU39"/>
    <mergeCell ref="YA39:YC39"/>
    <mergeCell ref="XF38:XF39"/>
    <mergeCell ref="XG38:XG39"/>
    <mergeCell ref="XH38:XH39"/>
    <mergeCell ref="XI38:XI39"/>
    <mergeCell ref="XJ38:XJ39"/>
    <mergeCell ref="XK38:XM38"/>
    <mergeCell ref="XN38:XN39"/>
    <mergeCell ref="XO38:XO39"/>
    <mergeCell ref="XP38:XP39"/>
    <mergeCell ref="XK39:XM39"/>
    <mergeCell ref="WS38:WS39"/>
    <mergeCell ref="WT38:WT39"/>
    <mergeCell ref="WU38:WW38"/>
    <mergeCell ref="WX38:WX39"/>
    <mergeCell ref="WY38:WY39"/>
    <mergeCell ref="WZ38:WZ39"/>
    <mergeCell ref="XA38:XA39"/>
    <mergeCell ref="XB38:XB39"/>
    <mergeCell ref="XC38:XE38"/>
    <mergeCell ref="WU39:WW39"/>
    <mergeCell ref="XC39:XE39"/>
    <mergeCell ref="WH38:WH39"/>
    <mergeCell ref="WI38:WI39"/>
    <mergeCell ref="WJ38:WJ39"/>
    <mergeCell ref="WK38:WK39"/>
    <mergeCell ref="WL38:WL39"/>
    <mergeCell ref="WM38:WO38"/>
    <mergeCell ref="WP38:WP39"/>
    <mergeCell ref="WQ38:WQ39"/>
    <mergeCell ref="WR38:WR39"/>
    <mergeCell ref="WM39:WO39"/>
    <mergeCell ref="VU38:VU39"/>
    <mergeCell ref="VV38:VV39"/>
    <mergeCell ref="VW38:VY38"/>
    <mergeCell ref="VZ38:VZ39"/>
    <mergeCell ref="WA38:WA39"/>
    <mergeCell ref="WB38:WB39"/>
    <mergeCell ref="WC38:WC39"/>
    <mergeCell ref="WD38:WD39"/>
    <mergeCell ref="WE38:WG38"/>
    <mergeCell ref="VW39:VY39"/>
    <mergeCell ref="WE39:WG39"/>
    <mergeCell ref="VJ38:VJ39"/>
    <mergeCell ref="VK38:VK39"/>
    <mergeCell ref="VL38:VL39"/>
    <mergeCell ref="VM38:VM39"/>
    <mergeCell ref="VN38:VN39"/>
    <mergeCell ref="VO38:VQ38"/>
    <mergeCell ref="VR38:VR39"/>
    <mergeCell ref="VS38:VS39"/>
    <mergeCell ref="VT38:VT39"/>
    <mergeCell ref="VO39:VQ39"/>
    <mergeCell ref="UW38:UW39"/>
    <mergeCell ref="UX38:UX39"/>
    <mergeCell ref="UY38:VA38"/>
    <mergeCell ref="VB38:VB39"/>
    <mergeCell ref="VC38:VC39"/>
    <mergeCell ref="VD38:VD39"/>
    <mergeCell ref="VE38:VE39"/>
    <mergeCell ref="VF38:VF39"/>
    <mergeCell ref="VG38:VI38"/>
    <mergeCell ref="UY39:VA39"/>
    <mergeCell ref="VG39:VI39"/>
    <mergeCell ref="UL38:UL39"/>
    <mergeCell ref="UM38:UM39"/>
    <mergeCell ref="UN38:UN39"/>
    <mergeCell ref="UO38:UO39"/>
    <mergeCell ref="UP38:UP39"/>
    <mergeCell ref="UQ38:US38"/>
    <mergeCell ref="UT38:UT39"/>
    <mergeCell ref="UU38:UU39"/>
    <mergeCell ref="UV38:UV39"/>
    <mergeCell ref="UQ39:US39"/>
    <mergeCell ref="TY38:TY39"/>
    <mergeCell ref="TZ38:TZ39"/>
    <mergeCell ref="UA38:UC38"/>
    <mergeCell ref="UD38:UD39"/>
    <mergeCell ref="UE38:UE39"/>
    <mergeCell ref="UF38:UF39"/>
    <mergeCell ref="UG38:UG39"/>
    <mergeCell ref="UH38:UH39"/>
    <mergeCell ref="UI38:UK38"/>
    <mergeCell ref="UA39:UC39"/>
    <mergeCell ref="UI39:UK39"/>
    <mergeCell ref="TN38:TN39"/>
    <mergeCell ref="TO38:TO39"/>
    <mergeCell ref="TP38:TP39"/>
    <mergeCell ref="TQ38:TQ39"/>
    <mergeCell ref="TR38:TR39"/>
    <mergeCell ref="TS38:TU38"/>
    <mergeCell ref="TV38:TV39"/>
    <mergeCell ref="TW38:TW39"/>
    <mergeCell ref="TX38:TX39"/>
    <mergeCell ref="TS39:TU39"/>
    <mergeCell ref="TA38:TA39"/>
    <mergeCell ref="TB38:TB39"/>
    <mergeCell ref="TC38:TE38"/>
    <mergeCell ref="TF38:TF39"/>
    <mergeCell ref="TG38:TG39"/>
    <mergeCell ref="TH38:TH39"/>
    <mergeCell ref="TI38:TI39"/>
    <mergeCell ref="TJ38:TJ39"/>
    <mergeCell ref="TK38:TM38"/>
    <mergeCell ref="TC39:TE39"/>
    <mergeCell ref="TK39:TM39"/>
    <mergeCell ref="SP38:SP39"/>
    <mergeCell ref="SQ38:SQ39"/>
    <mergeCell ref="SR38:SR39"/>
    <mergeCell ref="SS38:SS39"/>
    <mergeCell ref="ST38:ST39"/>
    <mergeCell ref="SU38:SW38"/>
    <mergeCell ref="SX38:SX39"/>
    <mergeCell ref="SY38:SY39"/>
    <mergeCell ref="SZ38:SZ39"/>
    <mergeCell ref="SU39:SW39"/>
    <mergeCell ref="SC38:SC39"/>
    <mergeCell ref="SD38:SD39"/>
    <mergeCell ref="SE38:SG38"/>
    <mergeCell ref="SH38:SH39"/>
    <mergeCell ref="SI38:SI39"/>
    <mergeCell ref="SJ38:SJ39"/>
    <mergeCell ref="SK38:SK39"/>
    <mergeCell ref="SL38:SL39"/>
    <mergeCell ref="SM38:SO38"/>
    <mergeCell ref="SE39:SG39"/>
    <mergeCell ref="SM39:SO39"/>
    <mergeCell ref="RR38:RR39"/>
    <mergeCell ref="RS38:RS39"/>
    <mergeCell ref="RT38:RT39"/>
    <mergeCell ref="RU38:RU39"/>
    <mergeCell ref="RV38:RV39"/>
    <mergeCell ref="RW38:RY38"/>
    <mergeCell ref="RZ38:RZ39"/>
    <mergeCell ref="SA38:SA39"/>
    <mergeCell ref="SB38:SB39"/>
    <mergeCell ref="RW39:RY39"/>
    <mergeCell ref="RE38:RE39"/>
    <mergeCell ref="RF38:RF39"/>
    <mergeCell ref="RG38:RI38"/>
    <mergeCell ref="RJ38:RJ39"/>
    <mergeCell ref="RK38:RK39"/>
    <mergeCell ref="RL38:RL39"/>
    <mergeCell ref="RM38:RM39"/>
    <mergeCell ref="RN38:RN39"/>
    <mergeCell ref="RO38:RQ38"/>
    <mergeCell ref="RG39:RI39"/>
    <mergeCell ref="RO39:RQ39"/>
    <mergeCell ref="QT38:QT39"/>
    <mergeCell ref="QU38:QU39"/>
    <mergeCell ref="QV38:QV39"/>
    <mergeCell ref="QW38:QW39"/>
    <mergeCell ref="QX38:QX39"/>
    <mergeCell ref="QY38:RA38"/>
    <mergeCell ref="RB38:RB39"/>
    <mergeCell ref="RC38:RC39"/>
    <mergeCell ref="RD38:RD39"/>
    <mergeCell ref="QY39:RA39"/>
    <mergeCell ref="QG38:QG39"/>
    <mergeCell ref="QH38:QH39"/>
    <mergeCell ref="QI38:QK38"/>
    <mergeCell ref="QL38:QL39"/>
    <mergeCell ref="QM38:QM39"/>
    <mergeCell ref="QN38:QN39"/>
    <mergeCell ref="QO38:QO39"/>
    <mergeCell ref="QP38:QP39"/>
    <mergeCell ref="QQ38:QS38"/>
    <mergeCell ref="QI39:QK39"/>
    <mergeCell ref="QQ39:QS39"/>
    <mergeCell ref="PV38:PV39"/>
    <mergeCell ref="PW38:PW39"/>
    <mergeCell ref="PX38:PX39"/>
    <mergeCell ref="PY38:PY39"/>
    <mergeCell ref="PZ38:PZ39"/>
    <mergeCell ref="QA38:QC38"/>
    <mergeCell ref="QD38:QD39"/>
    <mergeCell ref="QE38:QE39"/>
    <mergeCell ref="QF38:QF39"/>
    <mergeCell ref="QA39:QC39"/>
    <mergeCell ref="PI38:PI39"/>
    <mergeCell ref="PJ38:PJ39"/>
    <mergeCell ref="PK38:PM38"/>
    <mergeCell ref="PN38:PN39"/>
    <mergeCell ref="PO38:PO39"/>
    <mergeCell ref="PP38:PP39"/>
    <mergeCell ref="PQ38:PQ39"/>
    <mergeCell ref="PR38:PR39"/>
    <mergeCell ref="PS38:PU38"/>
    <mergeCell ref="PK39:PM39"/>
    <mergeCell ref="PS39:PU39"/>
    <mergeCell ref="OX38:OX39"/>
    <mergeCell ref="OY38:OY39"/>
    <mergeCell ref="OZ38:OZ39"/>
    <mergeCell ref="PA38:PA39"/>
    <mergeCell ref="PB38:PB39"/>
    <mergeCell ref="PC38:PE38"/>
    <mergeCell ref="PF38:PF39"/>
    <mergeCell ref="PG38:PG39"/>
    <mergeCell ref="PH38:PH39"/>
    <mergeCell ref="PC39:PE39"/>
    <mergeCell ref="OK38:OK39"/>
    <mergeCell ref="OL38:OL39"/>
    <mergeCell ref="OM38:OO38"/>
    <mergeCell ref="OP38:OP39"/>
    <mergeCell ref="OQ38:OQ39"/>
    <mergeCell ref="OR38:OR39"/>
    <mergeCell ref="OS38:OS39"/>
    <mergeCell ref="OT38:OT39"/>
    <mergeCell ref="OU38:OW38"/>
    <mergeCell ref="OM39:OO39"/>
    <mergeCell ref="OU39:OW39"/>
    <mergeCell ref="NZ38:NZ39"/>
    <mergeCell ref="OA38:OA39"/>
    <mergeCell ref="OB38:OB39"/>
    <mergeCell ref="OC38:OC39"/>
    <mergeCell ref="OD38:OD39"/>
    <mergeCell ref="OE38:OG38"/>
    <mergeCell ref="OH38:OH39"/>
    <mergeCell ref="OI38:OI39"/>
    <mergeCell ref="OJ38:OJ39"/>
    <mergeCell ref="OE39:OG39"/>
    <mergeCell ref="NM38:NM39"/>
    <mergeCell ref="NN38:NN39"/>
    <mergeCell ref="NO38:NQ38"/>
    <mergeCell ref="NR38:NR39"/>
    <mergeCell ref="NS38:NS39"/>
    <mergeCell ref="NT38:NT39"/>
    <mergeCell ref="NU38:NU39"/>
    <mergeCell ref="NV38:NV39"/>
    <mergeCell ref="NW38:NY38"/>
    <mergeCell ref="NO39:NQ39"/>
    <mergeCell ref="NW39:NY39"/>
    <mergeCell ref="NB38:NB39"/>
    <mergeCell ref="NC38:NC39"/>
    <mergeCell ref="ND38:ND39"/>
    <mergeCell ref="NE38:NE39"/>
    <mergeCell ref="NF38:NF39"/>
    <mergeCell ref="NG38:NI38"/>
    <mergeCell ref="NJ38:NJ39"/>
    <mergeCell ref="NK38:NK39"/>
    <mergeCell ref="NL38:NL39"/>
    <mergeCell ref="NG39:NI39"/>
    <mergeCell ref="MO38:MO39"/>
    <mergeCell ref="MP38:MP39"/>
    <mergeCell ref="MQ38:MS38"/>
    <mergeCell ref="MT38:MT39"/>
    <mergeCell ref="MU38:MU39"/>
    <mergeCell ref="MV38:MV39"/>
    <mergeCell ref="MW38:MW39"/>
    <mergeCell ref="MX38:MX39"/>
    <mergeCell ref="MY38:NA38"/>
    <mergeCell ref="MQ39:MS39"/>
    <mergeCell ref="MY39:NA39"/>
    <mergeCell ref="MD38:MD39"/>
    <mergeCell ref="ME38:ME39"/>
    <mergeCell ref="MF38:MF39"/>
    <mergeCell ref="MG38:MG39"/>
    <mergeCell ref="MH38:MH39"/>
    <mergeCell ref="MI38:MK38"/>
    <mergeCell ref="ML38:ML39"/>
    <mergeCell ref="MM38:MM39"/>
    <mergeCell ref="MN38:MN39"/>
    <mergeCell ref="MI39:MK39"/>
    <mergeCell ref="LQ38:LQ39"/>
    <mergeCell ref="LR38:LR39"/>
    <mergeCell ref="LS38:LU38"/>
    <mergeCell ref="LV38:LV39"/>
    <mergeCell ref="LW38:LW39"/>
    <mergeCell ref="LX38:LX39"/>
    <mergeCell ref="LY38:LY39"/>
    <mergeCell ref="LZ38:LZ39"/>
    <mergeCell ref="MA38:MC38"/>
    <mergeCell ref="LS39:LU39"/>
    <mergeCell ref="MA39:MC39"/>
    <mergeCell ref="LF38:LF39"/>
    <mergeCell ref="LG38:LG39"/>
    <mergeCell ref="LH38:LH39"/>
    <mergeCell ref="LI38:LI39"/>
    <mergeCell ref="LJ38:LJ39"/>
    <mergeCell ref="LK38:LM38"/>
    <mergeCell ref="LN38:LN39"/>
    <mergeCell ref="LO38:LO39"/>
    <mergeCell ref="LP38:LP39"/>
    <mergeCell ref="LK39:LM39"/>
    <mergeCell ref="KS38:KS39"/>
    <mergeCell ref="KT38:KT39"/>
    <mergeCell ref="KU38:KW38"/>
    <mergeCell ref="KX38:KX39"/>
    <mergeCell ref="KY38:KY39"/>
    <mergeCell ref="KZ38:KZ39"/>
    <mergeCell ref="LA38:LA39"/>
    <mergeCell ref="LB38:LB39"/>
    <mergeCell ref="LC38:LE38"/>
    <mergeCell ref="KU39:KW39"/>
    <mergeCell ref="LC39:LE39"/>
    <mergeCell ref="KP38:KP39"/>
    <mergeCell ref="KQ38:KQ39"/>
    <mergeCell ref="KR38:KR39"/>
    <mergeCell ref="KM39:KO39"/>
    <mergeCell ref="JU38:JU39"/>
    <mergeCell ref="JV38:JV39"/>
    <mergeCell ref="JW38:JY38"/>
    <mergeCell ref="JZ38:JZ39"/>
    <mergeCell ref="KA38:KA39"/>
    <mergeCell ref="KB38:KB39"/>
    <mergeCell ref="KC38:KC39"/>
    <mergeCell ref="KD38:KD39"/>
    <mergeCell ref="KE38:KG38"/>
    <mergeCell ref="JW39:JY39"/>
    <mergeCell ref="KE39:KG39"/>
    <mergeCell ref="JJ38:JJ39"/>
    <mergeCell ref="JK38:JK39"/>
    <mergeCell ref="JL38:JL39"/>
    <mergeCell ref="JM38:JM39"/>
    <mergeCell ref="JN38:JN39"/>
    <mergeCell ref="JO38:JQ38"/>
    <mergeCell ref="JR38:JR39"/>
    <mergeCell ref="JS38:JS39"/>
    <mergeCell ref="JT38:JT39"/>
    <mergeCell ref="JO39:JQ39"/>
    <mergeCell ref="IW38:IW39"/>
    <mergeCell ref="IX38:IX39"/>
    <mergeCell ref="IY38:JA38"/>
    <mergeCell ref="JB38:JB39"/>
    <mergeCell ref="JC38:JC39"/>
    <mergeCell ref="JD38:JD39"/>
    <mergeCell ref="JE38:JE39"/>
    <mergeCell ref="JF38:JF39"/>
    <mergeCell ref="JG38:JI38"/>
    <mergeCell ref="IY39:JA39"/>
    <mergeCell ref="JG39:JI39"/>
    <mergeCell ref="IU38:IU39"/>
    <mergeCell ref="IV38:IV39"/>
    <mergeCell ref="IQ39:IS39"/>
    <mergeCell ref="HY38:HY39"/>
    <mergeCell ref="HZ38:HZ39"/>
    <mergeCell ref="IA38:IC38"/>
    <mergeCell ref="ID38:ID39"/>
    <mergeCell ref="IE38:IE39"/>
    <mergeCell ref="IF38:IF39"/>
    <mergeCell ref="IG38:IG39"/>
    <mergeCell ref="IH38:IH39"/>
    <mergeCell ref="II38:IK38"/>
    <mergeCell ref="IA39:IC39"/>
    <mergeCell ref="II39:IK39"/>
    <mergeCell ref="HN38:HN39"/>
    <mergeCell ref="HO38:HO39"/>
    <mergeCell ref="HP38:HP39"/>
    <mergeCell ref="HQ38:HQ39"/>
    <mergeCell ref="HR38:HR39"/>
    <mergeCell ref="HS38:HU38"/>
    <mergeCell ref="HV38:HV39"/>
    <mergeCell ref="HW38:HW39"/>
    <mergeCell ref="HX38:HX39"/>
    <mergeCell ref="HS39:HU39"/>
    <mergeCell ref="HJ38:HJ39"/>
    <mergeCell ref="HK38:HM38"/>
    <mergeCell ref="HK39:HM39"/>
    <mergeCell ref="KH38:KH39"/>
    <mergeCell ref="KI38:KI39"/>
    <mergeCell ref="KJ38:KJ39"/>
    <mergeCell ref="KK38:KK39"/>
    <mergeCell ref="KL38:KL39"/>
    <mergeCell ref="KM38:KO38"/>
    <mergeCell ref="I29:K29"/>
    <mergeCell ref="I30:K30"/>
    <mergeCell ref="I31:K31"/>
    <mergeCell ref="I32:K32"/>
    <mergeCell ref="I33:K33"/>
    <mergeCell ref="I34:K34"/>
    <mergeCell ref="I35:K35"/>
    <mergeCell ref="I36:K36"/>
    <mergeCell ref="I37:K37"/>
    <mergeCell ref="C35:E35"/>
    <mergeCell ref="C36:E36"/>
    <mergeCell ref="C37:E37"/>
    <mergeCell ref="I27:K27"/>
    <mergeCell ref="I28:K28"/>
    <mergeCell ref="C30:E30"/>
    <mergeCell ref="C31:E31"/>
    <mergeCell ref="C27:E27"/>
    <mergeCell ref="C28:E28"/>
    <mergeCell ref="C29:E29"/>
    <mergeCell ref="C32:E32"/>
    <mergeCell ref="C33:E33"/>
    <mergeCell ref="IL38:IL39"/>
    <mergeCell ref="IM38:IM39"/>
    <mergeCell ref="IN38:IN39"/>
    <mergeCell ref="IO38:IO39"/>
    <mergeCell ref="IP38:IP39"/>
    <mergeCell ref="IQ38:IS38"/>
    <mergeCell ref="IT38:IT39"/>
    <mergeCell ref="C38:E38"/>
    <mergeCell ref="C39:E39"/>
    <mergeCell ref="A11:A18"/>
    <mergeCell ref="B11:B17"/>
    <mergeCell ref="B18:E18"/>
    <mergeCell ref="I18:K18"/>
    <mergeCell ref="A19:A26"/>
    <mergeCell ref="B19:B25"/>
    <mergeCell ref="C19:E19"/>
    <mergeCell ref="B26:E26"/>
    <mergeCell ref="A27:A34"/>
    <mergeCell ref="B27:B33"/>
    <mergeCell ref="B34:E34"/>
    <mergeCell ref="F7:H7"/>
    <mergeCell ref="I7:J7"/>
    <mergeCell ref="I8:J8"/>
    <mergeCell ref="A9:A10"/>
    <mergeCell ref="A5:B5"/>
    <mergeCell ref="A6:B6"/>
    <mergeCell ref="C6:E6"/>
    <mergeCell ref="A7:B8"/>
    <mergeCell ref="C7:E8"/>
    <mergeCell ref="B9:B10"/>
    <mergeCell ref="C9:E10"/>
    <mergeCell ref="F8:H8"/>
    <mergeCell ref="F9:H9"/>
    <mergeCell ref="I9:K10"/>
    <mergeCell ref="I11:K11"/>
    <mergeCell ref="I12:K12"/>
    <mergeCell ref="I13:K13"/>
    <mergeCell ref="I14:K14"/>
    <mergeCell ref="I26:K26"/>
    <mergeCell ref="A4:B4"/>
    <mergeCell ref="C4:E4"/>
    <mergeCell ref="F4:H4"/>
    <mergeCell ref="I4:K4"/>
    <mergeCell ref="J5:K5"/>
    <mergeCell ref="D5:E5"/>
    <mergeCell ref="F5:H5"/>
    <mergeCell ref="F6:H6"/>
    <mergeCell ref="I6:K6"/>
    <mergeCell ref="A1:B1"/>
    <mergeCell ref="C1:K1"/>
    <mergeCell ref="A2:B2"/>
    <mergeCell ref="C2:E2"/>
    <mergeCell ref="F2:H2"/>
    <mergeCell ref="I2:K2"/>
    <mergeCell ref="A3:B3"/>
    <mergeCell ref="I3:K3"/>
    <mergeCell ref="C3:E3"/>
    <mergeCell ref="F3:H3"/>
    <mergeCell ref="I21:K21"/>
    <mergeCell ref="I22:K22"/>
    <mergeCell ref="I15:K15"/>
    <mergeCell ref="I16:K16"/>
    <mergeCell ref="I17:K17"/>
    <mergeCell ref="I19:K19"/>
    <mergeCell ref="I20:K20"/>
    <mergeCell ref="C21:E21"/>
    <mergeCell ref="C22:E22"/>
    <mergeCell ref="C23:E23"/>
    <mergeCell ref="I23:K23"/>
    <mergeCell ref="C24:E24"/>
    <mergeCell ref="I24:K24"/>
    <mergeCell ref="C25:E25"/>
    <mergeCell ref="I25:K25"/>
    <mergeCell ref="C11:E11"/>
    <mergeCell ref="C12:E12"/>
    <mergeCell ref="C13:E13"/>
    <mergeCell ref="C14:E14"/>
    <mergeCell ref="C15:E15"/>
    <mergeCell ref="C16:E16"/>
    <mergeCell ref="C17:E17"/>
    <mergeCell ref="C20:E20"/>
  </mergeCells>
  <phoneticPr fontId="31" type="noConversion"/>
  <conditionalFormatting sqref="A9:K10 A11 B11:K17 B18 F18:K18 A19:G19 H19:K25 B20:G25 B26 F26:K82 A27:E27 B28:E33 B34 A35 B35:E41 B42 A43 B43:E49 B50 A51 B51:E57 B58 A59 B59:E65 B66 A67 B67:E73 B74 A75 B75:E81 B82 A83:K94">
    <cfRule type="containsBlanks" dxfId="14166" priority="3">
      <formula>LEN(TRIM(A9))=0</formula>
    </cfRule>
  </conditionalFormatting>
  <conditionalFormatting sqref="C7">
    <cfRule type="containsBlanks" dxfId="14165" priority="2">
      <formula>LEN(TRIM(C7))=0</formula>
    </cfRule>
  </conditionalFormatting>
  <conditionalFormatting sqref="C1:K4 A1:A7 C5:D5 F5:J5 C6:K6">
    <cfRule type="containsBlanks" dxfId="14164" priority="13">
      <formula>LEN(TRIM(A1))=0</formula>
    </cfRule>
  </conditionalFormatting>
  <conditionalFormatting sqref="F7:I8">
    <cfRule type="containsBlanks" dxfId="14163" priority="1">
      <formula>LEN(TRIM(F7))=0</formula>
    </cfRule>
  </conditionalFormatting>
  <dataValidations count="1">
    <dataValidation type="list" allowBlank="1" showErrorMessage="1" sqref="C1" xr:uid="{00000000-0002-0000-0000-000000000000}">
      <formula1>#REF!</formula1>
    </dataValidation>
  </dataValidation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/>
  </sheetPr>
  <dimension ref="A1:V824"/>
  <sheetViews>
    <sheetView showGridLines="0" tabSelected="1" workbookViewId="0">
      <selection sqref="A1:M1"/>
    </sheetView>
  </sheetViews>
  <sheetFormatPr defaultColWidth="14.42578125" defaultRowHeight="15" customHeight="1"/>
  <cols>
    <col min="1" max="1" width="6.7109375" customWidth="1"/>
    <col min="2" max="2" width="7.42578125" customWidth="1"/>
    <col min="3" max="3" width="9" customWidth="1"/>
    <col min="4" max="13" width="19.28515625" customWidth="1"/>
    <col min="14" max="14" width="4.42578125" customWidth="1"/>
    <col min="15" max="15" width="13.7109375" customWidth="1"/>
    <col min="16" max="16" width="19.28515625" customWidth="1"/>
    <col min="17" max="17" width="8.5703125" customWidth="1"/>
    <col min="18" max="19" width="11.42578125" customWidth="1"/>
    <col min="20" max="20" width="9.28515625" customWidth="1"/>
    <col min="21" max="21" width="29.7109375" customWidth="1"/>
  </cols>
  <sheetData>
    <row r="1" spans="1:22" ht="39" customHeight="1">
      <c r="A1" s="160" t="str">
        <f>'1. 과정정보'!C1&amp;" "&amp;'1. 과정정보'!I2&amp;" 시간표"</f>
        <v>[이스트캠프] AI 휴먼(멀티모달, TTS, STT, 프롬프트 엔지니어링, RAG) 5회차 시간표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"/>
      <c r="O1" s="160" t="s">
        <v>89</v>
      </c>
      <c r="P1" s="161"/>
      <c r="Q1" s="161"/>
      <c r="R1" s="161"/>
      <c r="S1" s="161"/>
      <c r="T1" s="161"/>
      <c r="U1" s="161"/>
      <c r="V1" s="9"/>
    </row>
    <row r="2" spans="1:22" ht="23.25" customHeight="1">
      <c r="A2" s="10" t="s">
        <v>90</v>
      </c>
      <c r="B2" s="11"/>
      <c r="C2" s="11"/>
      <c r="D2" s="12"/>
      <c r="E2" s="12"/>
      <c r="F2" s="12"/>
      <c r="G2" s="12"/>
      <c r="H2" s="12"/>
      <c r="I2" s="162"/>
      <c r="J2" s="163"/>
      <c r="K2" s="163"/>
      <c r="L2" s="163"/>
      <c r="M2" s="163"/>
      <c r="N2" s="1"/>
      <c r="O2" s="13" t="s">
        <v>91</v>
      </c>
      <c r="P2" s="149" t="s">
        <v>92</v>
      </c>
      <c r="Q2" s="150"/>
      <c r="R2" s="149" t="s">
        <v>93</v>
      </c>
      <c r="S2" s="150"/>
      <c r="T2" s="150"/>
      <c r="U2" s="1"/>
    </row>
    <row r="3" spans="1:22" ht="24.75" customHeight="1">
      <c r="A3" s="164" t="s">
        <v>94</v>
      </c>
      <c r="B3" s="164" t="s">
        <v>95</v>
      </c>
      <c r="C3" s="164" t="s">
        <v>96</v>
      </c>
      <c r="D3" s="165">
        <v>1</v>
      </c>
      <c r="E3" s="156"/>
      <c r="F3" s="156"/>
      <c r="G3" s="156"/>
      <c r="H3" s="154"/>
      <c r="I3" s="165">
        <f>D3+1</f>
        <v>2</v>
      </c>
      <c r="J3" s="156"/>
      <c r="K3" s="156"/>
      <c r="L3" s="156"/>
      <c r="M3" s="154"/>
      <c r="N3" s="1"/>
      <c r="O3" s="151" t="s">
        <v>15</v>
      </c>
      <c r="P3" s="153" t="s">
        <v>97</v>
      </c>
      <c r="Q3" s="154"/>
      <c r="R3" s="157" t="s">
        <v>98</v>
      </c>
      <c r="S3" s="154"/>
      <c r="T3" s="158" t="s">
        <v>99</v>
      </c>
      <c r="U3" s="164" t="s">
        <v>19</v>
      </c>
    </row>
    <row r="4" spans="1:22" ht="24.75" customHeight="1">
      <c r="A4" s="159"/>
      <c r="B4" s="159"/>
      <c r="C4" s="159"/>
      <c r="D4" s="14">
        <v>46111</v>
      </c>
      <c r="E4" s="14">
        <v>46112</v>
      </c>
      <c r="F4" s="14">
        <f>E4+1</f>
        <v>46113</v>
      </c>
      <c r="G4" s="14">
        <f t="shared" ref="G4:H4" si="0">F4+1</f>
        <v>46114</v>
      </c>
      <c r="H4" s="14">
        <f t="shared" si="0"/>
        <v>46115</v>
      </c>
      <c r="I4" s="14">
        <f>H4+3</f>
        <v>46118</v>
      </c>
      <c r="J4" s="14">
        <f t="shared" ref="J4:M4" si="1">I4+1</f>
        <v>46119</v>
      </c>
      <c r="K4" s="14">
        <f t="shared" si="1"/>
        <v>46120</v>
      </c>
      <c r="L4" s="14">
        <f t="shared" si="1"/>
        <v>46121</v>
      </c>
      <c r="M4" s="14">
        <f t="shared" si="1"/>
        <v>46122</v>
      </c>
      <c r="N4" s="1"/>
      <c r="O4" s="152"/>
      <c r="P4" s="15" t="s">
        <v>16</v>
      </c>
      <c r="Q4" s="16" t="s">
        <v>100</v>
      </c>
      <c r="R4" s="17" t="s">
        <v>101</v>
      </c>
      <c r="S4" s="15" t="s">
        <v>102</v>
      </c>
      <c r="T4" s="159"/>
      <c r="U4" s="159"/>
    </row>
    <row r="5" spans="1:22" ht="24.75" customHeight="1">
      <c r="A5" s="166" t="s">
        <v>103</v>
      </c>
      <c r="B5" s="166" t="s">
        <v>104</v>
      </c>
      <c r="C5" s="18" t="s">
        <v>15</v>
      </c>
      <c r="D5" s="19" t="s">
        <v>78</v>
      </c>
      <c r="E5" s="19" t="s">
        <v>23</v>
      </c>
      <c r="F5" s="19" t="s">
        <v>23</v>
      </c>
      <c r="G5" s="19" t="s">
        <v>23</v>
      </c>
      <c r="H5" s="19" t="s">
        <v>23</v>
      </c>
      <c r="I5" s="19" t="s">
        <v>23</v>
      </c>
      <c r="J5" s="19" t="s">
        <v>29</v>
      </c>
      <c r="K5" s="19" t="s">
        <v>29</v>
      </c>
      <c r="L5" s="19" t="s">
        <v>29</v>
      </c>
      <c r="M5" s="19" t="s">
        <v>29</v>
      </c>
      <c r="N5" s="1"/>
      <c r="O5" s="20" t="s">
        <v>23</v>
      </c>
      <c r="P5" s="21" t="str">
        <f t="array" ref="P5">IFERROR(IF(INDEX('(참고)교과목정보'!$D$5:$D$22, MATCH(1, ('(참고)교과목정보'!$B$5:$B$22=$O$2)*('(참고)교과목정보'!$C$5:$C$22='2. 시간표'!O5), 0))="","-",INDEX('(참고)교과목정보'!$D$5:$D$22, MATCH(1, ('(참고)교과목정보'!$B$5:$B$22=$O$2)*('(참고)교과목정보'!$C$5:$C$22='2. 시간표'!O5), 0))),"-")</f>
        <v>Python 프로그래밍</v>
      </c>
      <c r="Q5" s="26" t="s">
        <v>147</v>
      </c>
      <c r="R5" s="76">
        <f>'1. 과정정보'!H18</f>
        <v>40</v>
      </c>
      <c r="S5" s="22">
        <f>COUNTIF($D$5:$M$387, $O5)</f>
        <v>40</v>
      </c>
      <c r="T5" s="23" t="str">
        <f t="shared" ref="T5:T24" si="2">IF(R5-S5=0,"일치",R5-S5)</f>
        <v>일치</v>
      </c>
      <c r="U5" s="22"/>
    </row>
    <row r="6" spans="1:22" ht="24.75" customHeight="1">
      <c r="A6" s="167"/>
      <c r="B6" s="167"/>
      <c r="C6" s="24" t="s">
        <v>16</v>
      </c>
      <c r="D6" s="25" t="str">
        <f t="shared" ref="D6" si="3">VLOOKUP(D5,$O$5:$P$24,2,FALSE)</f>
        <v>OT</v>
      </c>
      <c r="E6" s="25" t="str">
        <f t="shared" ref="E6:F6" si="4">VLOOKUP(E5,$O$5:$P$24,2,FALSE)</f>
        <v>Python 프로그래밍</v>
      </c>
      <c r="F6" s="25" t="str">
        <f t="shared" si="4"/>
        <v>Python 프로그래밍</v>
      </c>
      <c r="G6" s="25" t="str">
        <f t="shared" ref="G6:J6" si="5">VLOOKUP(G5,$O$5:$P$24,2,FALSE)</f>
        <v>Python 프로그래밍</v>
      </c>
      <c r="H6" s="25" t="str">
        <f t="shared" si="5"/>
        <v>Python 프로그래밍</v>
      </c>
      <c r="I6" s="25" t="str">
        <f t="shared" ref="I6" si="6">VLOOKUP(I5,$O$5:$P$24,2,FALSE)</f>
        <v>Python 프로그래밍</v>
      </c>
      <c r="J6" s="25" t="str">
        <f t="shared" si="5"/>
        <v>Python 전처리 및 시각화</v>
      </c>
      <c r="K6" s="25" t="str">
        <f t="shared" ref="K6:M6" si="7">VLOOKUP(K5,$O$5:$P$24,2,FALSE)</f>
        <v>Python 전처리 및 시각화</v>
      </c>
      <c r="L6" s="25" t="str">
        <f t="shared" si="7"/>
        <v>Python 전처리 및 시각화</v>
      </c>
      <c r="M6" s="25" t="str">
        <f t="shared" si="7"/>
        <v>Python 전처리 및 시각화</v>
      </c>
      <c r="N6" s="1"/>
      <c r="O6" s="20" t="s">
        <v>29</v>
      </c>
      <c r="P6" s="21" t="str">
        <f t="array" ref="P6">IFERROR(IF(INDEX('(참고)교과목정보'!$D$5:$D$22, MATCH(1, ('(참고)교과목정보'!$B$5:$B$22=$O$2)*('(참고)교과목정보'!$C$5:$C$22='2. 시간표'!O6), 0))="","-",INDEX('(참고)교과목정보'!$D$5:$D$22, MATCH(1, ('(참고)교과목정보'!$B$5:$B$22=$O$2)*('(참고)교과목정보'!$C$5:$C$22='2. 시간표'!O6), 0))),"-")</f>
        <v>Python 전처리 및 시각화</v>
      </c>
      <c r="Q6" s="26" t="s">
        <v>147</v>
      </c>
      <c r="R6" s="76">
        <f>'1. 과정정보'!H26</f>
        <v>40</v>
      </c>
      <c r="S6" s="22">
        <f t="shared" ref="S6:S13" si="8">COUNTIF($D$5:$M$387, $O6)</f>
        <v>40</v>
      </c>
      <c r="T6" s="23" t="str">
        <f t="shared" si="2"/>
        <v>일치</v>
      </c>
      <c r="U6" s="22"/>
    </row>
    <row r="7" spans="1:22" ht="24.75" customHeight="1">
      <c r="A7" s="167"/>
      <c r="B7" s="167"/>
      <c r="C7" s="28" t="s">
        <v>17</v>
      </c>
      <c r="D7" s="29" t="s">
        <v>149</v>
      </c>
      <c r="E7" s="29" t="s">
        <v>25</v>
      </c>
      <c r="F7" s="29" t="s">
        <v>25</v>
      </c>
      <c r="G7" s="29" t="s">
        <v>26</v>
      </c>
      <c r="H7" s="29" t="s">
        <v>26</v>
      </c>
      <c r="I7" s="29" t="s">
        <v>26</v>
      </c>
      <c r="J7" s="29" t="s">
        <v>30</v>
      </c>
      <c r="K7" s="29" t="s">
        <v>30</v>
      </c>
      <c r="L7" s="29" t="s">
        <v>31</v>
      </c>
      <c r="M7" s="29" t="s">
        <v>31</v>
      </c>
      <c r="N7" s="1"/>
      <c r="O7" s="20" t="s">
        <v>32</v>
      </c>
      <c r="P7" s="21" t="str">
        <f t="array" ref="P7">IFERROR(IF(INDEX('(참고)교과목정보'!$D$5:$D$22, MATCH(1, ('(참고)교과목정보'!$B$5:$B$22=$O$2)*('(참고)교과목정보'!$C$5:$C$22='2. 시간표'!O7), 0))="","-",INDEX('(참고)교과목정보'!$D$5:$D$22, MATCH(1, ('(참고)교과목정보'!$B$5:$B$22=$O$2)*('(참고)교과목정보'!$C$5:$C$22='2. 시간표'!O7), 0))),"-")</f>
        <v>머신러닝과 딥러닝</v>
      </c>
      <c r="Q7" s="26" t="s">
        <v>147</v>
      </c>
      <c r="R7" s="76">
        <f>'1. 과정정보'!H34</f>
        <v>48</v>
      </c>
      <c r="S7" s="22">
        <f t="shared" si="8"/>
        <v>48</v>
      </c>
      <c r="T7" s="23" t="str">
        <f>IF(R7-S7=0,"일치",R7-S7)</f>
        <v>일치</v>
      </c>
      <c r="U7" s="22"/>
    </row>
    <row r="8" spans="1:22" ht="24.75" customHeight="1">
      <c r="A8" s="167"/>
      <c r="B8" s="167"/>
      <c r="C8" s="30" t="s">
        <v>105</v>
      </c>
      <c r="D8" s="31" t="str">
        <f t="shared" ref="D8" si="9">VLOOKUP(D5,$O$5:$Q$24,3,0)</f>
        <v>김도영</v>
      </c>
      <c r="E8" s="31" t="str">
        <f t="shared" ref="E8:F8" si="10">VLOOKUP(E5,$O$5:$Q$24,3,0)</f>
        <v>김도영</v>
      </c>
      <c r="F8" s="31" t="str">
        <f t="shared" si="10"/>
        <v>김도영</v>
      </c>
      <c r="G8" s="31" t="str">
        <f t="shared" ref="G8:J8" si="11">VLOOKUP(G5,$O$5:$Q$24,3,0)</f>
        <v>김도영</v>
      </c>
      <c r="H8" s="31" t="str">
        <f t="shared" si="11"/>
        <v>김도영</v>
      </c>
      <c r="I8" s="31" t="str">
        <f t="shared" ref="I8" si="12">VLOOKUP(I5,$O$5:$Q$24,3,0)</f>
        <v>김도영</v>
      </c>
      <c r="J8" s="31" t="str">
        <f t="shared" si="11"/>
        <v>김도영</v>
      </c>
      <c r="K8" s="31" t="str">
        <f t="shared" ref="K8:M8" si="13">VLOOKUP(K5,$O$5:$Q$24,3,0)</f>
        <v>김도영</v>
      </c>
      <c r="L8" s="31" t="str">
        <f t="shared" si="13"/>
        <v>김도영</v>
      </c>
      <c r="M8" s="31" t="str">
        <f t="shared" si="13"/>
        <v>김도영</v>
      </c>
      <c r="N8" s="1"/>
      <c r="O8" s="20" t="s">
        <v>38</v>
      </c>
      <c r="P8" s="21" t="str">
        <f t="array" ref="P8">IFERROR(IF(INDEX('(참고)교과목정보'!$D$5:$D$22, MATCH(1, ('(참고)교과목정보'!$B$5:$B$22=$O$2)*('(참고)교과목정보'!$C$5:$C$22='2. 시간표'!O8), 0))="","-",INDEX('(참고)교과목정보'!$D$5:$D$22, MATCH(1, ('(참고)교과목정보'!$B$5:$B$22=$O$2)*('(참고)교과목정보'!$C$5:$C$22='2. 시간표'!O8), 0))),"-")</f>
        <v>자연어 및 음성 데이터 활용 및 모델 개발</v>
      </c>
      <c r="Q8" s="26" t="s">
        <v>147</v>
      </c>
      <c r="R8" s="76">
        <f>'1. 과정정보'!H42</f>
        <v>96</v>
      </c>
      <c r="S8" s="22">
        <f t="shared" si="8"/>
        <v>96</v>
      </c>
      <c r="T8" s="23" t="str">
        <f t="shared" si="2"/>
        <v>일치</v>
      </c>
      <c r="U8" s="22"/>
    </row>
    <row r="9" spans="1:22" ht="24.75" customHeight="1">
      <c r="A9" s="166" t="s">
        <v>106</v>
      </c>
      <c r="B9" s="166" t="s">
        <v>107</v>
      </c>
      <c r="C9" s="18" t="s">
        <v>15</v>
      </c>
      <c r="D9" s="19" t="s">
        <v>78</v>
      </c>
      <c r="E9" s="19" t="s">
        <v>23</v>
      </c>
      <c r="F9" s="19" t="s">
        <v>23</v>
      </c>
      <c r="G9" s="19" t="s">
        <v>23</v>
      </c>
      <c r="H9" s="19" t="s">
        <v>23</v>
      </c>
      <c r="I9" s="19" t="s">
        <v>23</v>
      </c>
      <c r="J9" s="19" t="s">
        <v>29</v>
      </c>
      <c r="K9" s="19" t="s">
        <v>29</v>
      </c>
      <c r="L9" s="19" t="s">
        <v>29</v>
      </c>
      <c r="M9" s="19" t="s">
        <v>29</v>
      </c>
      <c r="N9" s="1"/>
      <c r="O9" s="20" t="s">
        <v>50</v>
      </c>
      <c r="P9" s="21" t="str" cm="1">
        <f t="array" ref="P9">IFERROR(IF(INDEX('(참고)교과목정보'!$D$5:$D$22, MATCH(1, ('(참고)교과목정보'!$B$5:$B$22=$O$2)*('(참고)교과목정보'!$C$5:$C$22='2. 시간표'!O9), 0))="","-",INDEX('(참고)교과목정보'!$D$5:$D$22, MATCH(1, ('(참고)교과목정보'!$B$5:$B$22=$O$2)*('(참고)교과목정보'!$C$5:$C$22='2. 시간표'!O9), 0))),"-")</f>
        <v>음성 데이터 활용한 TTS와 STT 모델 개발</v>
      </c>
      <c r="Q9" s="26" t="s">
        <v>147</v>
      </c>
      <c r="R9" s="76">
        <f>'1. 과정정보'!H50</f>
        <v>64</v>
      </c>
      <c r="S9" s="22">
        <f t="shared" si="8"/>
        <v>64</v>
      </c>
      <c r="T9" s="23" t="str">
        <f t="shared" si="2"/>
        <v>일치</v>
      </c>
      <c r="U9" s="22"/>
    </row>
    <row r="10" spans="1:22" ht="24.75" customHeight="1">
      <c r="A10" s="167"/>
      <c r="B10" s="167"/>
      <c r="C10" s="24" t="s">
        <v>16</v>
      </c>
      <c r="D10" s="25" t="str">
        <f t="shared" ref="D10" si="14">VLOOKUP(D9,$O$5:$P$24,2,FALSE)</f>
        <v>OT</v>
      </c>
      <c r="E10" s="25" t="str">
        <f t="shared" ref="E10:F10" si="15">VLOOKUP(E9,$O$5:$P$24,2,FALSE)</f>
        <v>Python 프로그래밍</v>
      </c>
      <c r="F10" s="25" t="str">
        <f t="shared" si="15"/>
        <v>Python 프로그래밍</v>
      </c>
      <c r="G10" s="25" t="str">
        <f t="shared" ref="G10:J10" si="16">VLOOKUP(G9,$O$5:$P$24,2,FALSE)</f>
        <v>Python 프로그래밍</v>
      </c>
      <c r="H10" s="25" t="str">
        <f t="shared" si="16"/>
        <v>Python 프로그래밍</v>
      </c>
      <c r="I10" s="25" t="str">
        <f t="shared" ref="I10" si="17">VLOOKUP(I9,$O$5:$P$24,2,FALSE)</f>
        <v>Python 프로그래밍</v>
      </c>
      <c r="J10" s="25" t="str">
        <f t="shared" si="16"/>
        <v>Python 전처리 및 시각화</v>
      </c>
      <c r="K10" s="25" t="str">
        <f t="shared" ref="K10:M10" si="18">VLOOKUP(K9,$O$5:$P$24,2,FALSE)</f>
        <v>Python 전처리 및 시각화</v>
      </c>
      <c r="L10" s="25" t="str">
        <f t="shared" si="18"/>
        <v>Python 전처리 및 시각화</v>
      </c>
      <c r="M10" s="25" t="str">
        <f t="shared" si="18"/>
        <v>Python 전처리 및 시각화</v>
      </c>
      <c r="N10" s="1"/>
      <c r="O10" s="20" t="s">
        <v>54</v>
      </c>
      <c r="P10" s="21" t="str">
        <f t="array" ref="P10">IFERROR(IF(INDEX('(참고)교과목정보'!$D$5:$D$22, MATCH(1, ('(참고)교과목정보'!$B$5:$B$22=$O$2)*('(참고)교과목정보'!$C$5:$C$22='2. 시간표'!O10), 0))="","-",INDEX('(참고)교과목정보'!$D$5:$D$22, MATCH(1, ('(참고)교과목정보'!$B$5:$B$22=$O$2)*('(참고)교과목정보'!$C$5:$C$22='2. 시간표'!O10), 0))),"-")</f>
        <v>거대 언어 모델을 활용한 자연어 생성</v>
      </c>
      <c r="Q10" s="26" t="s">
        <v>147</v>
      </c>
      <c r="R10" s="76">
        <f>'1. 과정정보'!H58</f>
        <v>64</v>
      </c>
      <c r="S10" s="22">
        <f t="shared" si="8"/>
        <v>64</v>
      </c>
      <c r="T10" s="23" t="str">
        <f t="shared" si="2"/>
        <v>일치</v>
      </c>
      <c r="U10" s="22"/>
    </row>
    <row r="11" spans="1:22" ht="24.75" customHeight="1">
      <c r="A11" s="167"/>
      <c r="B11" s="167"/>
      <c r="C11" s="28" t="s">
        <v>17</v>
      </c>
      <c r="D11" s="29" t="s">
        <v>149</v>
      </c>
      <c r="E11" s="29" t="s">
        <v>25</v>
      </c>
      <c r="F11" s="29" t="s">
        <v>25</v>
      </c>
      <c r="G11" s="29" t="s">
        <v>26</v>
      </c>
      <c r="H11" s="29" t="s">
        <v>26</v>
      </c>
      <c r="I11" s="29" t="s">
        <v>26</v>
      </c>
      <c r="J11" s="29" t="s">
        <v>30</v>
      </c>
      <c r="K11" s="29" t="s">
        <v>30</v>
      </c>
      <c r="L11" s="29" t="s">
        <v>31</v>
      </c>
      <c r="M11" s="29" t="s">
        <v>31</v>
      </c>
      <c r="N11" s="1"/>
      <c r="O11" s="20" t="s">
        <v>58</v>
      </c>
      <c r="P11" s="21" t="str">
        <f t="array" ref="P11">IFERROR(IF(INDEX('(참고)교과목정보'!$D$5:$D$22, MATCH(1, ('(참고)교과목정보'!$B$5:$B$22=$O$2)*('(참고)교과목정보'!$C$5:$C$22='2. 시간표'!O11), 0))="","-",INDEX('(참고)교과목정보'!$D$5:$D$22, MATCH(1, ('(참고)교과목정보'!$B$5:$B$22=$O$2)*('(참고)교과목정보'!$C$5:$C$22='2. 시간표'!O11), 0))),"-")</f>
        <v>프롬프트 엔지니어링</v>
      </c>
      <c r="Q11" s="26" t="s">
        <v>147</v>
      </c>
      <c r="R11" s="76">
        <f>'1. 과정정보'!H66</f>
        <v>40</v>
      </c>
      <c r="S11" s="22">
        <f t="shared" si="8"/>
        <v>40</v>
      </c>
      <c r="T11" s="23" t="str">
        <f t="shared" si="2"/>
        <v>일치</v>
      </c>
      <c r="U11" s="22"/>
    </row>
    <row r="12" spans="1:22" ht="24.75" customHeight="1">
      <c r="A12" s="167"/>
      <c r="B12" s="167"/>
      <c r="C12" s="32" t="s">
        <v>105</v>
      </c>
      <c r="D12" s="31" t="str">
        <f t="shared" ref="D12" si="19">VLOOKUP(D9,$O$5:$Q$24,3,0)</f>
        <v>김도영</v>
      </c>
      <c r="E12" s="31" t="str">
        <f t="shared" ref="E12:F12" si="20">VLOOKUP(E9,$O$5:$Q$24,3,0)</f>
        <v>김도영</v>
      </c>
      <c r="F12" s="31" t="str">
        <f t="shared" si="20"/>
        <v>김도영</v>
      </c>
      <c r="G12" s="31" t="str">
        <f t="shared" ref="G12:J12" si="21">VLOOKUP(G9,$O$5:$Q$24,3,0)</f>
        <v>김도영</v>
      </c>
      <c r="H12" s="31" t="str">
        <f t="shared" si="21"/>
        <v>김도영</v>
      </c>
      <c r="I12" s="31" t="str">
        <f t="shared" ref="I12" si="22">VLOOKUP(I9,$O$5:$Q$24,3,0)</f>
        <v>김도영</v>
      </c>
      <c r="J12" s="31" t="str">
        <f t="shared" si="21"/>
        <v>김도영</v>
      </c>
      <c r="K12" s="31" t="str">
        <f t="shared" ref="K12:M12" si="23">VLOOKUP(K9,$O$5:$Q$24,3,0)</f>
        <v>김도영</v>
      </c>
      <c r="L12" s="31" t="str">
        <f t="shared" si="23"/>
        <v>김도영</v>
      </c>
      <c r="M12" s="31" t="str">
        <f t="shared" si="23"/>
        <v>김도영</v>
      </c>
      <c r="N12" s="1"/>
      <c r="O12" s="20" t="s">
        <v>61</v>
      </c>
      <c r="P12" s="21" t="str">
        <f t="array" ref="P12">IFERROR(IF(INDEX('(참고)교과목정보'!$D$5:$D$22, MATCH(1, ('(참고)교과목정보'!$B$5:$B$22=$O$2)*('(참고)교과목정보'!$C$5:$C$22='2. 시간표'!O12), 0))="","-",INDEX('(참고)교과목정보'!$D$5:$D$22, MATCH(1, ('(참고)교과목정보'!$B$5:$B$22=$O$2)*('(참고)교과목정보'!$C$5:$C$22='2. 시간표'!O12), 0))),"-")</f>
        <v>Langchain 활용하기</v>
      </c>
      <c r="Q12" s="26" t="s">
        <v>147</v>
      </c>
      <c r="R12" s="76">
        <f>'1. 과정정보'!H74</f>
        <v>56</v>
      </c>
      <c r="S12" s="22">
        <f t="shared" si="8"/>
        <v>56</v>
      </c>
      <c r="T12" s="23" t="str">
        <f t="shared" si="2"/>
        <v>일치</v>
      </c>
      <c r="U12" s="22"/>
    </row>
    <row r="13" spans="1:22" ht="24.75" customHeight="1">
      <c r="A13" s="166" t="s">
        <v>108</v>
      </c>
      <c r="B13" s="166" t="s">
        <v>109</v>
      </c>
      <c r="C13" s="18" t="s">
        <v>15</v>
      </c>
      <c r="D13" s="19" t="s">
        <v>78</v>
      </c>
      <c r="E13" s="19" t="s">
        <v>23</v>
      </c>
      <c r="F13" s="19" t="s">
        <v>23</v>
      </c>
      <c r="G13" s="19" t="s">
        <v>23</v>
      </c>
      <c r="H13" s="19" t="s">
        <v>23</v>
      </c>
      <c r="I13" s="19" t="s">
        <v>23</v>
      </c>
      <c r="J13" s="19" t="s">
        <v>29</v>
      </c>
      <c r="K13" s="19" t="s">
        <v>29</v>
      </c>
      <c r="L13" s="19" t="s">
        <v>29</v>
      </c>
      <c r="M13" s="19" t="s">
        <v>29</v>
      </c>
      <c r="N13" s="33"/>
      <c r="O13" s="20" t="s">
        <v>65</v>
      </c>
      <c r="P13" s="21" t="str">
        <f t="array" ref="P13">IFERROR(IF(INDEX('(참고)교과목정보'!$D$5:$D$22, MATCH(1, ('(참고)교과목정보'!$B$5:$B$22=$O$2)*('(참고)교과목정보'!$C$5:$C$22='2. 시간표'!O13), 0))="","-",INDEX('(참고)교과목정보'!$D$5:$D$22, MATCH(1, ('(참고)교과목정보'!$B$5:$B$22=$O$2)*('(참고)교과목정보'!$C$5:$C$22='2. 시간표'!O13), 0))),"-")</f>
        <v>RAG(Retrieval-Augmented Generation)</v>
      </c>
      <c r="Q13" s="26" t="s">
        <v>147</v>
      </c>
      <c r="R13" s="76">
        <f>'1. 과정정보'!H82</f>
        <v>52</v>
      </c>
      <c r="S13" s="22">
        <f t="shared" si="8"/>
        <v>52</v>
      </c>
      <c r="T13" s="23" t="str">
        <f t="shared" si="2"/>
        <v>일치</v>
      </c>
      <c r="U13" s="22"/>
    </row>
    <row r="14" spans="1:22" ht="24.75" customHeight="1">
      <c r="A14" s="167"/>
      <c r="B14" s="167"/>
      <c r="C14" s="24" t="s">
        <v>16</v>
      </c>
      <c r="D14" s="25" t="str">
        <f t="shared" ref="D14" si="24">VLOOKUP(D13,$O$5:$P$24,2,FALSE)</f>
        <v>OT</v>
      </c>
      <c r="E14" s="25" t="str">
        <f t="shared" ref="E14:F14" si="25">VLOOKUP(E13,$O$5:$P$24,2,FALSE)</f>
        <v>Python 프로그래밍</v>
      </c>
      <c r="F14" s="25" t="str">
        <f t="shared" si="25"/>
        <v>Python 프로그래밍</v>
      </c>
      <c r="G14" s="25" t="str">
        <f t="shared" ref="G14:J14" si="26">VLOOKUP(G13,$O$5:$P$24,2,FALSE)</f>
        <v>Python 프로그래밍</v>
      </c>
      <c r="H14" s="25" t="str">
        <f t="shared" si="26"/>
        <v>Python 프로그래밍</v>
      </c>
      <c r="I14" s="25" t="str">
        <f t="shared" ref="I14" si="27">VLOOKUP(I13,$O$5:$P$24,2,FALSE)</f>
        <v>Python 프로그래밍</v>
      </c>
      <c r="J14" s="25" t="str">
        <f t="shared" si="26"/>
        <v>Python 전처리 및 시각화</v>
      </c>
      <c r="K14" s="25" t="str">
        <f t="shared" ref="K14:M14" si="28">VLOOKUP(K13,$O$5:$P$24,2,FALSE)</f>
        <v>Python 전처리 및 시각화</v>
      </c>
      <c r="L14" s="25" t="str">
        <f t="shared" si="28"/>
        <v>Python 전처리 및 시각화</v>
      </c>
      <c r="M14" s="25" t="str">
        <f t="shared" si="28"/>
        <v>Python 전처리 및 시각화</v>
      </c>
      <c r="N14" s="1"/>
      <c r="O14" s="155" t="s">
        <v>27</v>
      </c>
      <c r="P14" s="156"/>
      <c r="Q14" s="154"/>
      <c r="R14" s="34">
        <f t="shared" ref="R14:S14" si="29">SUM(R5:R13)</f>
        <v>500</v>
      </c>
      <c r="S14" s="34">
        <f t="shared" si="29"/>
        <v>500</v>
      </c>
      <c r="T14" s="35" t="str">
        <f t="shared" si="2"/>
        <v>일치</v>
      </c>
      <c r="U14" s="36" t="s">
        <v>28</v>
      </c>
    </row>
    <row r="15" spans="1:22" ht="24.75" customHeight="1">
      <c r="A15" s="167"/>
      <c r="B15" s="167"/>
      <c r="C15" s="28" t="s">
        <v>17</v>
      </c>
      <c r="D15" s="29" t="s">
        <v>149</v>
      </c>
      <c r="E15" s="29" t="s">
        <v>25</v>
      </c>
      <c r="F15" s="29" t="s">
        <v>25</v>
      </c>
      <c r="G15" s="29" t="s">
        <v>26</v>
      </c>
      <c r="H15" s="29" t="s">
        <v>26</v>
      </c>
      <c r="I15" s="29" t="s">
        <v>26</v>
      </c>
      <c r="J15" s="29" t="s">
        <v>30</v>
      </c>
      <c r="K15" s="29" t="s">
        <v>30</v>
      </c>
      <c r="L15" s="29" t="s">
        <v>31</v>
      </c>
      <c r="M15" s="29" t="s">
        <v>31</v>
      </c>
      <c r="N15" s="1"/>
      <c r="O15" s="37" t="s">
        <v>46</v>
      </c>
      <c r="P15" s="37" t="str" cm="1">
        <f t="array" ref="P15">IFERROR(IF(INDEX('(참고)교과목정보'!$D$5:$D$22, MATCH(1, ('(참고)교과목정보'!$B$5:$B$22=$O$2)*('(참고)교과목정보'!$C$5:$C$22='2. 시간표'!O15), 0))="","-",INDEX('(참고)교과목정보'!$D$5:$D$22, MATCH(1, ('(참고)교과목정보'!$B$5:$B$22=$O$2)*('(참고)교과목정보'!$C$5:$C$22='2. 시간표'!O15), 0))),"-")</f>
        <v>나만의 음성 모델 만들기</v>
      </c>
      <c r="Q15" s="37" t="s">
        <v>147</v>
      </c>
      <c r="R15" s="27">
        <f>'1. 과정정보'!H83</f>
        <v>80</v>
      </c>
      <c r="S15" s="22">
        <f>COUNTIF($D$5:$M$387, $O15)</f>
        <v>80</v>
      </c>
      <c r="T15" s="23" t="str">
        <f t="shared" si="2"/>
        <v>일치</v>
      </c>
      <c r="U15" s="22"/>
    </row>
    <row r="16" spans="1:22" ht="24.75" customHeight="1">
      <c r="A16" s="167"/>
      <c r="B16" s="167"/>
      <c r="C16" s="32" t="s">
        <v>105</v>
      </c>
      <c r="D16" s="31" t="str">
        <f t="shared" ref="D16" si="30">VLOOKUP(D13,$O$5:$Q$24,3,0)</f>
        <v>김도영</v>
      </c>
      <c r="E16" s="31" t="str">
        <f t="shared" ref="E16:F16" si="31">VLOOKUP(E13,$O$5:$Q$24,3,0)</f>
        <v>김도영</v>
      </c>
      <c r="F16" s="31" t="str">
        <f t="shared" si="31"/>
        <v>김도영</v>
      </c>
      <c r="G16" s="31" t="str">
        <f t="shared" ref="G16:J16" si="32">VLOOKUP(G13,$O$5:$Q$24,3,0)</f>
        <v>김도영</v>
      </c>
      <c r="H16" s="31" t="str">
        <f t="shared" si="32"/>
        <v>김도영</v>
      </c>
      <c r="I16" s="31" t="str">
        <f t="shared" ref="I16" si="33">VLOOKUP(I13,$O$5:$Q$24,3,0)</f>
        <v>김도영</v>
      </c>
      <c r="J16" s="31" t="str">
        <f t="shared" si="32"/>
        <v>김도영</v>
      </c>
      <c r="K16" s="31" t="str">
        <f t="shared" ref="K16:M16" si="34">VLOOKUP(K13,$O$5:$Q$24,3,0)</f>
        <v>김도영</v>
      </c>
      <c r="L16" s="31" t="str">
        <f t="shared" si="34"/>
        <v>김도영</v>
      </c>
      <c r="M16" s="31" t="str">
        <f t="shared" si="34"/>
        <v>김도영</v>
      </c>
      <c r="N16" s="1"/>
      <c r="O16" s="37" t="s">
        <v>71</v>
      </c>
      <c r="P16" s="37" t="str" cm="1">
        <f t="array" ref="P16">IFERROR(IF(INDEX('(참고)교과목정보'!$D$5:$D$22, MATCH(1, ('(참고)교과목정보'!$B$5:$B$22=$O$2)*('(참고)교과목정보'!$C$5:$C$22='2. 시간표'!O16), 0))="","-",INDEX('(참고)교과목정보'!$D$5:$D$22, MATCH(1, ('(참고)교과목정보'!$B$5:$B$22=$O$2)*('(참고)교과목정보'!$C$5:$C$22='2. 시간표'!O16), 0))),"-")</f>
        <v>거대 언어 모델을 활용한 PERSO AI 답변 기능 구현하기</v>
      </c>
      <c r="Q16" s="37" t="s">
        <v>147</v>
      </c>
      <c r="R16" s="27">
        <f>'1. 과정정보'!H84</f>
        <v>100</v>
      </c>
      <c r="S16" s="22">
        <f>COUNTIF($D$5:$M$387, $O16)</f>
        <v>100</v>
      </c>
      <c r="T16" s="23" t="str">
        <f t="shared" si="2"/>
        <v>일치</v>
      </c>
      <c r="U16" s="22"/>
    </row>
    <row r="17" spans="1:21" ht="27.75" customHeight="1">
      <c r="A17" s="38" t="s">
        <v>28</v>
      </c>
      <c r="B17" s="38" t="s">
        <v>110</v>
      </c>
      <c r="C17" s="39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33"/>
      <c r="O17" s="37" t="s">
        <v>74</v>
      </c>
      <c r="P17" s="37" t="str" cm="1">
        <f t="array" ref="P17">IFERROR(IF(INDEX('(참고)교과목정보'!$D$5:$D$22, MATCH(1, ('(참고)교과목정보'!$B$5:$B$22=$O$2)*('(참고)교과목정보'!$C$5:$C$22='2. 시간표'!O17), 0))="","-",INDEX('(참고)교과목정보'!$D$5:$D$22, MATCH(1, ('(참고)교과목정보'!$B$5:$B$22=$O$2)*('(참고)교과목정보'!$C$5:$C$22='2. 시간표'!O17), 0))),"-")</f>
        <v>사전 데이터 기반 PERSO AI의 답변 커스텀하기</v>
      </c>
      <c r="Q17" s="37" t="s">
        <v>147</v>
      </c>
      <c r="R17" s="27">
        <f>'1. 과정정보'!H85</f>
        <v>100</v>
      </c>
      <c r="S17" s="22">
        <f>COUNTIF($D$5:$M$387, $O17)</f>
        <v>100</v>
      </c>
      <c r="T17" s="23" t="str">
        <f t="shared" si="2"/>
        <v>일치</v>
      </c>
      <c r="U17" s="22"/>
    </row>
    <row r="18" spans="1:21" ht="24.75" customHeight="1">
      <c r="A18" s="166" t="s">
        <v>111</v>
      </c>
      <c r="B18" s="166" t="s">
        <v>112</v>
      </c>
      <c r="C18" s="18" t="s">
        <v>15</v>
      </c>
      <c r="D18" s="19" t="s">
        <v>78</v>
      </c>
      <c r="E18" s="19" t="s">
        <v>23</v>
      </c>
      <c r="F18" s="19" t="s">
        <v>23</v>
      </c>
      <c r="G18" s="19" t="s">
        <v>23</v>
      </c>
      <c r="H18" s="19" t="s">
        <v>23</v>
      </c>
      <c r="I18" s="19" t="s">
        <v>23</v>
      </c>
      <c r="J18" s="19" t="s">
        <v>29</v>
      </c>
      <c r="K18" s="19" t="s">
        <v>29</v>
      </c>
      <c r="L18" s="19" t="s">
        <v>29</v>
      </c>
      <c r="M18" s="19" t="s">
        <v>29</v>
      </c>
      <c r="N18" s="33"/>
      <c r="O18" s="37" t="s">
        <v>77</v>
      </c>
      <c r="P18" s="37" t="str">
        <f t="array" ref="P18">IFERROR(IF(INDEX('(참고)교과목정보'!$D$5:$D$22, MATCH(1, ('(참고)교과목정보'!$B$5:$B$22=$O$2)*('(참고)교과목정보'!$C$5:$C$22='2. 시간표'!O18), 0))="","-",INDEX('(참고)교과목정보'!$D$5:$D$22, MATCH(1, ('(참고)교과목정보'!$B$5:$B$22=$O$2)*('(참고)교과목정보'!$C$5:$C$22='2. 시간표'!O18), 0))),"-")</f>
        <v>-</v>
      </c>
      <c r="Q18" s="37"/>
      <c r="R18" s="27"/>
      <c r="S18" s="22"/>
      <c r="T18" s="23" t="str">
        <f t="shared" si="2"/>
        <v>일치</v>
      </c>
      <c r="U18" s="22"/>
    </row>
    <row r="19" spans="1:21" ht="24.75" customHeight="1">
      <c r="A19" s="167"/>
      <c r="B19" s="167"/>
      <c r="C19" s="24" t="s">
        <v>16</v>
      </c>
      <c r="D19" s="25" t="str">
        <f t="shared" ref="D19" si="35">VLOOKUP(D18,$O$5:$P$24,2,FALSE)</f>
        <v>OT</v>
      </c>
      <c r="E19" s="25" t="str">
        <f t="shared" ref="E19" si="36">VLOOKUP(E18,$O$5:$P$24,2,FALSE)</f>
        <v>Python 프로그래밍</v>
      </c>
      <c r="F19" s="25" t="str">
        <f t="shared" ref="F19" si="37">VLOOKUP(F18,$O$5:$P$24,2,FALSE)</f>
        <v>Python 프로그래밍</v>
      </c>
      <c r="G19" s="25" t="str">
        <f t="shared" ref="G19:J19" si="38">VLOOKUP(G18,$O$5:$P$24,2,FALSE)</f>
        <v>Python 프로그래밍</v>
      </c>
      <c r="H19" s="25" t="str">
        <f t="shared" si="38"/>
        <v>Python 프로그래밍</v>
      </c>
      <c r="I19" s="25" t="str">
        <f t="shared" ref="I19" si="39">VLOOKUP(I18,$O$5:$P$24,2,FALSE)</f>
        <v>Python 프로그래밍</v>
      </c>
      <c r="J19" s="25" t="str">
        <f t="shared" si="38"/>
        <v>Python 전처리 및 시각화</v>
      </c>
      <c r="K19" s="25" t="str">
        <f t="shared" ref="K19:M19" si="40">VLOOKUP(K18,$O$5:$P$24,2,FALSE)</f>
        <v>Python 전처리 및 시각화</v>
      </c>
      <c r="L19" s="25" t="str">
        <f t="shared" si="40"/>
        <v>Python 전처리 및 시각화</v>
      </c>
      <c r="M19" s="25" t="str">
        <f t="shared" si="40"/>
        <v>Python 전처리 및 시각화</v>
      </c>
      <c r="N19" s="1"/>
      <c r="O19" s="155" t="s">
        <v>27</v>
      </c>
      <c r="P19" s="156"/>
      <c r="Q19" s="154"/>
      <c r="R19" s="34">
        <f t="shared" ref="R19:S19" si="41">SUM(R15:R18)</f>
        <v>280</v>
      </c>
      <c r="S19" s="34">
        <f t="shared" si="41"/>
        <v>280</v>
      </c>
      <c r="T19" s="35" t="str">
        <f>IF(R19-S19=0,"일치",R19-S19)</f>
        <v>일치</v>
      </c>
      <c r="U19" s="36" t="s">
        <v>28</v>
      </c>
    </row>
    <row r="20" spans="1:21" ht="24.75" customHeight="1">
      <c r="A20" s="167"/>
      <c r="B20" s="167"/>
      <c r="C20" s="28" t="s">
        <v>17</v>
      </c>
      <c r="D20" s="29" t="s">
        <v>149</v>
      </c>
      <c r="E20" s="29" t="s">
        <v>25</v>
      </c>
      <c r="F20" s="29" t="s">
        <v>26</v>
      </c>
      <c r="G20" s="29" t="s">
        <v>26</v>
      </c>
      <c r="H20" s="29" t="s">
        <v>26</v>
      </c>
      <c r="I20" s="29" t="s">
        <v>26</v>
      </c>
      <c r="J20" s="29" t="s">
        <v>30</v>
      </c>
      <c r="K20" s="29" t="s">
        <v>31</v>
      </c>
      <c r="L20" s="29" t="s">
        <v>31</v>
      </c>
      <c r="M20" s="29" t="s">
        <v>31</v>
      </c>
      <c r="N20" s="1"/>
      <c r="O20" s="41" t="s">
        <v>78</v>
      </c>
      <c r="P20" s="90" t="str" cm="1">
        <f t="array" ref="P20">IFERROR(IF(INDEX('(참고)교과목정보'!$D$5:$D$22, MATCH(1, ('(참고)교과목정보'!$B$5:$B$22=$O$2)*('(참고)교과목정보'!$C$5:$C$22='2. 시간표'!O20), 0))="","-",INDEX('(참고)교과목정보'!$D$5:$D$22, MATCH(1, ('(참고)교과목정보'!$B$5:$B$22=$O$2)*('(참고)교과목정보'!$C$5:$C$22='2. 시간표'!O20), 0))),"-")</f>
        <v>OT</v>
      </c>
      <c r="Q20" s="41" t="s">
        <v>147</v>
      </c>
      <c r="R20" s="27">
        <f>'1. 과정정보'!H88</f>
        <v>4</v>
      </c>
      <c r="S20" s="22">
        <f>COUNTIF($D$5:$M$387, $O20)</f>
        <v>4</v>
      </c>
      <c r="T20" s="23" t="str">
        <f t="shared" si="2"/>
        <v>일치</v>
      </c>
      <c r="U20" s="22"/>
    </row>
    <row r="21" spans="1:21" ht="24.75" customHeight="1">
      <c r="A21" s="167"/>
      <c r="B21" s="167"/>
      <c r="C21" s="32" t="s">
        <v>105</v>
      </c>
      <c r="D21" s="31" t="str">
        <f t="shared" ref="D21" si="42">VLOOKUP(D18,$O$5:$Q$24,3,0)</f>
        <v>김도영</v>
      </c>
      <c r="E21" s="31" t="str">
        <f t="shared" ref="E21" si="43">VLOOKUP(E18,$O$5:$Q$24,3,0)</f>
        <v>김도영</v>
      </c>
      <c r="F21" s="31" t="str">
        <f t="shared" ref="F21" si="44">VLOOKUP(F18,$O$5:$Q$24,3,0)</f>
        <v>김도영</v>
      </c>
      <c r="G21" s="31" t="str">
        <f t="shared" ref="G21:J21" si="45">VLOOKUP(G18,$O$5:$Q$24,3,0)</f>
        <v>김도영</v>
      </c>
      <c r="H21" s="31" t="str">
        <f t="shared" si="45"/>
        <v>김도영</v>
      </c>
      <c r="I21" s="31" t="str">
        <f t="shared" ref="I21" si="46">VLOOKUP(I18,$O$5:$Q$24,3,0)</f>
        <v>김도영</v>
      </c>
      <c r="J21" s="31" t="str">
        <f t="shared" si="45"/>
        <v>김도영</v>
      </c>
      <c r="K21" s="31" t="str">
        <f t="shared" ref="K21:M21" si="47">VLOOKUP(K18,$O$5:$Q$24,3,0)</f>
        <v>김도영</v>
      </c>
      <c r="L21" s="31" t="str">
        <f t="shared" si="47"/>
        <v>김도영</v>
      </c>
      <c r="M21" s="31" t="str">
        <f t="shared" si="47"/>
        <v>김도영</v>
      </c>
      <c r="N21" s="1"/>
      <c r="O21" s="41" t="s">
        <v>81</v>
      </c>
      <c r="P21" s="90" t="str" cm="1">
        <f t="array" ref="P21">IFERROR(IF(INDEX('(참고)교과목정보'!$D$5:$D$22, MATCH(1, ('(참고)교과목정보'!$B$5:$B$22=$O$2)*('(참고)교과목정보'!$C$5:$C$22='2. 시간표'!O21), 0))="","-",INDEX('(참고)교과목정보'!$D$5:$D$22, MATCH(1, ('(참고)교과목정보'!$B$5:$B$22=$O$2)*('(참고)교과목정보'!$C$5:$C$22='2. 시간표'!O21), 0))),"-")</f>
        <v>커리어 특강 및 인성 교육</v>
      </c>
      <c r="Q21" s="41" t="s">
        <v>148</v>
      </c>
      <c r="R21" s="27">
        <f>'1. 과정정보'!H89</f>
        <v>8</v>
      </c>
      <c r="S21" s="22">
        <f>COUNTIF($D$5:$M$387, $O21)</f>
        <v>8</v>
      </c>
      <c r="T21" s="23" t="str">
        <f t="shared" si="2"/>
        <v>일치</v>
      </c>
      <c r="U21" s="22"/>
    </row>
    <row r="22" spans="1:21" ht="24.75" customHeight="1">
      <c r="A22" s="166" t="s">
        <v>113</v>
      </c>
      <c r="B22" s="166" t="s">
        <v>114</v>
      </c>
      <c r="C22" s="18" t="s">
        <v>15</v>
      </c>
      <c r="D22" s="19" t="s">
        <v>23</v>
      </c>
      <c r="E22" s="19" t="s">
        <v>23</v>
      </c>
      <c r="F22" s="19" t="s">
        <v>23</v>
      </c>
      <c r="G22" s="19" t="s">
        <v>23</v>
      </c>
      <c r="H22" s="19" t="s">
        <v>23</v>
      </c>
      <c r="I22" s="19" t="s">
        <v>29</v>
      </c>
      <c r="J22" s="19" t="s">
        <v>29</v>
      </c>
      <c r="K22" s="19" t="s">
        <v>29</v>
      </c>
      <c r="L22" s="19" t="s">
        <v>29</v>
      </c>
      <c r="M22" s="19" t="s">
        <v>29</v>
      </c>
      <c r="N22" s="33"/>
      <c r="O22" s="41" t="s">
        <v>84</v>
      </c>
      <c r="P22" s="90" t="str" cm="1">
        <f t="array" ref="P22">IFERROR(IF(INDEX('(참고)교과목정보'!$D$5:$D$22, MATCH(1, ('(참고)교과목정보'!$B$5:$B$22=$O$2)*('(참고)교과목정보'!$C$5:$C$22='2. 시간표'!O22), 0))="","-",INDEX('(참고)교과목정보'!$D$5:$D$22, MATCH(1, ('(참고)교과목정보'!$B$5:$B$22=$O$2)*('(참고)교과목정보'!$C$5:$C$22='2. 시간표'!O22), 0))),"-")</f>
        <v>프로젝트 발표 및 수료식</v>
      </c>
      <c r="Q22" s="41" t="s">
        <v>147</v>
      </c>
      <c r="R22" s="27">
        <f>'1. 과정정보'!H90</f>
        <v>8</v>
      </c>
      <c r="S22" s="22">
        <f>COUNTIF($D$5:$M$387, $O22)</f>
        <v>8</v>
      </c>
      <c r="T22" s="23" t="str">
        <f t="shared" si="2"/>
        <v>일치</v>
      </c>
      <c r="U22" s="22"/>
    </row>
    <row r="23" spans="1:21" ht="24.75" customHeight="1">
      <c r="A23" s="167"/>
      <c r="B23" s="167"/>
      <c r="C23" s="24" t="s">
        <v>16</v>
      </c>
      <c r="D23" s="25" t="str">
        <f t="shared" ref="D23" si="48">VLOOKUP(D22,$O$5:$P$24,2,FALSE)</f>
        <v>Python 프로그래밍</v>
      </c>
      <c r="E23" s="25" t="str">
        <f t="shared" ref="E23" si="49">VLOOKUP(E22,$O$5:$P$24,2,FALSE)</f>
        <v>Python 프로그래밍</v>
      </c>
      <c r="F23" s="25" t="str">
        <f t="shared" ref="F23" si="50">VLOOKUP(F22,$O$5:$P$24,2,FALSE)</f>
        <v>Python 프로그래밍</v>
      </c>
      <c r="G23" s="25" t="str">
        <f t="shared" ref="G23:J23" si="51">VLOOKUP(G22,$O$5:$P$24,2,FALSE)</f>
        <v>Python 프로그래밍</v>
      </c>
      <c r="H23" s="25" t="str">
        <f t="shared" si="51"/>
        <v>Python 프로그래밍</v>
      </c>
      <c r="I23" s="25" t="str">
        <f t="shared" ref="I23" si="52">VLOOKUP(I22,$O$5:$P$24,2,FALSE)</f>
        <v>Python 전처리 및 시각화</v>
      </c>
      <c r="J23" s="25" t="str">
        <f t="shared" si="51"/>
        <v>Python 전처리 및 시각화</v>
      </c>
      <c r="K23" s="25" t="str">
        <f t="shared" ref="K23:M23" si="53">VLOOKUP(K22,$O$5:$P$24,2,FALSE)</f>
        <v>Python 전처리 및 시각화</v>
      </c>
      <c r="L23" s="25" t="str">
        <f t="shared" si="53"/>
        <v>Python 전처리 및 시각화</v>
      </c>
      <c r="M23" s="25" t="str">
        <f t="shared" si="53"/>
        <v>Python 전처리 및 시각화</v>
      </c>
      <c r="N23" s="1"/>
      <c r="O23" s="41"/>
      <c r="P23" s="90" t="str" cm="1">
        <f t="array" ref="P23">IFERROR(IF(INDEX('(참고)교과목정보'!$D$5:$D$22, MATCH(1, ('(참고)교과목정보'!$B$5:$B$22=$O$2)*('(참고)교과목정보'!$C$5:$C$22='2. 시간표'!O23), 0))="","-",INDEX('(참고)교과목정보'!$D$5:$D$22, MATCH(1, ('(참고)교과목정보'!$B$5:$B$22=$O$2)*('(참고)교과목정보'!$C$5:$C$22='2. 시간표'!O23), 0))),"-")</f>
        <v>-</v>
      </c>
      <c r="Q23" s="41"/>
      <c r="R23" s="27"/>
      <c r="S23" s="22"/>
      <c r="T23" s="23" t="str">
        <f t="shared" si="2"/>
        <v>일치</v>
      </c>
      <c r="U23" s="22"/>
    </row>
    <row r="24" spans="1:21" ht="24.75" customHeight="1">
      <c r="A24" s="167"/>
      <c r="B24" s="167"/>
      <c r="C24" s="28" t="s">
        <v>17</v>
      </c>
      <c r="D24" s="29" t="s">
        <v>25</v>
      </c>
      <c r="E24" s="29" t="s">
        <v>25</v>
      </c>
      <c r="F24" s="29" t="s">
        <v>26</v>
      </c>
      <c r="G24" s="29" t="s">
        <v>26</v>
      </c>
      <c r="H24" s="29" t="s">
        <v>26</v>
      </c>
      <c r="I24" s="29" t="s">
        <v>30</v>
      </c>
      <c r="J24" s="29" t="s">
        <v>30</v>
      </c>
      <c r="K24" s="29" t="s">
        <v>31</v>
      </c>
      <c r="L24" s="29" t="s">
        <v>31</v>
      </c>
      <c r="M24" s="29" t="s">
        <v>31</v>
      </c>
      <c r="N24" s="1"/>
      <c r="O24" s="41"/>
      <c r="P24" s="90" t="str" cm="1">
        <f t="array" ref="P24">IFERROR(IF(INDEX('(참고)교과목정보'!$D$5:$D$22, MATCH(1, ('(참고)교과목정보'!$B$5:$B$22=$O$2)*('(참고)교과목정보'!$C$5:$C$22='2. 시간표'!O24), 0))="","-",INDEX('(참고)교과목정보'!$D$5:$D$22, MATCH(1, ('(참고)교과목정보'!$B$5:$B$22=$O$2)*('(참고)교과목정보'!$C$5:$C$22='2. 시간표'!O24), 0))),"-")</f>
        <v>-</v>
      </c>
      <c r="Q24" s="41"/>
      <c r="R24" s="27"/>
      <c r="S24" s="22"/>
      <c r="T24" s="23" t="str">
        <f t="shared" si="2"/>
        <v>일치</v>
      </c>
      <c r="U24" s="22"/>
    </row>
    <row r="25" spans="1:21" ht="24.75" customHeight="1">
      <c r="A25" s="167"/>
      <c r="B25" s="167"/>
      <c r="C25" s="32" t="s">
        <v>105</v>
      </c>
      <c r="D25" s="31" t="str">
        <f t="shared" ref="D25" si="54">VLOOKUP(D22,$O$5:$Q$24,3,0)</f>
        <v>김도영</v>
      </c>
      <c r="E25" s="31" t="str">
        <f t="shared" ref="E25" si="55">VLOOKUP(E22,$O$5:$Q$24,3,0)</f>
        <v>김도영</v>
      </c>
      <c r="F25" s="31" t="str">
        <f t="shared" ref="F25" si="56">VLOOKUP(F22,$O$5:$Q$24,3,0)</f>
        <v>김도영</v>
      </c>
      <c r="G25" s="31" t="str">
        <f t="shared" ref="G25:J25" si="57">VLOOKUP(G22,$O$5:$Q$24,3,0)</f>
        <v>김도영</v>
      </c>
      <c r="H25" s="31" t="str">
        <f t="shared" si="57"/>
        <v>김도영</v>
      </c>
      <c r="I25" s="31" t="str">
        <f t="shared" ref="I25" si="58">VLOOKUP(I22,$O$5:$Q$24,3,0)</f>
        <v>김도영</v>
      </c>
      <c r="J25" s="31" t="str">
        <f t="shared" si="57"/>
        <v>김도영</v>
      </c>
      <c r="K25" s="31" t="str">
        <f t="shared" ref="K25:M25" si="59">VLOOKUP(K22,$O$5:$Q$24,3,0)</f>
        <v>김도영</v>
      </c>
      <c r="L25" s="31" t="str">
        <f t="shared" si="59"/>
        <v>김도영</v>
      </c>
      <c r="M25" s="31" t="str">
        <f t="shared" si="59"/>
        <v>김도영</v>
      </c>
      <c r="N25" s="1"/>
      <c r="O25" s="155" t="s">
        <v>27</v>
      </c>
      <c r="P25" s="156"/>
      <c r="Q25" s="154"/>
      <c r="R25" s="34">
        <f>SUM(R20:R24)</f>
        <v>20</v>
      </c>
      <c r="S25" s="34">
        <f>SUM(S20:S24)</f>
        <v>20</v>
      </c>
      <c r="T25" s="35" t="str">
        <f>IF(R25-S25=0,"일치",R25-S25)</f>
        <v>일치</v>
      </c>
      <c r="U25" s="36" t="s">
        <v>28</v>
      </c>
    </row>
    <row r="26" spans="1:21" ht="24.75" customHeight="1">
      <c r="A26" s="166" t="s">
        <v>115</v>
      </c>
      <c r="B26" s="166" t="s">
        <v>116</v>
      </c>
      <c r="C26" s="18" t="s">
        <v>15</v>
      </c>
      <c r="D26" s="19" t="s">
        <v>23</v>
      </c>
      <c r="E26" s="19" t="s">
        <v>23</v>
      </c>
      <c r="F26" s="19" t="s">
        <v>23</v>
      </c>
      <c r="G26" s="19" t="s">
        <v>23</v>
      </c>
      <c r="H26" s="19" t="s">
        <v>23</v>
      </c>
      <c r="I26" s="19" t="s">
        <v>29</v>
      </c>
      <c r="J26" s="19" t="s">
        <v>29</v>
      </c>
      <c r="K26" s="19" t="s">
        <v>29</v>
      </c>
      <c r="L26" s="19" t="s">
        <v>29</v>
      </c>
      <c r="M26" s="19" t="s">
        <v>29</v>
      </c>
      <c r="N26" s="33"/>
      <c r="O26" s="33"/>
      <c r="P26" s="33"/>
      <c r="Q26" s="33"/>
      <c r="R26" s="33"/>
      <c r="S26" s="33"/>
      <c r="T26" s="33"/>
      <c r="U26" s="33"/>
    </row>
    <row r="27" spans="1:21" ht="24.75" customHeight="1">
      <c r="A27" s="167"/>
      <c r="B27" s="167"/>
      <c r="C27" s="24" t="s">
        <v>16</v>
      </c>
      <c r="D27" s="25" t="str">
        <f t="shared" ref="D27" si="60">VLOOKUP(D26,$O$5:$P$24,2,FALSE)</f>
        <v>Python 프로그래밍</v>
      </c>
      <c r="E27" s="25" t="str">
        <f t="shared" ref="E27" si="61">VLOOKUP(E26,$O$5:$P$24,2,FALSE)</f>
        <v>Python 프로그래밍</v>
      </c>
      <c r="F27" s="25" t="str">
        <f t="shared" ref="F27" si="62">VLOOKUP(F26,$O$5:$P$24,2,FALSE)</f>
        <v>Python 프로그래밍</v>
      </c>
      <c r="G27" s="25" t="str">
        <f t="shared" ref="G27:J27" si="63">VLOOKUP(G26,$O$5:$P$24,2,FALSE)</f>
        <v>Python 프로그래밍</v>
      </c>
      <c r="H27" s="25" t="str">
        <f t="shared" si="63"/>
        <v>Python 프로그래밍</v>
      </c>
      <c r="I27" s="25" t="str">
        <f t="shared" ref="I27" si="64">VLOOKUP(I26,$O$5:$P$24,2,FALSE)</f>
        <v>Python 전처리 및 시각화</v>
      </c>
      <c r="J27" s="25" t="str">
        <f t="shared" si="63"/>
        <v>Python 전처리 및 시각화</v>
      </c>
      <c r="K27" s="25" t="str">
        <f t="shared" ref="K27:M27" si="65">VLOOKUP(K26,$O$5:$P$24,2,FALSE)</f>
        <v>Python 전처리 및 시각화</v>
      </c>
      <c r="L27" s="25" t="str">
        <f t="shared" si="65"/>
        <v>Python 전처리 및 시각화</v>
      </c>
      <c r="M27" s="25" t="str">
        <f t="shared" si="65"/>
        <v>Python 전처리 및 시각화</v>
      </c>
      <c r="N27" s="1"/>
      <c r="O27" s="1"/>
      <c r="P27" s="1"/>
      <c r="Q27" s="1"/>
      <c r="R27" s="1"/>
      <c r="S27" s="1"/>
      <c r="T27" s="1"/>
      <c r="U27" s="1"/>
    </row>
    <row r="28" spans="1:21" ht="24.75" customHeight="1">
      <c r="A28" s="167"/>
      <c r="B28" s="167"/>
      <c r="C28" s="28" t="s">
        <v>17</v>
      </c>
      <c r="D28" s="29" t="s">
        <v>25</v>
      </c>
      <c r="E28" s="29" t="s">
        <v>25</v>
      </c>
      <c r="F28" s="29" t="s">
        <v>26</v>
      </c>
      <c r="G28" s="29" t="s">
        <v>26</v>
      </c>
      <c r="H28" s="29" t="s">
        <v>26</v>
      </c>
      <c r="I28" s="29" t="s">
        <v>30</v>
      </c>
      <c r="J28" s="29" t="s">
        <v>30</v>
      </c>
      <c r="K28" s="29" t="s">
        <v>31</v>
      </c>
      <c r="L28" s="29" t="s">
        <v>31</v>
      </c>
      <c r="M28" s="29" t="s">
        <v>31</v>
      </c>
      <c r="N28" s="1"/>
      <c r="O28" s="1"/>
      <c r="P28" s="1"/>
      <c r="Q28" s="1"/>
      <c r="R28" s="1"/>
      <c r="S28" s="1"/>
      <c r="T28" s="1"/>
      <c r="U28" s="1"/>
    </row>
    <row r="29" spans="1:21" ht="24.75" customHeight="1">
      <c r="A29" s="167"/>
      <c r="B29" s="167"/>
      <c r="C29" s="32" t="s">
        <v>105</v>
      </c>
      <c r="D29" s="31" t="str">
        <f t="shared" ref="D29" si="66">VLOOKUP(D26,$O$5:$Q$24,3,0)</f>
        <v>김도영</v>
      </c>
      <c r="E29" s="31" t="str">
        <f t="shared" ref="E29" si="67">VLOOKUP(E26,$O$5:$Q$24,3,0)</f>
        <v>김도영</v>
      </c>
      <c r="F29" s="31" t="str">
        <f t="shared" ref="F29" si="68">VLOOKUP(F26,$O$5:$Q$24,3,0)</f>
        <v>김도영</v>
      </c>
      <c r="G29" s="31" t="str">
        <f t="shared" ref="G29:J29" si="69">VLOOKUP(G26,$O$5:$Q$24,3,0)</f>
        <v>김도영</v>
      </c>
      <c r="H29" s="31" t="str">
        <f t="shared" si="69"/>
        <v>김도영</v>
      </c>
      <c r="I29" s="31" t="str">
        <f t="shared" ref="I29" si="70">VLOOKUP(I26,$O$5:$Q$24,3,0)</f>
        <v>김도영</v>
      </c>
      <c r="J29" s="31" t="str">
        <f t="shared" si="69"/>
        <v>김도영</v>
      </c>
      <c r="K29" s="31" t="str">
        <f t="shared" ref="K29:M29" si="71">VLOOKUP(K26,$O$5:$Q$24,3,0)</f>
        <v>김도영</v>
      </c>
      <c r="L29" s="31" t="str">
        <f t="shared" si="71"/>
        <v>김도영</v>
      </c>
      <c r="M29" s="31" t="str">
        <f t="shared" si="71"/>
        <v>김도영</v>
      </c>
      <c r="N29" s="1"/>
      <c r="O29" s="33"/>
      <c r="P29" s="33"/>
      <c r="Q29" s="33"/>
      <c r="R29" s="33"/>
      <c r="S29" s="33"/>
      <c r="T29" s="33"/>
      <c r="U29" s="33"/>
    </row>
    <row r="30" spans="1:21" ht="24.75" customHeight="1">
      <c r="A30" s="166" t="s">
        <v>117</v>
      </c>
      <c r="B30" s="166" t="s">
        <v>118</v>
      </c>
      <c r="C30" s="18" t="s">
        <v>15</v>
      </c>
      <c r="D30" s="19" t="s">
        <v>23</v>
      </c>
      <c r="E30" s="19" t="s">
        <v>23</v>
      </c>
      <c r="F30" s="19" t="s">
        <v>23</v>
      </c>
      <c r="G30" s="19" t="s">
        <v>23</v>
      </c>
      <c r="H30" s="19" t="s">
        <v>23</v>
      </c>
      <c r="I30" s="19" t="s">
        <v>29</v>
      </c>
      <c r="J30" s="19" t="s">
        <v>29</v>
      </c>
      <c r="K30" s="19" t="s">
        <v>29</v>
      </c>
      <c r="L30" s="19" t="s">
        <v>29</v>
      </c>
      <c r="M30" s="19" t="s">
        <v>29</v>
      </c>
      <c r="N30" s="33"/>
      <c r="O30" s="1"/>
      <c r="P30" s="1"/>
      <c r="Q30" s="1"/>
      <c r="R30" s="1"/>
      <c r="S30" s="1"/>
      <c r="T30" s="1"/>
      <c r="U30" s="1"/>
    </row>
    <row r="31" spans="1:21" ht="24.75" customHeight="1">
      <c r="A31" s="167"/>
      <c r="B31" s="167"/>
      <c r="C31" s="24" t="s">
        <v>16</v>
      </c>
      <c r="D31" s="25" t="str">
        <f t="shared" ref="D31" si="72">VLOOKUP(D30,$O$5:$P$24,2,FALSE)</f>
        <v>Python 프로그래밍</v>
      </c>
      <c r="E31" s="25" t="str">
        <f t="shared" ref="E31" si="73">VLOOKUP(E30,$O$5:$P$24,2,FALSE)</f>
        <v>Python 프로그래밍</v>
      </c>
      <c r="F31" s="25" t="str">
        <f t="shared" ref="F31" si="74">VLOOKUP(F30,$O$5:$P$24,2,FALSE)</f>
        <v>Python 프로그래밍</v>
      </c>
      <c r="G31" s="25" t="str">
        <f t="shared" ref="G31:J31" si="75">VLOOKUP(G30,$O$5:$P$24,2,FALSE)</f>
        <v>Python 프로그래밍</v>
      </c>
      <c r="H31" s="25" t="str">
        <f t="shared" si="75"/>
        <v>Python 프로그래밍</v>
      </c>
      <c r="I31" s="25" t="str">
        <f t="shared" ref="I31" si="76">VLOOKUP(I30,$O$5:$P$24,2,FALSE)</f>
        <v>Python 전처리 및 시각화</v>
      </c>
      <c r="J31" s="25" t="str">
        <f t="shared" si="75"/>
        <v>Python 전처리 및 시각화</v>
      </c>
      <c r="K31" s="25" t="str">
        <f t="shared" ref="K31:M31" si="77">VLOOKUP(K30,$O$5:$P$24,2,FALSE)</f>
        <v>Python 전처리 및 시각화</v>
      </c>
      <c r="L31" s="25" t="str">
        <f t="shared" si="77"/>
        <v>Python 전처리 및 시각화</v>
      </c>
      <c r="M31" s="25" t="str">
        <f t="shared" si="77"/>
        <v>Python 전처리 및 시각화</v>
      </c>
      <c r="N31" s="1"/>
      <c r="O31" s="1"/>
      <c r="P31" s="1"/>
      <c r="Q31" s="1"/>
      <c r="R31" s="1"/>
      <c r="S31" s="1"/>
      <c r="T31" s="1"/>
      <c r="U31" s="1"/>
    </row>
    <row r="32" spans="1:21" ht="24.75" customHeight="1">
      <c r="A32" s="167"/>
      <c r="B32" s="167"/>
      <c r="C32" s="28" t="s">
        <v>17</v>
      </c>
      <c r="D32" s="29" t="s">
        <v>25</v>
      </c>
      <c r="E32" s="29" t="s">
        <v>25</v>
      </c>
      <c r="F32" s="29" t="s">
        <v>26</v>
      </c>
      <c r="G32" s="29" t="s">
        <v>26</v>
      </c>
      <c r="H32" s="29" t="s">
        <v>26</v>
      </c>
      <c r="I32" s="29" t="s">
        <v>30</v>
      </c>
      <c r="J32" s="29" t="s">
        <v>30</v>
      </c>
      <c r="K32" s="29" t="s">
        <v>31</v>
      </c>
      <c r="L32" s="29" t="s">
        <v>31</v>
      </c>
      <c r="M32" s="29" t="s">
        <v>31</v>
      </c>
      <c r="N32" s="1"/>
      <c r="O32" s="1"/>
      <c r="P32" s="1"/>
      <c r="Q32" s="1"/>
      <c r="R32" s="1"/>
      <c r="S32" s="1"/>
      <c r="T32" s="1"/>
      <c r="U32" s="1"/>
    </row>
    <row r="33" spans="1:21" ht="24.75" customHeight="1">
      <c r="A33" s="167"/>
      <c r="B33" s="167"/>
      <c r="C33" s="32" t="s">
        <v>105</v>
      </c>
      <c r="D33" s="31" t="str">
        <f t="shared" ref="D33" si="78">VLOOKUP(D30,$O$5:$Q$24,3,0)</f>
        <v>김도영</v>
      </c>
      <c r="E33" s="31" t="str">
        <f t="shared" ref="E33" si="79">VLOOKUP(E30,$O$5:$Q$24,3,0)</f>
        <v>김도영</v>
      </c>
      <c r="F33" s="31" t="str">
        <f t="shared" ref="F33" si="80">VLOOKUP(F30,$O$5:$Q$24,3,0)</f>
        <v>김도영</v>
      </c>
      <c r="G33" s="31" t="str">
        <f t="shared" ref="G33:J33" si="81">VLOOKUP(G30,$O$5:$Q$24,3,0)</f>
        <v>김도영</v>
      </c>
      <c r="H33" s="31" t="str">
        <f t="shared" si="81"/>
        <v>김도영</v>
      </c>
      <c r="I33" s="31" t="str">
        <f t="shared" ref="I33" si="82">VLOOKUP(I30,$O$5:$Q$24,3,0)</f>
        <v>김도영</v>
      </c>
      <c r="J33" s="31" t="str">
        <f t="shared" si="81"/>
        <v>김도영</v>
      </c>
      <c r="K33" s="31" t="str">
        <f t="shared" ref="K33:M33" si="83">VLOOKUP(K30,$O$5:$Q$24,3,0)</f>
        <v>김도영</v>
      </c>
      <c r="L33" s="31" t="str">
        <f t="shared" si="83"/>
        <v>김도영</v>
      </c>
      <c r="M33" s="31" t="str">
        <f t="shared" si="83"/>
        <v>김도영</v>
      </c>
      <c r="N33" s="1"/>
      <c r="O33" s="1"/>
      <c r="P33" s="1"/>
      <c r="Q33" s="1"/>
      <c r="R33" s="1"/>
      <c r="S33" s="1"/>
      <c r="T33" s="1"/>
      <c r="U33" s="1"/>
    </row>
    <row r="34" spans="1:21" ht="24.75" customHeight="1">
      <c r="A34" s="166" t="s">
        <v>119</v>
      </c>
      <c r="B34" s="166" t="s">
        <v>120</v>
      </c>
      <c r="C34" s="18" t="s">
        <v>15</v>
      </c>
      <c r="D34" s="19" t="s">
        <v>23</v>
      </c>
      <c r="E34" s="19" t="s">
        <v>23</v>
      </c>
      <c r="F34" s="19" t="s">
        <v>23</v>
      </c>
      <c r="G34" s="19" t="s">
        <v>23</v>
      </c>
      <c r="H34" s="19" t="s">
        <v>23</v>
      </c>
      <c r="I34" s="19" t="s">
        <v>29</v>
      </c>
      <c r="J34" s="19" t="s">
        <v>29</v>
      </c>
      <c r="K34" s="19" t="s">
        <v>29</v>
      </c>
      <c r="L34" s="19" t="s">
        <v>29</v>
      </c>
      <c r="M34" s="19" t="s">
        <v>29</v>
      </c>
      <c r="N34" s="33"/>
      <c r="O34" s="1"/>
      <c r="P34" s="1"/>
      <c r="Q34" s="1"/>
      <c r="R34" s="1"/>
      <c r="S34" s="1"/>
      <c r="T34" s="1"/>
      <c r="U34" s="1"/>
    </row>
    <row r="35" spans="1:21" ht="24.75" customHeight="1">
      <c r="A35" s="167"/>
      <c r="B35" s="167"/>
      <c r="C35" s="24" t="s">
        <v>16</v>
      </c>
      <c r="D35" s="25" t="str">
        <f t="shared" ref="D35" si="84">VLOOKUP(D34,$O$5:$P$24,2,FALSE)</f>
        <v>Python 프로그래밍</v>
      </c>
      <c r="E35" s="25" t="str">
        <f t="shared" ref="E35" si="85">VLOOKUP(E34,$O$5:$P$24,2,FALSE)</f>
        <v>Python 프로그래밍</v>
      </c>
      <c r="F35" s="25" t="str">
        <f t="shared" ref="F35" si="86">VLOOKUP(F34,$O$5:$P$24,2,FALSE)</f>
        <v>Python 프로그래밍</v>
      </c>
      <c r="G35" s="25" t="str">
        <f t="shared" ref="G35:J35" si="87">VLOOKUP(G34,$O$5:$P$24,2,FALSE)</f>
        <v>Python 프로그래밍</v>
      </c>
      <c r="H35" s="25" t="str">
        <f t="shared" si="87"/>
        <v>Python 프로그래밍</v>
      </c>
      <c r="I35" s="25" t="str">
        <f t="shared" ref="I35" si="88">VLOOKUP(I34,$O$5:$P$24,2,FALSE)</f>
        <v>Python 전처리 및 시각화</v>
      </c>
      <c r="J35" s="25" t="str">
        <f t="shared" si="87"/>
        <v>Python 전처리 및 시각화</v>
      </c>
      <c r="K35" s="25" t="str">
        <f t="shared" ref="K35:M35" si="89">VLOOKUP(K34,$O$5:$P$24,2,FALSE)</f>
        <v>Python 전처리 및 시각화</v>
      </c>
      <c r="L35" s="25" t="str">
        <f t="shared" si="89"/>
        <v>Python 전처리 및 시각화</v>
      </c>
      <c r="M35" s="25" t="str">
        <f t="shared" si="89"/>
        <v>Python 전처리 및 시각화</v>
      </c>
      <c r="N35" s="1"/>
      <c r="O35" s="1"/>
      <c r="P35" s="1"/>
      <c r="Q35" s="1"/>
      <c r="R35" s="1"/>
      <c r="S35" s="1"/>
      <c r="T35" s="1"/>
      <c r="U35" s="1"/>
    </row>
    <row r="36" spans="1:21" ht="24.75" customHeight="1">
      <c r="A36" s="167"/>
      <c r="B36" s="167"/>
      <c r="C36" s="28" t="s">
        <v>17</v>
      </c>
      <c r="D36" s="29" t="s">
        <v>25</v>
      </c>
      <c r="E36" s="29" t="s">
        <v>25</v>
      </c>
      <c r="F36" s="29" t="s">
        <v>26</v>
      </c>
      <c r="G36" s="29" t="s">
        <v>26</v>
      </c>
      <c r="H36" s="29" t="s">
        <v>26</v>
      </c>
      <c r="I36" s="29" t="s">
        <v>30</v>
      </c>
      <c r="J36" s="29" t="s">
        <v>30</v>
      </c>
      <c r="K36" s="29" t="s">
        <v>31</v>
      </c>
      <c r="L36" s="29" t="s">
        <v>31</v>
      </c>
      <c r="M36" s="29" t="s">
        <v>31</v>
      </c>
      <c r="N36" s="1"/>
      <c r="O36" s="1"/>
      <c r="P36" s="1"/>
      <c r="Q36" s="1"/>
      <c r="R36" s="1"/>
      <c r="S36" s="1"/>
      <c r="T36" s="1"/>
      <c r="U36" s="1"/>
    </row>
    <row r="37" spans="1:21" ht="24.75" customHeight="1">
      <c r="A37" s="159"/>
      <c r="B37" s="159"/>
      <c r="C37" s="32" t="s">
        <v>105</v>
      </c>
      <c r="D37" s="31" t="str">
        <f t="shared" ref="D37" si="90">VLOOKUP(D34,$O$5:$Q$24,3,0)</f>
        <v>김도영</v>
      </c>
      <c r="E37" s="31" t="str">
        <f t="shared" ref="E37" si="91">VLOOKUP(E34,$O$5:$Q$24,3,0)</f>
        <v>김도영</v>
      </c>
      <c r="F37" s="31" t="str">
        <f t="shared" ref="F37" si="92">VLOOKUP(F34,$O$5:$Q$24,3,0)</f>
        <v>김도영</v>
      </c>
      <c r="G37" s="31" t="str">
        <f t="shared" ref="G37:J37" si="93">VLOOKUP(G34,$O$5:$Q$24,3,0)</f>
        <v>김도영</v>
      </c>
      <c r="H37" s="31" t="str">
        <f t="shared" si="93"/>
        <v>김도영</v>
      </c>
      <c r="I37" s="31" t="str">
        <f t="shared" ref="I37" si="94">VLOOKUP(I34,$O$5:$Q$24,3,0)</f>
        <v>김도영</v>
      </c>
      <c r="J37" s="31" t="str">
        <f t="shared" si="93"/>
        <v>김도영</v>
      </c>
      <c r="K37" s="31" t="str">
        <f t="shared" ref="K37:M37" si="95">VLOOKUP(K34,$O$5:$Q$24,3,0)</f>
        <v>김도영</v>
      </c>
      <c r="L37" s="31" t="str">
        <f t="shared" si="95"/>
        <v>김도영</v>
      </c>
      <c r="M37" s="31" t="str">
        <f t="shared" si="95"/>
        <v>김도영</v>
      </c>
      <c r="N37" s="1"/>
      <c r="O37" s="1"/>
      <c r="P37" s="1"/>
      <c r="Q37" s="1"/>
      <c r="R37" s="1"/>
      <c r="S37" s="1"/>
      <c r="T37" s="1"/>
      <c r="U37" s="1"/>
    </row>
    <row r="38" spans="1:21" ht="24.75" customHeight="1">
      <c r="A38" s="164" t="s">
        <v>94</v>
      </c>
      <c r="B38" s="164" t="s">
        <v>95</v>
      </c>
      <c r="C38" s="164" t="s">
        <v>96</v>
      </c>
      <c r="D38" s="165">
        <f>I3+1</f>
        <v>3</v>
      </c>
      <c r="E38" s="156"/>
      <c r="F38" s="156"/>
      <c r="G38" s="156"/>
      <c r="H38" s="154"/>
      <c r="I38" s="165">
        <f>D38+1</f>
        <v>4</v>
      </c>
      <c r="J38" s="156"/>
      <c r="K38" s="156"/>
      <c r="L38" s="156"/>
      <c r="M38" s="154"/>
      <c r="N38" s="1"/>
      <c r="O38" s="1"/>
      <c r="P38" s="1"/>
      <c r="Q38" s="1"/>
      <c r="R38" s="1"/>
      <c r="S38" s="1"/>
      <c r="T38" s="1"/>
      <c r="U38" s="1"/>
    </row>
    <row r="39" spans="1:21" ht="24.75" customHeight="1">
      <c r="A39" s="159"/>
      <c r="B39" s="159"/>
      <c r="C39" s="159"/>
      <c r="D39" s="14">
        <f>M4+3</f>
        <v>46125</v>
      </c>
      <c r="E39" s="14">
        <f t="shared" ref="E39:H39" si="96">D39+1</f>
        <v>46126</v>
      </c>
      <c r="F39" s="14">
        <f t="shared" si="96"/>
        <v>46127</v>
      </c>
      <c r="G39" s="14">
        <f t="shared" si="96"/>
        <v>46128</v>
      </c>
      <c r="H39" s="14">
        <f t="shared" si="96"/>
        <v>46129</v>
      </c>
      <c r="I39" s="14">
        <f>H39+3</f>
        <v>46132</v>
      </c>
      <c r="J39" s="14">
        <f t="shared" ref="J39:M39" si="97">I39+1</f>
        <v>46133</v>
      </c>
      <c r="K39" s="14">
        <f t="shared" si="97"/>
        <v>46134</v>
      </c>
      <c r="L39" s="14">
        <f t="shared" si="97"/>
        <v>46135</v>
      </c>
      <c r="M39" s="14">
        <f t="shared" si="97"/>
        <v>46136</v>
      </c>
      <c r="N39" s="1"/>
      <c r="O39" s="1"/>
      <c r="P39" s="1"/>
      <c r="Q39" s="1"/>
      <c r="R39" s="1"/>
      <c r="S39" s="1"/>
      <c r="T39" s="1"/>
      <c r="U39" s="1"/>
    </row>
    <row r="40" spans="1:21" ht="24.75" customHeight="1">
      <c r="A40" s="166" t="s">
        <v>103</v>
      </c>
      <c r="B40" s="166" t="s">
        <v>104</v>
      </c>
      <c r="C40" s="18" t="s">
        <v>15</v>
      </c>
      <c r="D40" s="19" t="s">
        <v>29</v>
      </c>
      <c r="E40" s="19" t="s">
        <v>32</v>
      </c>
      <c r="F40" s="19" t="s">
        <v>32</v>
      </c>
      <c r="G40" s="19" t="s">
        <v>32</v>
      </c>
      <c r="H40" s="19"/>
      <c r="I40" s="19" t="s">
        <v>32</v>
      </c>
      <c r="J40" s="19" t="s">
        <v>32</v>
      </c>
      <c r="K40" s="19" t="s">
        <v>32</v>
      </c>
      <c r="L40" s="19" t="s">
        <v>38</v>
      </c>
      <c r="M40" s="19" t="s">
        <v>38</v>
      </c>
      <c r="N40" s="1"/>
      <c r="O40" s="1"/>
      <c r="P40" s="1"/>
      <c r="Q40" s="1"/>
      <c r="R40" s="1"/>
      <c r="S40" s="1"/>
      <c r="T40" s="1"/>
      <c r="U40" s="1"/>
    </row>
    <row r="41" spans="1:21" ht="24.75" customHeight="1">
      <c r="A41" s="167"/>
      <c r="B41" s="167"/>
      <c r="C41" s="24" t="s">
        <v>16</v>
      </c>
      <c r="D41" s="25" t="str">
        <f t="shared" ref="D41:M41" si="98">VLOOKUP(D40,$O$5:$P$24,2,FALSE)</f>
        <v>Python 전처리 및 시각화</v>
      </c>
      <c r="E41" s="25" t="str">
        <f t="shared" si="98"/>
        <v>머신러닝과 딥러닝</v>
      </c>
      <c r="F41" s="25" t="str">
        <f t="shared" si="98"/>
        <v>머신러닝과 딥러닝</v>
      </c>
      <c r="G41" s="25" t="str">
        <f t="shared" si="98"/>
        <v>머신러닝과 딥러닝</v>
      </c>
      <c r="H41" s="25" t="e">
        <f t="shared" si="98"/>
        <v>#N/A</v>
      </c>
      <c r="I41" s="25" t="str">
        <f t="shared" si="98"/>
        <v>머신러닝과 딥러닝</v>
      </c>
      <c r="J41" s="25" t="str">
        <f t="shared" si="98"/>
        <v>머신러닝과 딥러닝</v>
      </c>
      <c r="K41" s="25" t="str">
        <f t="shared" si="98"/>
        <v>머신러닝과 딥러닝</v>
      </c>
      <c r="L41" s="25" t="str">
        <f t="shared" si="98"/>
        <v>자연어 및 음성 데이터 활용 및 모델 개발</v>
      </c>
      <c r="M41" s="25" t="str">
        <f t="shared" si="98"/>
        <v>자연어 및 음성 데이터 활용 및 모델 개발</v>
      </c>
      <c r="N41" s="1"/>
      <c r="O41" s="1"/>
      <c r="P41" s="1"/>
      <c r="Q41" s="1"/>
      <c r="R41" s="1"/>
      <c r="S41" s="1"/>
      <c r="T41" s="1"/>
      <c r="U41" s="1"/>
    </row>
    <row r="42" spans="1:21" ht="24.75" customHeight="1">
      <c r="A42" s="167"/>
      <c r="B42" s="167"/>
      <c r="C42" s="28" t="s">
        <v>17</v>
      </c>
      <c r="D42" s="29" t="s">
        <v>31</v>
      </c>
      <c r="E42" s="29" t="s">
        <v>150</v>
      </c>
      <c r="F42" s="29" t="s">
        <v>151</v>
      </c>
      <c r="G42" s="29" t="s">
        <v>151</v>
      </c>
      <c r="H42" s="29"/>
      <c r="I42" s="29" t="s">
        <v>36</v>
      </c>
      <c r="J42" s="29" t="s">
        <v>37</v>
      </c>
      <c r="K42" s="29" t="s">
        <v>37</v>
      </c>
      <c r="L42" s="29" t="s">
        <v>40</v>
      </c>
      <c r="M42" s="29" t="s">
        <v>40</v>
      </c>
      <c r="N42" s="1"/>
      <c r="O42" s="1"/>
      <c r="P42" s="1"/>
      <c r="Q42" s="1"/>
      <c r="R42" s="1"/>
      <c r="S42" s="1"/>
      <c r="T42" s="1"/>
      <c r="U42" s="1"/>
    </row>
    <row r="43" spans="1:21" ht="24.75" customHeight="1">
      <c r="A43" s="167"/>
      <c r="B43" s="167"/>
      <c r="C43" s="30" t="s">
        <v>105</v>
      </c>
      <c r="D43" s="31" t="str">
        <f t="shared" ref="D43:M43" si="99">VLOOKUP(D40,$O$5:$Q$24,3,0)</f>
        <v>김도영</v>
      </c>
      <c r="E43" s="31" t="str">
        <f t="shared" si="99"/>
        <v>김도영</v>
      </c>
      <c r="F43" s="31" t="str">
        <f t="shared" si="99"/>
        <v>김도영</v>
      </c>
      <c r="G43" s="31" t="str">
        <f t="shared" si="99"/>
        <v>김도영</v>
      </c>
      <c r="H43" s="31" t="e">
        <f t="shared" si="99"/>
        <v>#N/A</v>
      </c>
      <c r="I43" s="31" t="str">
        <f t="shared" si="99"/>
        <v>김도영</v>
      </c>
      <c r="J43" s="31" t="str">
        <f t="shared" si="99"/>
        <v>김도영</v>
      </c>
      <c r="K43" s="31" t="str">
        <f t="shared" si="99"/>
        <v>김도영</v>
      </c>
      <c r="L43" s="31" t="str">
        <f t="shared" si="99"/>
        <v>김도영</v>
      </c>
      <c r="M43" s="31" t="str">
        <f t="shared" si="99"/>
        <v>김도영</v>
      </c>
      <c r="N43" s="1"/>
      <c r="O43" s="1"/>
      <c r="P43" s="1"/>
      <c r="Q43" s="1"/>
      <c r="R43" s="1"/>
      <c r="S43" s="1"/>
      <c r="T43" s="1"/>
      <c r="U43" s="1"/>
    </row>
    <row r="44" spans="1:21" ht="24.75" customHeight="1">
      <c r="A44" s="166" t="s">
        <v>106</v>
      </c>
      <c r="B44" s="166" t="s">
        <v>107</v>
      </c>
      <c r="C44" s="18" t="s">
        <v>15</v>
      </c>
      <c r="D44" s="19" t="s">
        <v>29</v>
      </c>
      <c r="E44" s="19" t="s">
        <v>32</v>
      </c>
      <c r="F44" s="19" t="s">
        <v>32</v>
      </c>
      <c r="G44" s="19" t="s">
        <v>32</v>
      </c>
      <c r="H44" s="19"/>
      <c r="I44" s="19" t="s">
        <v>32</v>
      </c>
      <c r="J44" s="19" t="s">
        <v>32</v>
      </c>
      <c r="K44" s="19" t="s">
        <v>32</v>
      </c>
      <c r="L44" s="19" t="s">
        <v>38</v>
      </c>
      <c r="M44" s="19" t="s">
        <v>38</v>
      </c>
      <c r="N44" s="1"/>
      <c r="O44" s="1"/>
      <c r="P44" s="1"/>
      <c r="Q44" s="1"/>
      <c r="R44" s="1"/>
      <c r="S44" s="1"/>
      <c r="T44" s="1"/>
      <c r="U44" s="1"/>
    </row>
    <row r="45" spans="1:21" ht="24.75" customHeight="1">
      <c r="A45" s="167"/>
      <c r="B45" s="167"/>
      <c r="C45" s="24" t="s">
        <v>16</v>
      </c>
      <c r="D45" s="25" t="str">
        <f t="shared" ref="D45:M45" si="100">VLOOKUP(D44,$O$5:$P$24,2,FALSE)</f>
        <v>Python 전처리 및 시각화</v>
      </c>
      <c r="E45" s="25" t="str">
        <f t="shared" si="100"/>
        <v>머신러닝과 딥러닝</v>
      </c>
      <c r="F45" s="25" t="str">
        <f t="shared" si="100"/>
        <v>머신러닝과 딥러닝</v>
      </c>
      <c r="G45" s="25" t="str">
        <f t="shared" si="100"/>
        <v>머신러닝과 딥러닝</v>
      </c>
      <c r="H45" s="25" t="e">
        <f t="shared" si="100"/>
        <v>#N/A</v>
      </c>
      <c r="I45" s="25" t="str">
        <f t="shared" si="100"/>
        <v>머신러닝과 딥러닝</v>
      </c>
      <c r="J45" s="25" t="str">
        <f t="shared" si="100"/>
        <v>머신러닝과 딥러닝</v>
      </c>
      <c r="K45" s="25" t="str">
        <f t="shared" si="100"/>
        <v>머신러닝과 딥러닝</v>
      </c>
      <c r="L45" s="25" t="str">
        <f t="shared" si="100"/>
        <v>자연어 및 음성 데이터 활용 및 모델 개발</v>
      </c>
      <c r="M45" s="25" t="str">
        <f t="shared" si="100"/>
        <v>자연어 및 음성 데이터 활용 및 모델 개발</v>
      </c>
      <c r="N45" s="1"/>
      <c r="O45" s="1"/>
      <c r="P45" s="1"/>
      <c r="Q45" s="1"/>
      <c r="R45" s="1"/>
      <c r="S45" s="1"/>
      <c r="T45" s="1"/>
      <c r="U45" s="1"/>
    </row>
    <row r="46" spans="1:21" ht="24.75" customHeight="1">
      <c r="A46" s="167"/>
      <c r="B46" s="167"/>
      <c r="C46" s="28" t="s">
        <v>17</v>
      </c>
      <c r="D46" s="29" t="s">
        <v>31</v>
      </c>
      <c r="E46" s="29" t="s">
        <v>150</v>
      </c>
      <c r="F46" s="29" t="s">
        <v>151</v>
      </c>
      <c r="G46" s="29" t="s">
        <v>151</v>
      </c>
      <c r="H46" s="29"/>
      <c r="I46" s="29" t="s">
        <v>36</v>
      </c>
      <c r="J46" s="29" t="s">
        <v>37</v>
      </c>
      <c r="K46" s="29" t="s">
        <v>37</v>
      </c>
      <c r="L46" s="29" t="s">
        <v>40</v>
      </c>
      <c r="M46" s="29" t="s">
        <v>40</v>
      </c>
      <c r="N46" s="1"/>
      <c r="O46" s="1"/>
      <c r="P46" s="1"/>
      <c r="Q46" s="1"/>
      <c r="R46" s="1"/>
      <c r="S46" s="1"/>
      <c r="T46" s="1"/>
      <c r="U46" s="1"/>
    </row>
    <row r="47" spans="1:21" ht="24.75" customHeight="1">
      <c r="A47" s="167"/>
      <c r="B47" s="167"/>
      <c r="C47" s="32" t="s">
        <v>105</v>
      </c>
      <c r="D47" s="31" t="str">
        <f t="shared" ref="D47:M47" si="101">VLOOKUP(D44,$O$5:$Q$24,3,0)</f>
        <v>김도영</v>
      </c>
      <c r="E47" s="31" t="str">
        <f t="shared" si="101"/>
        <v>김도영</v>
      </c>
      <c r="F47" s="31" t="str">
        <f t="shared" si="101"/>
        <v>김도영</v>
      </c>
      <c r="G47" s="31" t="str">
        <f t="shared" si="101"/>
        <v>김도영</v>
      </c>
      <c r="H47" s="31" t="e">
        <f t="shared" si="101"/>
        <v>#N/A</v>
      </c>
      <c r="I47" s="31" t="str">
        <f t="shared" si="101"/>
        <v>김도영</v>
      </c>
      <c r="J47" s="31" t="str">
        <f t="shared" si="101"/>
        <v>김도영</v>
      </c>
      <c r="K47" s="31" t="str">
        <f t="shared" si="101"/>
        <v>김도영</v>
      </c>
      <c r="L47" s="31" t="str">
        <f t="shared" si="101"/>
        <v>김도영</v>
      </c>
      <c r="M47" s="31" t="str">
        <f t="shared" si="101"/>
        <v>김도영</v>
      </c>
      <c r="N47" s="1"/>
      <c r="O47" s="1"/>
      <c r="P47" s="1"/>
      <c r="Q47" s="1"/>
      <c r="R47" s="1"/>
      <c r="S47" s="1"/>
      <c r="T47" s="1"/>
      <c r="U47" s="1"/>
    </row>
    <row r="48" spans="1:21" ht="24.75" customHeight="1">
      <c r="A48" s="166" t="s">
        <v>108</v>
      </c>
      <c r="B48" s="166" t="s">
        <v>109</v>
      </c>
      <c r="C48" s="18" t="s">
        <v>15</v>
      </c>
      <c r="D48" s="19" t="s">
        <v>29</v>
      </c>
      <c r="E48" s="19" t="s">
        <v>32</v>
      </c>
      <c r="F48" s="19" t="s">
        <v>32</v>
      </c>
      <c r="G48" s="19" t="s">
        <v>32</v>
      </c>
      <c r="H48" s="19"/>
      <c r="I48" s="19" t="s">
        <v>32</v>
      </c>
      <c r="J48" s="19" t="s">
        <v>32</v>
      </c>
      <c r="K48" s="19" t="s">
        <v>32</v>
      </c>
      <c r="L48" s="19" t="s">
        <v>38</v>
      </c>
      <c r="M48" s="19" t="s">
        <v>38</v>
      </c>
      <c r="N48" s="1"/>
      <c r="O48" s="1"/>
      <c r="P48" s="1"/>
      <c r="Q48" s="1"/>
      <c r="R48" s="1"/>
      <c r="S48" s="1"/>
      <c r="T48" s="1"/>
      <c r="U48" s="1"/>
    </row>
    <row r="49" spans="1:21" ht="24.75" customHeight="1">
      <c r="A49" s="167"/>
      <c r="B49" s="167"/>
      <c r="C49" s="24" t="s">
        <v>16</v>
      </c>
      <c r="D49" s="25" t="str">
        <f t="shared" ref="D49:M49" si="102">VLOOKUP(D48,$O$5:$P$24,2,FALSE)</f>
        <v>Python 전처리 및 시각화</v>
      </c>
      <c r="E49" s="25" t="str">
        <f t="shared" si="102"/>
        <v>머신러닝과 딥러닝</v>
      </c>
      <c r="F49" s="25" t="str">
        <f t="shared" si="102"/>
        <v>머신러닝과 딥러닝</v>
      </c>
      <c r="G49" s="25" t="str">
        <f t="shared" si="102"/>
        <v>머신러닝과 딥러닝</v>
      </c>
      <c r="H49" s="25" t="e">
        <f t="shared" si="102"/>
        <v>#N/A</v>
      </c>
      <c r="I49" s="25" t="str">
        <f t="shared" si="102"/>
        <v>머신러닝과 딥러닝</v>
      </c>
      <c r="J49" s="25" t="str">
        <f t="shared" si="102"/>
        <v>머신러닝과 딥러닝</v>
      </c>
      <c r="K49" s="25" t="str">
        <f t="shared" si="102"/>
        <v>머신러닝과 딥러닝</v>
      </c>
      <c r="L49" s="25" t="str">
        <f t="shared" si="102"/>
        <v>자연어 및 음성 데이터 활용 및 모델 개발</v>
      </c>
      <c r="M49" s="25" t="str">
        <f t="shared" si="102"/>
        <v>자연어 및 음성 데이터 활용 및 모델 개발</v>
      </c>
      <c r="N49" s="1"/>
      <c r="O49" s="1"/>
      <c r="P49" s="1"/>
      <c r="Q49" s="1"/>
      <c r="R49" s="1"/>
      <c r="S49" s="1"/>
      <c r="T49" s="1"/>
      <c r="U49" s="1"/>
    </row>
    <row r="50" spans="1:21" ht="24.75" customHeight="1">
      <c r="A50" s="167"/>
      <c r="B50" s="167"/>
      <c r="C50" s="28" t="s">
        <v>17</v>
      </c>
      <c r="D50" s="29" t="s">
        <v>31</v>
      </c>
      <c r="E50" s="29" t="s">
        <v>150</v>
      </c>
      <c r="F50" s="29" t="s">
        <v>151</v>
      </c>
      <c r="G50" s="29" t="s">
        <v>151</v>
      </c>
      <c r="H50" s="29"/>
      <c r="I50" s="29" t="s">
        <v>36</v>
      </c>
      <c r="J50" s="29" t="s">
        <v>37</v>
      </c>
      <c r="K50" s="29" t="s">
        <v>37</v>
      </c>
      <c r="L50" s="29" t="s">
        <v>40</v>
      </c>
      <c r="M50" s="29" t="s">
        <v>40</v>
      </c>
      <c r="N50" s="1"/>
      <c r="O50" s="1"/>
      <c r="P50" s="1"/>
      <c r="Q50" s="1"/>
      <c r="R50" s="1"/>
      <c r="S50" s="1"/>
      <c r="T50" s="1"/>
      <c r="U50" s="1"/>
    </row>
    <row r="51" spans="1:21" ht="24.75" customHeight="1">
      <c r="A51" s="167"/>
      <c r="B51" s="167"/>
      <c r="C51" s="32" t="s">
        <v>105</v>
      </c>
      <c r="D51" s="31" t="str">
        <f t="shared" ref="D51:M51" si="103">VLOOKUP(D48,$O$5:$Q$24,3,0)</f>
        <v>김도영</v>
      </c>
      <c r="E51" s="31" t="str">
        <f t="shared" si="103"/>
        <v>김도영</v>
      </c>
      <c r="F51" s="31" t="str">
        <f t="shared" si="103"/>
        <v>김도영</v>
      </c>
      <c r="G51" s="31" t="str">
        <f t="shared" si="103"/>
        <v>김도영</v>
      </c>
      <c r="H51" s="31" t="e">
        <f t="shared" si="103"/>
        <v>#N/A</v>
      </c>
      <c r="I51" s="31" t="str">
        <f t="shared" si="103"/>
        <v>김도영</v>
      </c>
      <c r="J51" s="31" t="str">
        <f t="shared" si="103"/>
        <v>김도영</v>
      </c>
      <c r="K51" s="31" t="str">
        <f t="shared" si="103"/>
        <v>김도영</v>
      </c>
      <c r="L51" s="31" t="str">
        <f t="shared" si="103"/>
        <v>김도영</v>
      </c>
      <c r="M51" s="31" t="str">
        <f t="shared" si="103"/>
        <v>김도영</v>
      </c>
      <c r="N51" s="1"/>
      <c r="O51" s="1"/>
      <c r="P51" s="1"/>
      <c r="Q51" s="1"/>
      <c r="R51" s="1"/>
      <c r="S51" s="1"/>
      <c r="T51" s="1"/>
      <c r="U51" s="1"/>
    </row>
    <row r="52" spans="1:21" ht="24.75" customHeight="1">
      <c r="A52" s="38" t="s">
        <v>28</v>
      </c>
      <c r="B52" s="38" t="s">
        <v>110</v>
      </c>
      <c r="C52" s="39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1"/>
      <c r="O52" s="1"/>
      <c r="P52" s="1"/>
      <c r="Q52" s="1"/>
      <c r="R52" s="1"/>
      <c r="S52" s="1"/>
      <c r="T52" s="1"/>
      <c r="U52" s="1"/>
    </row>
    <row r="53" spans="1:21" ht="24.75" customHeight="1">
      <c r="A53" s="166" t="s">
        <v>111</v>
      </c>
      <c r="B53" s="166" t="s">
        <v>112</v>
      </c>
      <c r="C53" s="18" t="s">
        <v>15</v>
      </c>
      <c r="D53" s="19" t="s">
        <v>29</v>
      </c>
      <c r="E53" s="19" t="s">
        <v>32</v>
      </c>
      <c r="F53" s="19" t="s">
        <v>32</v>
      </c>
      <c r="G53" s="19" t="s">
        <v>32</v>
      </c>
      <c r="H53" s="19"/>
      <c r="I53" s="19" t="s">
        <v>32</v>
      </c>
      <c r="J53" s="19" t="s">
        <v>32</v>
      </c>
      <c r="K53" s="19" t="s">
        <v>32</v>
      </c>
      <c r="L53" s="19" t="s">
        <v>38</v>
      </c>
      <c r="M53" s="19" t="s">
        <v>38</v>
      </c>
      <c r="N53" s="1"/>
      <c r="O53" s="1"/>
      <c r="P53" s="1"/>
      <c r="Q53" s="1"/>
      <c r="R53" s="1"/>
      <c r="S53" s="1"/>
      <c r="T53" s="1"/>
      <c r="U53" s="1"/>
    </row>
    <row r="54" spans="1:21" ht="24.75" customHeight="1">
      <c r="A54" s="167"/>
      <c r="B54" s="167"/>
      <c r="C54" s="24" t="s">
        <v>16</v>
      </c>
      <c r="D54" s="25" t="str">
        <f t="shared" ref="D54:M54" si="104">VLOOKUP(D53,$O$5:$P$24,2,FALSE)</f>
        <v>Python 전처리 및 시각화</v>
      </c>
      <c r="E54" s="25" t="str">
        <f t="shared" si="104"/>
        <v>머신러닝과 딥러닝</v>
      </c>
      <c r="F54" s="25" t="str">
        <f t="shared" si="104"/>
        <v>머신러닝과 딥러닝</v>
      </c>
      <c r="G54" s="25" t="str">
        <f t="shared" si="104"/>
        <v>머신러닝과 딥러닝</v>
      </c>
      <c r="H54" s="25" t="e">
        <f t="shared" si="104"/>
        <v>#N/A</v>
      </c>
      <c r="I54" s="25" t="str">
        <f t="shared" si="104"/>
        <v>머신러닝과 딥러닝</v>
      </c>
      <c r="J54" s="25" t="str">
        <f t="shared" si="104"/>
        <v>머신러닝과 딥러닝</v>
      </c>
      <c r="K54" s="25" t="str">
        <f t="shared" si="104"/>
        <v>머신러닝과 딥러닝</v>
      </c>
      <c r="L54" s="25" t="str">
        <f t="shared" si="104"/>
        <v>자연어 및 음성 데이터 활용 및 모델 개발</v>
      </c>
      <c r="M54" s="25" t="str">
        <f t="shared" si="104"/>
        <v>자연어 및 음성 데이터 활용 및 모델 개발</v>
      </c>
      <c r="N54" s="1"/>
      <c r="O54" s="1"/>
      <c r="P54" s="1"/>
      <c r="Q54" s="1"/>
      <c r="R54" s="1"/>
      <c r="S54" s="1"/>
      <c r="T54" s="1"/>
      <c r="U54" s="1"/>
    </row>
    <row r="55" spans="1:21" ht="24.75" customHeight="1">
      <c r="A55" s="167"/>
      <c r="B55" s="167"/>
      <c r="C55" s="28" t="s">
        <v>17</v>
      </c>
      <c r="D55" s="29" t="s">
        <v>31</v>
      </c>
      <c r="E55" s="29" t="s">
        <v>150</v>
      </c>
      <c r="F55" s="29" t="s">
        <v>151</v>
      </c>
      <c r="G55" s="29" t="s">
        <v>151</v>
      </c>
      <c r="H55" s="29"/>
      <c r="I55" s="29" t="s">
        <v>36</v>
      </c>
      <c r="J55" s="29" t="s">
        <v>37</v>
      </c>
      <c r="K55" s="29" t="s">
        <v>37</v>
      </c>
      <c r="L55" s="29" t="s">
        <v>40</v>
      </c>
      <c r="M55" s="29" t="s">
        <v>40</v>
      </c>
      <c r="N55" s="1"/>
      <c r="O55" s="1"/>
      <c r="P55" s="1"/>
      <c r="Q55" s="1"/>
      <c r="R55" s="1"/>
      <c r="S55" s="1"/>
      <c r="T55" s="1"/>
      <c r="U55" s="1"/>
    </row>
    <row r="56" spans="1:21" ht="24.75" customHeight="1">
      <c r="A56" s="167"/>
      <c r="B56" s="167"/>
      <c r="C56" s="32" t="s">
        <v>105</v>
      </c>
      <c r="D56" s="31" t="str">
        <f t="shared" ref="D56:M56" si="105">VLOOKUP(D53,$O$5:$Q$24,3,0)</f>
        <v>김도영</v>
      </c>
      <c r="E56" s="31" t="str">
        <f t="shared" si="105"/>
        <v>김도영</v>
      </c>
      <c r="F56" s="31" t="str">
        <f t="shared" si="105"/>
        <v>김도영</v>
      </c>
      <c r="G56" s="31" t="str">
        <f t="shared" si="105"/>
        <v>김도영</v>
      </c>
      <c r="H56" s="31" t="e">
        <f t="shared" si="105"/>
        <v>#N/A</v>
      </c>
      <c r="I56" s="31" t="str">
        <f t="shared" si="105"/>
        <v>김도영</v>
      </c>
      <c r="J56" s="31" t="str">
        <f t="shared" si="105"/>
        <v>김도영</v>
      </c>
      <c r="K56" s="31" t="str">
        <f t="shared" si="105"/>
        <v>김도영</v>
      </c>
      <c r="L56" s="31" t="str">
        <f t="shared" si="105"/>
        <v>김도영</v>
      </c>
      <c r="M56" s="31" t="str">
        <f t="shared" si="105"/>
        <v>김도영</v>
      </c>
      <c r="N56" s="1"/>
      <c r="O56" s="1"/>
      <c r="P56" s="1"/>
      <c r="Q56" s="1"/>
      <c r="R56" s="1"/>
      <c r="S56" s="1"/>
      <c r="T56" s="1"/>
      <c r="U56" s="1"/>
    </row>
    <row r="57" spans="1:21" ht="24.75" customHeight="1">
      <c r="A57" s="166" t="s">
        <v>113</v>
      </c>
      <c r="B57" s="166" t="s">
        <v>114</v>
      </c>
      <c r="C57" s="18" t="s">
        <v>15</v>
      </c>
      <c r="D57" s="19" t="s">
        <v>32</v>
      </c>
      <c r="E57" s="19" t="s">
        <v>32</v>
      </c>
      <c r="F57" s="19" t="s">
        <v>32</v>
      </c>
      <c r="G57" s="19" t="s">
        <v>32</v>
      </c>
      <c r="H57" s="19"/>
      <c r="I57" s="19" t="s">
        <v>32</v>
      </c>
      <c r="J57" s="19" t="s">
        <v>32</v>
      </c>
      <c r="K57" s="19" t="s">
        <v>38</v>
      </c>
      <c r="L57" s="19" t="s">
        <v>38</v>
      </c>
      <c r="M57" s="19" t="s">
        <v>38</v>
      </c>
      <c r="N57" s="1"/>
      <c r="O57" s="1"/>
      <c r="P57" s="1"/>
      <c r="Q57" s="1"/>
      <c r="R57" s="1"/>
      <c r="S57" s="1"/>
      <c r="T57" s="1"/>
      <c r="U57" s="1"/>
    </row>
    <row r="58" spans="1:21" ht="24.75" customHeight="1">
      <c r="A58" s="167"/>
      <c r="B58" s="167"/>
      <c r="C58" s="24" t="s">
        <v>16</v>
      </c>
      <c r="D58" s="25" t="str">
        <f t="shared" ref="D58:M58" si="106">VLOOKUP(D57,$O$5:$P$24,2,FALSE)</f>
        <v>머신러닝과 딥러닝</v>
      </c>
      <c r="E58" s="25" t="str">
        <f t="shared" si="106"/>
        <v>머신러닝과 딥러닝</v>
      </c>
      <c r="F58" s="25" t="str">
        <f t="shared" si="106"/>
        <v>머신러닝과 딥러닝</v>
      </c>
      <c r="G58" s="25" t="str">
        <f t="shared" si="106"/>
        <v>머신러닝과 딥러닝</v>
      </c>
      <c r="H58" s="25" t="e">
        <f t="shared" si="106"/>
        <v>#N/A</v>
      </c>
      <c r="I58" s="25" t="str">
        <f t="shared" si="106"/>
        <v>머신러닝과 딥러닝</v>
      </c>
      <c r="J58" s="25" t="str">
        <f t="shared" si="106"/>
        <v>머신러닝과 딥러닝</v>
      </c>
      <c r="K58" s="25" t="str">
        <f t="shared" si="106"/>
        <v>자연어 및 음성 데이터 활용 및 모델 개발</v>
      </c>
      <c r="L58" s="25" t="str">
        <f t="shared" si="106"/>
        <v>자연어 및 음성 데이터 활용 및 모델 개발</v>
      </c>
      <c r="M58" s="25" t="str">
        <f t="shared" si="106"/>
        <v>자연어 및 음성 데이터 활용 및 모델 개발</v>
      </c>
      <c r="N58" s="1"/>
      <c r="O58" s="1"/>
      <c r="P58" s="1"/>
      <c r="Q58" s="1"/>
      <c r="R58" s="1"/>
      <c r="S58" s="1"/>
      <c r="T58" s="1"/>
      <c r="U58" s="1"/>
    </row>
    <row r="59" spans="1:21" ht="24.75" customHeight="1">
      <c r="A59" s="167"/>
      <c r="B59" s="167"/>
      <c r="C59" s="28" t="s">
        <v>17</v>
      </c>
      <c r="D59" s="29" t="s">
        <v>150</v>
      </c>
      <c r="E59" s="29" t="s">
        <v>150</v>
      </c>
      <c r="F59" s="29" t="s">
        <v>151</v>
      </c>
      <c r="G59" s="29" t="s">
        <v>36</v>
      </c>
      <c r="H59" s="29"/>
      <c r="I59" s="29" t="s">
        <v>36</v>
      </c>
      <c r="J59" s="29" t="s">
        <v>37</v>
      </c>
      <c r="K59" s="29" t="s">
        <v>40</v>
      </c>
      <c r="L59" s="29" t="s">
        <v>40</v>
      </c>
      <c r="M59" s="29" t="s">
        <v>152</v>
      </c>
      <c r="N59" s="1"/>
      <c r="O59" s="1"/>
      <c r="P59" s="1"/>
      <c r="Q59" s="1"/>
      <c r="R59" s="1"/>
      <c r="S59" s="1"/>
      <c r="T59" s="1"/>
      <c r="U59" s="1"/>
    </row>
    <row r="60" spans="1:21" ht="24.75" customHeight="1">
      <c r="A60" s="167"/>
      <c r="B60" s="167"/>
      <c r="C60" s="32" t="s">
        <v>105</v>
      </c>
      <c r="D60" s="31" t="str">
        <f t="shared" ref="D60:M60" si="107">VLOOKUP(D57,$O$5:$Q$24,3,0)</f>
        <v>김도영</v>
      </c>
      <c r="E60" s="31" t="str">
        <f t="shared" si="107"/>
        <v>김도영</v>
      </c>
      <c r="F60" s="31" t="str">
        <f t="shared" si="107"/>
        <v>김도영</v>
      </c>
      <c r="G60" s="31" t="str">
        <f t="shared" si="107"/>
        <v>김도영</v>
      </c>
      <c r="H60" s="31" t="e">
        <f t="shared" si="107"/>
        <v>#N/A</v>
      </c>
      <c r="I60" s="31" t="str">
        <f t="shared" si="107"/>
        <v>김도영</v>
      </c>
      <c r="J60" s="31" t="str">
        <f t="shared" si="107"/>
        <v>김도영</v>
      </c>
      <c r="K60" s="31" t="str">
        <f t="shared" si="107"/>
        <v>김도영</v>
      </c>
      <c r="L60" s="31" t="str">
        <f t="shared" si="107"/>
        <v>김도영</v>
      </c>
      <c r="M60" s="31" t="str">
        <f t="shared" si="107"/>
        <v>김도영</v>
      </c>
      <c r="N60" s="1"/>
      <c r="O60" s="1"/>
      <c r="P60" s="1"/>
      <c r="Q60" s="1"/>
      <c r="R60" s="1"/>
      <c r="S60" s="1"/>
      <c r="T60" s="1"/>
      <c r="U60" s="1"/>
    </row>
    <row r="61" spans="1:21" ht="24.75" customHeight="1">
      <c r="A61" s="166" t="s">
        <v>115</v>
      </c>
      <c r="B61" s="166" t="s">
        <v>116</v>
      </c>
      <c r="C61" s="18" t="s">
        <v>15</v>
      </c>
      <c r="D61" s="19" t="s">
        <v>32</v>
      </c>
      <c r="E61" s="19" t="s">
        <v>32</v>
      </c>
      <c r="F61" s="19" t="s">
        <v>32</v>
      </c>
      <c r="G61" s="19" t="s">
        <v>32</v>
      </c>
      <c r="H61" s="19"/>
      <c r="I61" s="19" t="s">
        <v>32</v>
      </c>
      <c r="J61" s="19" t="s">
        <v>32</v>
      </c>
      <c r="K61" s="19" t="s">
        <v>38</v>
      </c>
      <c r="L61" s="19" t="s">
        <v>38</v>
      </c>
      <c r="M61" s="19" t="s">
        <v>38</v>
      </c>
      <c r="N61" s="1"/>
      <c r="O61" s="1"/>
      <c r="P61" s="1"/>
      <c r="Q61" s="1"/>
      <c r="R61" s="1"/>
      <c r="S61" s="1"/>
      <c r="T61" s="1"/>
      <c r="U61" s="1"/>
    </row>
    <row r="62" spans="1:21" ht="24.75" customHeight="1">
      <c r="A62" s="167"/>
      <c r="B62" s="167"/>
      <c r="C62" s="24" t="s">
        <v>16</v>
      </c>
      <c r="D62" s="25" t="str">
        <f t="shared" ref="D62:M62" si="108">VLOOKUP(D61,$O$5:$P$24,2,FALSE)</f>
        <v>머신러닝과 딥러닝</v>
      </c>
      <c r="E62" s="25" t="str">
        <f t="shared" si="108"/>
        <v>머신러닝과 딥러닝</v>
      </c>
      <c r="F62" s="25" t="str">
        <f t="shared" si="108"/>
        <v>머신러닝과 딥러닝</v>
      </c>
      <c r="G62" s="25" t="str">
        <f t="shared" si="108"/>
        <v>머신러닝과 딥러닝</v>
      </c>
      <c r="H62" s="25" t="e">
        <f t="shared" si="108"/>
        <v>#N/A</v>
      </c>
      <c r="I62" s="25" t="str">
        <f t="shared" si="108"/>
        <v>머신러닝과 딥러닝</v>
      </c>
      <c r="J62" s="25" t="str">
        <f t="shared" si="108"/>
        <v>머신러닝과 딥러닝</v>
      </c>
      <c r="K62" s="25" t="str">
        <f t="shared" si="108"/>
        <v>자연어 및 음성 데이터 활용 및 모델 개발</v>
      </c>
      <c r="L62" s="25" t="str">
        <f t="shared" si="108"/>
        <v>자연어 및 음성 데이터 활용 및 모델 개발</v>
      </c>
      <c r="M62" s="25" t="str">
        <f t="shared" si="108"/>
        <v>자연어 및 음성 데이터 활용 및 모델 개발</v>
      </c>
      <c r="N62" s="1"/>
      <c r="O62" s="1"/>
      <c r="P62" s="1"/>
      <c r="Q62" s="1"/>
      <c r="R62" s="1"/>
      <c r="S62" s="1"/>
      <c r="T62" s="1"/>
      <c r="U62" s="1"/>
    </row>
    <row r="63" spans="1:21" ht="24.75" customHeight="1">
      <c r="A63" s="167"/>
      <c r="B63" s="167"/>
      <c r="C63" s="28" t="s">
        <v>17</v>
      </c>
      <c r="D63" s="29" t="s">
        <v>150</v>
      </c>
      <c r="E63" s="29" t="s">
        <v>150</v>
      </c>
      <c r="F63" s="29" t="s">
        <v>151</v>
      </c>
      <c r="G63" s="29" t="s">
        <v>36</v>
      </c>
      <c r="H63" s="29"/>
      <c r="I63" s="29" t="s">
        <v>36</v>
      </c>
      <c r="J63" s="29" t="s">
        <v>37</v>
      </c>
      <c r="K63" s="29" t="s">
        <v>40</v>
      </c>
      <c r="L63" s="29" t="s">
        <v>40</v>
      </c>
      <c r="M63" s="29" t="s">
        <v>152</v>
      </c>
      <c r="N63" s="1"/>
      <c r="O63" s="1"/>
      <c r="P63" s="1"/>
      <c r="Q63" s="1"/>
      <c r="R63" s="1"/>
      <c r="S63" s="1"/>
      <c r="T63" s="1"/>
      <c r="U63" s="1"/>
    </row>
    <row r="64" spans="1:21" ht="24.75" customHeight="1">
      <c r="A64" s="167"/>
      <c r="B64" s="167"/>
      <c r="C64" s="32" t="s">
        <v>105</v>
      </c>
      <c r="D64" s="31" t="str">
        <f t="shared" ref="D64:M64" si="109">VLOOKUP(D61,$O$5:$Q$24,3,0)</f>
        <v>김도영</v>
      </c>
      <c r="E64" s="31" t="str">
        <f t="shared" si="109"/>
        <v>김도영</v>
      </c>
      <c r="F64" s="31" t="str">
        <f t="shared" si="109"/>
        <v>김도영</v>
      </c>
      <c r="G64" s="31" t="str">
        <f t="shared" si="109"/>
        <v>김도영</v>
      </c>
      <c r="H64" s="31" t="e">
        <f t="shared" si="109"/>
        <v>#N/A</v>
      </c>
      <c r="I64" s="31" t="str">
        <f t="shared" si="109"/>
        <v>김도영</v>
      </c>
      <c r="J64" s="31" t="str">
        <f t="shared" si="109"/>
        <v>김도영</v>
      </c>
      <c r="K64" s="31" t="str">
        <f t="shared" si="109"/>
        <v>김도영</v>
      </c>
      <c r="L64" s="31" t="str">
        <f t="shared" si="109"/>
        <v>김도영</v>
      </c>
      <c r="M64" s="31" t="str">
        <f t="shared" si="109"/>
        <v>김도영</v>
      </c>
      <c r="N64" s="1"/>
      <c r="O64" s="1"/>
      <c r="P64" s="1"/>
      <c r="Q64" s="1"/>
      <c r="R64" s="1"/>
      <c r="S64" s="1"/>
      <c r="T64" s="1"/>
      <c r="U64" s="1"/>
    </row>
    <row r="65" spans="1:21" ht="24.75" customHeight="1">
      <c r="A65" s="166" t="s">
        <v>117</v>
      </c>
      <c r="B65" s="166" t="s">
        <v>118</v>
      </c>
      <c r="C65" s="18" t="s">
        <v>15</v>
      </c>
      <c r="D65" s="19" t="s">
        <v>32</v>
      </c>
      <c r="E65" s="19" t="s">
        <v>32</v>
      </c>
      <c r="F65" s="19" t="s">
        <v>32</v>
      </c>
      <c r="G65" s="19" t="s">
        <v>32</v>
      </c>
      <c r="H65" s="19"/>
      <c r="I65" s="19" t="s">
        <v>32</v>
      </c>
      <c r="J65" s="19" t="s">
        <v>32</v>
      </c>
      <c r="K65" s="19" t="s">
        <v>38</v>
      </c>
      <c r="L65" s="19" t="s">
        <v>38</v>
      </c>
      <c r="M65" s="19" t="s">
        <v>38</v>
      </c>
      <c r="N65" s="1"/>
      <c r="O65" s="1"/>
      <c r="P65" s="1"/>
      <c r="Q65" s="1"/>
      <c r="R65" s="1"/>
      <c r="S65" s="1"/>
      <c r="T65" s="1"/>
      <c r="U65" s="1"/>
    </row>
    <row r="66" spans="1:21" ht="24.75" customHeight="1">
      <c r="A66" s="167"/>
      <c r="B66" s="167"/>
      <c r="C66" s="24" t="s">
        <v>16</v>
      </c>
      <c r="D66" s="25" t="str">
        <f t="shared" ref="D66:M66" si="110">VLOOKUP(D65,$O$5:$P$24,2,FALSE)</f>
        <v>머신러닝과 딥러닝</v>
      </c>
      <c r="E66" s="25" t="str">
        <f t="shared" si="110"/>
        <v>머신러닝과 딥러닝</v>
      </c>
      <c r="F66" s="25" t="str">
        <f t="shared" si="110"/>
        <v>머신러닝과 딥러닝</v>
      </c>
      <c r="G66" s="25" t="str">
        <f t="shared" si="110"/>
        <v>머신러닝과 딥러닝</v>
      </c>
      <c r="H66" s="25" t="e">
        <f t="shared" si="110"/>
        <v>#N/A</v>
      </c>
      <c r="I66" s="25" t="str">
        <f t="shared" si="110"/>
        <v>머신러닝과 딥러닝</v>
      </c>
      <c r="J66" s="25" t="str">
        <f t="shared" si="110"/>
        <v>머신러닝과 딥러닝</v>
      </c>
      <c r="K66" s="25" t="str">
        <f t="shared" si="110"/>
        <v>자연어 및 음성 데이터 활용 및 모델 개발</v>
      </c>
      <c r="L66" s="25" t="str">
        <f t="shared" si="110"/>
        <v>자연어 및 음성 데이터 활용 및 모델 개발</v>
      </c>
      <c r="M66" s="25" t="str">
        <f t="shared" si="110"/>
        <v>자연어 및 음성 데이터 활용 및 모델 개발</v>
      </c>
      <c r="N66" s="1"/>
      <c r="O66" s="1"/>
      <c r="P66" s="1"/>
      <c r="Q66" s="1"/>
      <c r="R66" s="1"/>
      <c r="S66" s="1"/>
      <c r="T66" s="1"/>
      <c r="U66" s="1"/>
    </row>
    <row r="67" spans="1:21" ht="24.75" customHeight="1">
      <c r="A67" s="167"/>
      <c r="B67" s="167"/>
      <c r="C67" s="28" t="s">
        <v>17</v>
      </c>
      <c r="D67" s="29" t="s">
        <v>150</v>
      </c>
      <c r="E67" s="29" t="s">
        <v>150</v>
      </c>
      <c r="F67" s="29" t="s">
        <v>151</v>
      </c>
      <c r="G67" s="29" t="s">
        <v>36</v>
      </c>
      <c r="H67" s="29"/>
      <c r="I67" s="29" t="s">
        <v>36</v>
      </c>
      <c r="J67" s="29" t="s">
        <v>37</v>
      </c>
      <c r="K67" s="29" t="s">
        <v>40</v>
      </c>
      <c r="L67" s="29" t="s">
        <v>40</v>
      </c>
      <c r="M67" s="29" t="s">
        <v>152</v>
      </c>
      <c r="N67" s="1"/>
      <c r="O67" s="1"/>
      <c r="P67" s="1"/>
      <c r="Q67" s="1"/>
      <c r="R67" s="1"/>
      <c r="S67" s="1"/>
      <c r="T67" s="1"/>
      <c r="U67" s="1"/>
    </row>
    <row r="68" spans="1:21" ht="24.75" customHeight="1">
      <c r="A68" s="167"/>
      <c r="B68" s="167"/>
      <c r="C68" s="32" t="s">
        <v>105</v>
      </c>
      <c r="D68" s="31" t="str">
        <f t="shared" ref="D68:M68" si="111">VLOOKUP(D65,$O$5:$Q$24,3,0)</f>
        <v>김도영</v>
      </c>
      <c r="E68" s="31" t="str">
        <f t="shared" si="111"/>
        <v>김도영</v>
      </c>
      <c r="F68" s="31" t="str">
        <f t="shared" si="111"/>
        <v>김도영</v>
      </c>
      <c r="G68" s="31" t="str">
        <f t="shared" si="111"/>
        <v>김도영</v>
      </c>
      <c r="H68" s="31" t="e">
        <f t="shared" si="111"/>
        <v>#N/A</v>
      </c>
      <c r="I68" s="31" t="str">
        <f t="shared" si="111"/>
        <v>김도영</v>
      </c>
      <c r="J68" s="31" t="str">
        <f t="shared" si="111"/>
        <v>김도영</v>
      </c>
      <c r="K68" s="31" t="str">
        <f t="shared" si="111"/>
        <v>김도영</v>
      </c>
      <c r="L68" s="31" t="str">
        <f t="shared" si="111"/>
        <v>김도영</v>
      </c>
      <c r="M68" s="31" t="str">
        <f t="shared" si="111"/>
        <v>김도영</v>
      </c>
      <c r="N68" s="1"/>
      <c r="O68" s="1"/>
      <c r="P68" s="1"/>
      <c r="Q68" s="1"/>
      <c r="R68" s="1"/>
      <c r="S68" s="1"/>
      <c r="T68" s="1"/>
      <c r="U68" s="1"/>
    </row>
    <row r="69" spans="1:21" ht="24.75" customHeight="1">
      <c r="A69" s="166" t="s">
        <v>119</v>
      </c>
      <c r="B69" s="166" t="s">
        <v>120</v>
      </c>
      <c r="C69" s="18" t="s">
        <v>15</v>
      </c>
      <c r="D69" s="19" t="s">
        <v>32</v>
      </c>
      <c r="E69" s="19" t="s">
        <v>32</v>
      </c>
      <c r="F69" s="19" t="s">
        <v>32</v>
      </c>
      <c r="G69" s="19" t="s">
        <v>32</v>
      </c>
      <c r="H69" s="19"/>
      <c r="I69" s="19" t="s">
        <v>32</v>
      </c>
      <c r="J69" s="19" t="s">
        <v>32</v>
      </c>
      <c r="K69" s="19" t="s">
        <v>38</v>
      </c>
      <c r="L69" s="19" t="s">
        <v>38</v>
      </c>
      <c r="M69" s="19" t="s">
        <v>38</v>
      </c>
      <c r="N69" s="1"/>
      <c r="O69" s="1"/>
      <c r="P69" s="1"/>
      <c r="Q69" s="1"/>
      <c r="R69" s="1"/>
      <c r="S69" s="1"/>
      <c r="T69" s="1"/>
      <c r="U69" s="1"/>
    </row>
    <row r="70" spans="1:21" ht="24.75" customHeight="1">
      <c r="A70" s="167"/>
      <c r="B70" s="167"/>
      <c r="C70" s="24" t="s">
        <v>16</v>
      </c>
      <c r="D70" s="25" t="str">
        <f t="shared" ref="D70:M70" si="112">VLOOKUP(D69,$O$5:$P$24,2,FALSE)</f>
        <v>머신러닝과 딥러닝</v>
      </c>
      <c r="E70" s="25" t="str">
        <f t="shared" si="112"/>
        <v>머신러닝과 딥러닝</v>
      </c>
      <c r="F70" s="25" t="str">
        <f t="shared" si="112"/>
        <v>머신러닝과 딥러닝</v>
      </c>
      <c r="G70" s="25" t="str">
        <f t="shared" si="112"/>
        <v>머신러닝과 딥러닝</v>
      </c>
      <c r="H70" s="25" t="e">
        <f t="shared" si="112"/>
        <v>#N/A</v>
      </c>
      <c r="I70" s="25" t="str">
        <f t="shared" si="112"/>
        <v>머신러닝과 딥러닝</v>
      </c>
      <c r="J70" s="25" t="str">
        <f t="shared" si="112"/>
        <v>머신러닝과 딥러닝</v>
      </c>
      <c r="K70" s="25" t="str">
        <f t="shared" si="112"/>
        <v>자연어 및 음성 데이터 활용 및 모델 개발</v>
      </c>
      <c r="L70" s="25" t="str">
        <f t="shared" si="112"/>
        <v>자연어 및 음성 데이터 활용 및 모델 개발</v>
      </c>
      <c r="M70" s="25" t="str">
        <f t="shared" si="112"/>
        <v>자연어 및 음성 데이터 활용 및 모델 개발</v>
      </c>
      <c r="N70" s="1"/>
      <c r="O70" s="1"/>
      <c r="P70" s="1"/>
      <c r="Q70" s="1"/>
      <c r="R70" s="1"/>
      <c r="S70" s="1"/>
      <c r="T70" s="1"/>
      <c r="U70" s="1"/>
    </row>
    <row r="71" spans="1:21" ht="24.75" customHeight="1">
      <c r="A71" s="167"/>
      <c r="B71" s="167"/>
      <c r="C71" s="28" t="s">
        <v>17</v>
      </c>
      <c r="D71" s="29" t="s">
        <v>150</v>
      </c>
      <c r="E71" s="29" t="s">
        <v>150</v>
      </c>
      <c r="F71" s="29" t="s">
        <v>151</v>
      </c>
      <c r="G71" s="29" t="s">
        <v>36</v>
      </c>
      <c r="H71" s="29"/>
      <c r="I71" s="29" t="s">
        <v>36</v>
      </c>
      <c r="J71" s="29" t="s">
        <v>37</v>
      </c>
      <c r="K71" s="29" t="s">
        <v>40</v>
      </c>
      <c r="L71" s="29" t="s">
        <v>40</v>
      </c>
      <c r="M71" s="29" t="s">
        <v>152</v>
      </c>
      <c r="N71" s="1"/>
      <c r="O71" s="1"/>
      <c r="P71" s="1"/>
      <c r="Q71" s="1"/>
      <c r="R71" s="1"/>
      <c r="S71" s="1"/>
      <c r="T71" s="1"/>
      <c r="U71" s="1"/>
    </row>
    <row r="72" spans="1:21" ht="24.75" customHeight="1">
      <c r="A72" s="159"/>
      <c r="B72" s="159"/>
      <c r="C72" s="32" t="s">
        <v>105</v>
      </c>
      <c r="D72" s="31" t="str">
        <f t="shared" ref="D72:M72" si="113">VLOOKUP(D69,$O$5:$Q$24,3,0)</f>
        <v>김도영</v>
      </c>
      <c r="E72" s="31" t="str">
        <f t="shared" si="113"/>
        <v>김도영</v>
      </c>
      <c r="F72" s="31" t="str">
        <f t="shared" si="113"/>
        <v>김도영</v>
      </c>
      <c r="G72" s="31" t="str">
        <f t="shared" si="113"/>
        <v>김도영</v>
      </c>
      <c r="H72" s="31" t="e">
        <f t="shared" si="113"/>
        <v>#N/A</v>
      </c>
      <c r="I72" s="31" t="str">
        <f t="shared" si="113"/>
        <v>김도영</v>
      </c>
      <c r="J72" s="31" t="str">
        <f t="shared" si="113"/>
        <v>김도영</v>
      </c>
      <c r="K72" s="31" t="str">
        <f t="shared" si="113"/>
        <v>김도영</v>
      </c>
      <c r="L72" s="31" t="str">
        <f t="shared" si="113"/>
        <v>김도영</v>
      </c>
      <c r="M72" s="31" t="str">
        <f t="shared" si="113"/>
        <v>김도영</v>
      </c>
      <c r="N72" s="1"/>
      <c r="O72" s="1"/>
      <c r="P72" s="1"/>
      <c r="Q72" s="1"/>
      <c r="R72" s="1"/>
      <c r="S72" s="1"/>
      <c r="T72" s="1"/>
      <c r="U72" s="1"/>
    </row>
    <row r="73" spans="1:21" ht="24.75" customHeight="1">
      <c r="A73" s="164" t="s">
        <v>94</v>
      </c>
      <c r="B73" s="164" t="s">
        <v>95</v>
      </c>
      <c r="C73" s="164" t="s">
        <v>96</v>
      </c>
      <c r="D73" s="165">
        <f>I38+1</f>
        <v>5</v>
      </c>
      <c r="E73" s="156"/>
      <c r="F73" s="156"/>
      <c r="G73" s="156"/>
      <c r="H73" s="154"/>
      <c r="I73" s="165">
        <f>D73+1</f>
        <v>6</v>
      </c>
      <c r="J73" s="156"/>
      <c r="K73" s="156"/>
      <c r="L73" s="156"/>
      <c r="M73" s="154"/>
      <c r="N73" s="1"/>
      <c r="O73" s="1"/>
      <c r="P73" s="1"/>
      <c r="Q73" s="1"/>
      <c r="R73" s="1"/>
      <c r="S73" s="1"/>
      <c r="T73" s="1"/>
      <c r="U73" s="1"/>
    </row>
    <row r="74" spans="1:21" ht="24.75" customHeight="1">
      <c r="A74" s="159"/>
      <c r="B74" s="159"/>
      <c r="C74" s="159"/>
      <c r="D74" s="14">
        <f>M39+3</f>
        <v>46139</v>
      </c>
      <c r="E74" s="14">
        <f t="shared" ref="E74:H74" si="114">D74+1</f>
        <v>46140</v>
      </c>
      <c r="F74" s="14">
        <f t="shared" si="114"/>
        <v>46141</v>
      </c>
      <c r="G74" s="14">
        <f t="shared" si="114"/>
        <v>46142</v>
      </c>
      <c r="H74" s="14">
        <f t="shared" si="114"/>
        <v>46143</v>
      </c>
      <c r="I74" s="14">
        <f>H74+3</f>
        <v>46146</v>
      </c>
      <c r="J74" s="14">
        <f t="shared" ref="J74:M74" si="115">I74+1</f>
        <v>46147</v>
      </c>
      <c r="K74" s="14">
        <f t="shared" si="115"/>
        <v>46148</v>
      </c>
      <c r="L74" s="14">
        <f t="shared" si="115"/>
        <v>46149</v>
      </c>
      <c r="M74" s="14">
        <f t="shared" si="115"/>
        <v>46150</v>
      </c>
      <c r="N74" s="1"/>
      <c r="O74" s="1"/>
      <c r="P74" s="1"/>
      <c r="Q74" s="1"/>
      <c r="R74" s="1"/>
      <c r="S74" s="1"/>
      <c r="T74" s="1"/>
      <c r="U74" s="1"/>
    </row>
    <row r="75" spans="1:21" ht="24.75" customHeight="1">
      <c r="A75" s="166" t="s">
        <v>103</v>
      </c>
      <c r="B75" s="166" t="s">
        <v>104</v>
      </c>
      <c r="C75" s="18" t="s">
        <v>15</v>
      </c>
      <c r="D75" s="19" t="s">
        <v>38</v>
      </c>
      <c r="E75" s="19" t="s">
        <v>38</v>
      </c>
      <c r="F75" s="19" t="s">
        <v>38</v>
      </c>
      <c r="G75" s="19" t="s">
        <v>38</v>
      </c>
      <c r="H75" s="19" t="s">
        <v>38</v>
      </c>
      <c r="I75" s="19" t="s">
        <v>38</v>
      </c>
      <c r="J75" s="19" t="s">
        <v>38</v>
      </c>
      <c r="K75" s="19" t="s">
        <v>38</v>
      </c>
      <c r="L75" s="19" t="s">
        <v>38</v>
      </c>
      <c r="M75" s="19" t="s">
        <v>38</v>
      </c>
      <c r="N75" s="1"/>
      <c r="O75" s="1"/>
      <c r="P75" s="1"/>
      <c r="Q75" s="1"/>
      <c r="R75" s="1"/>
      <c r="S75" s="1"/>
      <c r="T75" s="1"/>
      <c r="U75" s="1"/>
    </row>
    <row r="76" spans="1:21" ht="24.75" customHeight="1">
      <c r="A76" s="167"/>
      <c r="B76" s="167"/>
      <c r="C76" s="24" t="s">
        <v>16</v>
      </c>
      <c r="D76" s="25" t="str">
        <f t="shared" ref="D76:M76" si="116">VLOOKUP(D75,$O$5:$P$24,2,FALSE)</f>
        <v>자연어 및 음성 데이터 활용 및 모델 개발</v>
      </c>
      <c r="E76" s="25" t="str">
        <f t="shared" si="116"/>
        <v>자연어 및 음성 데이터 활용 및 모델 개발</v>
      </c>
      <c r="F76" s="25" t="str">
        <f t="shared" si="116"/>
        <v>자연어 및 음성 데이터 활용 및 모델 개발</v>
      </c>
      <c r="G76" s="25" t="str">
        <f t="shared" si="116"/>
        <v>자연어 및 음성 데이터 활용 및 모델 개발</v>
      </c>
      <c r="H76" s="25" t="str">
        <f t="shared" si="116"/>
        <v>자연어 및 음성 데이터 활용 및 모델 개발</v>
      </c>
      <c r="I76" s="25" t="str">
        <f t="shared" si="116"/>
        <v>자연어 및 음성 데이터 활용 및 모델 개발</v>
      </c>
      <c r="J76" s="25" t="str">
        <f t="shared" si="116"/>
        <v>자연어 및 음성 데이터 활용 및 모델 개발</v>
      </c>
      <c r="K76" s="25" t="str">
        <f t="shared" si="116"/>
        <v>자연어 및 음성 데이터 활용 및 모델 개발</v>
      </c>
      <c r="L76" s="25" t="str">
        <f t="shared" si="116"/>
        <v>자연어 및 음성 데이터 활용 및 모델 개발</v>
      </c>
      <c r="M76" s="25" t="str">
        <f t="shared" si="116"/>
        <v>자연어 및 음성 데이터 활용 및 모델 개발</v>
      </c>
      <c r="N76" s="1"/>
      <c r="O76" s="1"/>
      <c r="P76" s="1"/>
      <c r="Q76" s="1"/>
      <c r="R76" s="1"/>
      <c r="S76" s="1"/>
      <c r="T76" s="1"/>
      <c r="U76" s="1"/>
    </row>
    <row r="77" spans="1:21" ht="24.75" customHeight="1">
      <c r="A77" s="167"/>
      <c r="B77" s="167"/>
      <c r="C77" s="28" t="s">
        <v>17</v>
      </c>
      <c r="D77" s="29" t="s">
        <v>152</v>
      </c>
      <c r="E77" s="29" t="s">
        <v>152</v>
      </c>
      <c r="F77" s="29" t="s">
        <v>42</v>
      </c>
      <c r="G77" s="29" t="s">
        <v>42</v>
      </c>
      <c r="H77" s="29" t="s">
        <v>43</v>
      </c>
      <c r="I77" s="29" t="s">
        <v>43</v>
      </c>
      <c r="J77" s="29" t="s">
        <v>47</v>
      </c>
      <c r="K77" s="29" t="s">
        <v>47</v>
      </c>
      <c r="L77" s="29" t="s">
        <v>49</v>
      </c>
      <c r="M77" s="29" t="s">
        <v>49</v>
      </c>
      <c r="N77" s="1"/>
      <c r="O77" s="1"/>
      <c r="P77" s="1"/>
      <c r="Q77" s="1"/>
      <c r="R77" s="1"/>
      <c r="S77" s="1"/>
      <c r="T77" s="1"/>
      <c r="U77" s="1"/>
    </row>
    <row r="78" spans="1:21" ht="24.75" customHeight="1">
      <c r="A78" s="167"/>
      <c r="B78" s="167"/>
      <c r="C78" s="30" t="s">
        <v>105</v>
      </c>
      <c r="D78" s="31" t="str">
        <f t="shared" ref="D78:M78" si="117">VLOOKUP(D75,$O$5:$Q$24,3,0)</f>
        <v>김도영</v>
      </c>
      <c r="E78" s="31" t="str">
        <f t="shared" si="117"/>
        <v>김도영</v>
      </c>
      <c r="F78" s="31" t="str">
        <f t="shared" si="117"/>
        <v>김도영</v>
      </c>
      <c r="G78" s="31" t="str">
        <f t="shared" si="117"/>
        <v>김도영</v>
      </c>
      <c r="H78" s="31" t="str">
        <f t="shared" si="117"/>
        <v>김도영</v>
      </c>
      <c r="I78" s="31" t="str">
        <f t="shared" si="117"/>
        <v>김도영</v>
      </c>
      <c r="J78" s="31" t="str">
        <f t="shared" si="117"/>
        <v>김도영</v>
      </c>
      <c r="K78" s="31" t="str">
        <f t="shared" si="117"/>
        <v>김도영</v>
      </c>
      <c r="L78" s="31" t="str">
        <f t="shared" si="117"/>
        <v>김도영</v>
      </c>
      <c r="M78" s="31" t="str">
        <f t="shared" si="117"/>
        <v>김도영</v>
      </c>
      <c r="N78" s="1"/>
      <c r="O78" s="1"/>
      <c r="P78" s="1"/>
      <c r="Q78" s="1"/>
      <c r="R78" s="1"/>
      <c r="S78" s="1"/>
      <c r="T78" s="1"/>
      <c r="U78" s="1"/>
    </row>
    <row r="79" spans="1:21" ht="24.75" customHeight="1">
      <c r="A79" s="166" t="s">
        <v>106</v>
      </c>
      <c r="B79" s="166" t="s">
        <v>107</v>
      </c>
      <c r="C79" s="18" t="s">
        <v>15</v>
      </c>
      <c r="D79" s="19" t="s">
        <v>38</v>
      </c>
      <c r="E79" s="19" t="s">
        <v>38</v>
      </c>
      <c r="F79" s="19" t="s">
        <v>38</v>
      </c>
      <c r="G79" s="19" t="s">
        <v>38</v>
      </c>
      <c r="H79" s="19" t="s">
        <v>38</v>
      </c>
      <c r="I79" s="19" t="s">
        <v>38</v>
      </c>
      <c r="J79" s="19" t="s">
        <v>38</v>
      </c>
      <c r="K79" s="19" t="s">
        <v>38</v>
      </c>
      <c r="L79" s="19" t="s">
        <v>38</v>
      </c>
      <c r="M79" s="19" t="s">
        <v>38</v>
      </c>
      <c r="N79" s="1"/>
      <c r="O79" s="1"/>
      <c r="P79" s="1"/>
      <c r="Q79" s="1"/>
      <c r="R79" s="1"/>
      <c r="S79" s="1"/>
      <c r="T79" s="1"/>
      <c r="U79" s="1"/>
    </row>
    <row r="80" spans="1:21" ht="24.75" customHeight="1">
      <c r="A80" s="167"/>
      <c r="B80" s="167"/>
      <c r="C80" s="24" t="s">
        <v>16</v>
      </c>
      <c r="D80" s="25" t="str">
        <f t="shared" ref="D80:M80" si="118">VLOOKUP(D79,$O$5:$P$24,2,FALSE)</f>
        <v>자연어 및 음성 데이터 활용 및 모델 개발</v>
      </c>
      <c r="E80" s="25" t="str">
        <f t="shared" si="118"/>
        <v>자연어 및 음성 데이터 활용 및 모델 개발</v>
      </c>
      <c r="F80" s="25" t="str">
        <f t="shared" si="118"/>
        <v>자연어 및 음성 데이터 활용 및 모델 개발</v>
      </c>
      <c r="G80" s="25" t="str">
        <f t="shared" si="118"/>
        <v>자연어 및 음성 데이터 활용 및 모델 개발</v>
      </c>
      <c r="H80" s="25" t="str">
        <f t="shared" si="118"/>
        <v>자연어 및 음성 데이터 활용 및 모델 개발</v>
      </c>
      <c r="I80" s="25" t="str">
        <f t="shared" si="118"/>
        <v>자연어 및 음성 데이터 활용 및 모델 개발</v>
      </c>
      <c r="J80" s="25" t="str">
        <f t="shared" si="118"/>
        <v>자연어 및 음성 데이터 활용 및 모델 개발</v>
      </c>
      <c r="K80" s="25" t="str">
        <f t="shared" si="118"/>
        <v>자연어 및 음성 데이터 활용 및 모델 개발</v>
      </c>
      <c r="L80" s="25" t="str">
        <f t="shared" si="118"/>
        <v>자연어 및 음성 데이터 활용 및 모델 개발</v>
      </c>
      <c r="M80" s="25" t="str">
        <f t="shared" si="118"/>
        <v>자연어 및 음성 데이터 활용 및 모델 개발</v>
      </c>
      <c r="N80" s="1"/>
      <c r="O80" s="1"/>
      <c r="P80" s="1"/>
      <c r="Q80" s="1"/>
      <c r="R80" s="1"/>
      <c r="S80" s="1"/>
      <c r="T80" s="1"/>
      <c r="U80" s="1"/>
    </row>
    <row r="81" spans="1:21" ht="24.75" customHeight="1">
      <c r="A81" s="167"/>
      <c r="B81" s="167"/>
      <c r="C81" s="28" t="s">
        <v>17</v>
      </c>
      <c r="D81" s="29" t="s">
        <v>152</v>
      </c>
      <c r="E81" s="29" t="s">
        <v>152</v>
      </c>
      <c r="F81" s="29" t="s">
        <v>42</v>
      </c>
      <c r="G81" s="29" t="s">
        <v>42</v>
      </c>
      <c r="H81" s="29" t="s">
        <v>43</v>
      </c>
      <c r="I81" s="29" t="s">
        <v>43</v>
      </c>
      <c r="J81" s="29" t="s">
        <v>47</v>
      </c>
      <c r="K81" s="29" t="s">
        <v>47</v>
      </c>
      <c r="L81" s="29" t="s">
        <v>49</v>
      </c>
      <c r="M81" s="29" t="s">
        <v>49</v>
      </c>
      <c r="N81" s="1"/>
      <c r="O81" s="1"/>
      <c r="P81" s="1"/>
      <c r="Q81" s="1"/>
      <c r="R81" s="1"/>
      <c r="S81" s="1"/>
      <c r="T81" s="1"/>
      <c r="U81" s="1"/>
    </row>
    <row r="82" spans="1:21" ht="24.75" customHeight="1">
      <c r="A82" s="167"/>
      <c r="B82" s="167"/>
      <c r="C82" s="32" t="s">
        <v>105</v>
      </c>
      <c r="D82" s="31" t="str">
        <f t="shared" ref="D82:M82" si="119">VLOOKUP(D79,$O$5:$Q$24,3,0)</f>
        <v>김도영</v>
      </c>
      <c r="E82" s="31" t="str">
        <f t="shared" si="119"/>
        <v>김도영</v>
      </c>
      <c r="F82" s="31" t="str">
        <f t="shared" si="119"/>
        <v>김도영</v>
      </c>
      <c r="G82" s="31" t="str">
        <f t="shared" si="119"/>
        <v>김도영</v>
      </c>
      <c r="H82" s="31" t="str">
        <f t="shared" si="119"/>
        <v>김도영</v>
      </c>
      <c r="I82" s="31" t="str">
        <f t="shared" si="119"/>
        <v>김도영</v>
      </c>
      <c r="J82" s="31" t="str">
        <f t="shared" si="119"/>
        <v>김도영</v>
      </c>
      <c r="K82" s="31" t="str">
        <f t="shared" si="119"/>
        <v>김도영</v>
      </c>
      <c r="L82" s="31" t="str">
        <f t="shared" si="119"/>
        <v>김도영</v>
      </c>
      <c r="M82" s="31" t="str">
        <f t="shared" si="119"/>
        <v>김도영</v>
      </c>
      <c r="N82" s="1"/>
      <c r="O82" s="1"/>
      <c r="P82" s="1"/>
      <c r="Q82" s="1"/>
      <c r="R82" s="1"/>
      <c r="S82" s="1"/>
      <c r="T82" s="1"/>
      <c r="U82" s="1"/>
    </row>
    <row r="83" spans="1:21" ht="24.75" customHeight="1">
      <c r="A83" s="166" t="s">
        <v>108</v>
      </c>
      <c r="B83" s="166" t="s">
        <v>109</v>
      </c>
      <c r="C83" s="18" t="s">
        <v>15</v>
      </c>
      <c r="D83" s="19" t="s">
        <v>38</v>
      </c>
      <c r="E83" s="19" t="s">
        <v>38</v>
      </c>
      <c r="F83" s="19" t="s">
        <v>38</v>
      </c>
      <c r="G83" s="19" t="s">
        <v>38</v>
      </c>
      <c r="H83" s="19" t="s">
        <v>38</v>
      </c>
      <c r="I83" s="19" t="s">
        <v>38</v>
      </c>
      <c r="J83" s="19" t="s">
        <v>38</v>
      </c>
      <c r="K83" s="19" t="s">
        <v>38</v>
      </c>
      <c r="L83" s="19" t="s">
        <v>38</v>
      </c>
      <c r="M83" s="19" t="s">
        <v>38</v>
      </c>
      <c r="N83" s="1"/>
      <c r="O83" s="1"/>
      <c r="P83" s="1"/>
      <c r="Q83" s="1"/>
      <c r="R83" s="1"/>
      <c r="S83" s="1"/>
      <c r="T83" s="1"/>
      <c r="U83" s="1"/>
    </row>
    <row r="84" spans="1:21" ht="24.75" customHeight="1">
      <c r="A84" s="167"/>
      <c r="B84" s="167"/>
      <c r="C84" s="24" t="s">
        <v>16</v>
      </c>
      <c r="D84" s="25" t="str">
        <f t="shared" ref="D84:M84" si="120">VLOOKUP(D83,$O$5:$P$24,2,FALSE)</f>
        <v>자연어 및 음성 데이터 활용 및 모델 개발</v>
      </c>
      <c r="E84" s="25" t="str">
        <f t="shared" si="120"/>
        <v>자연어 및 음성 데이터 활용 및 모델 개발</v>
      </c>
      <c r="F84" s="25" t="str">
        <f t="shared" si="120"/>
        <v>자연어 및 음성 데이터 활용 및 모델 개발</v>
      </c>
      <c r="G84" s="25" t="str">
        <f t="shared" si="120"/>
        <v>자연어 및 음성 데이터 활용 및 모델 개발</v>
      </c>
      <c r="H84" s="25" t="str">
        <f t="shared" si="120"/>
        <v>자연어 및 음성 데이터 활용 및 모델 개발</v>
      </c>
      <c r="I84" s="25" t="str">
        <f t="shared" si="120"/>
        <v>자연어 및 음성 데이터 활용 및 모델 개발</v>
      </c>
      <c r="J84" s="25" t="str">
        <f t="shared" si="120"/>
        <v>자연어 및 음성 데이터 활용 및 모델 개발</v>
      </c>
      <c r="K84" s="25" t="str">
        <f t="shared" si="120"/>
        <v>자연어 및 음성 데이터 활용 및 모델 개발</v>
      </c>
      <c r="L84" s="25" t="str">
        <f t="shared" si="120"/>
        <v>자연어 및 음성 데이터 활용 및 모델 개발</v>
      </c>
      <c r="M84" s="25" t="str">
        <f t="shared" si="120"/>
        <v>자연어 및 음성 데이터 활용 및 모델 개발</v>
      </c>
      <c r="N84" s="1"/>
      <c r="O84" s="1"/>
      <c r="P84" s="1"/>
      <c r="Q84" s="1"/>
      <c r="R84" s="1"/>
      <c r="S84" s="1"/>
      <c r="T84" s="1"/>
      <c r="U84" s="1"/>
    </row>
    <row r="85" spans="1:21" ht="24.75" customHeight="1">
      <c r="A85" s="167"/>
      <c r="B85" s="167"/>
      <c r="C85" s="28" t="s">
        <v>17</v>
      </c>
      <c r="D85" s="29" t="s">
        <v>152</v>
      </c>
      <c r="E85" s="29" t="s">
        <v>152</v>
      </c>
      <c r="F85" s="29" t="s">
        <v>42</v>
      </c>
      <c r="G85" s="29" t="s">
        <v>42</v>
      </c>
      <c r="H85" s="29" t="s">
        <v>43</v>
      </c>
      <c r="I85" s="29" t="s">
        <v>43</v>
      </c>
      <c r="J85" s="29" t="s">
        <v>47</v>
      </c>
      <c r="K85" s="29" t="s">
        <v>47</v>
      </c>
      <c r="L85" s="29" t="s">
        <v>49</v>
      </c>
      <c r="M85" s="29" t="s">
        <v>49</v>
      </c>
      <c r="N85" s="1"/>
      <c r="O85" s="1"/>
      <c r="P85" s="1"/>
      <c r="Q85" s="1"/>
      <c r="R85" s="1"/>
      <c r="S85" s="1"/>
      <c r="T85" s="1"/>
      <c r="U85" s="1"/>
    </row>
    <row r="86" spans="1:21" ht="24.75" customHeight="1">
      <c r="A86" s="167"/>
      <c r="B86" s="167"/>
      <c r="C86" s="32" t="s">
        <v>105</v>
      </c>
      <c r="D86" s="31" t="str">
        <f t="shared" ref="D86:M86" si="121">VLOOKUP(D83,$O$5:$Q$24,3,0)</f>
        <v>김도영</v>
      </c>
      <c r="E86" s="31" t="str">
        <f t="shared" si="121"/>
        <v>김도영</v>
      </c>
      <c r="F86" s="31" t="str">
        <f t="shared" si="121"/>
        <v>김도영</v>
      </c>
      <c r="G86" s="31" t="str">
        <f t="shared" si="121"/>
        <v>김도영</v>
      </c>
      <c r="H86" s="31" t="str">
        <f t="shared" si="121"/>
        <v>김도영</v>
      </c>
      <c r="I86" s="31" t="str">
        <f t="shared" si="121"/>
        <v>김도영</v>
      </c>
      <c r="J86" s="31" t="str">
        <f t="shared" si="121"/>
        <v>김도영</v>
      </c>
      <c r="K86" s="31" t="str">
        <f t="shared" si="121"/>
        <v>김도영</v>
      </c>
      <c r="L86" s="31" t="str">
        <f t="shared" si="121"/>
        <v>김도영</v>
      </c>
      <c r="M86" s="31" t="str">
        <f t="shared" si="121"/>
        <v>김도영</v>
      </c>
      <c r="N86" s="1"/>
      <c r="O86" s="1"/>
      <c r="P86" s="1"/>
      <c r="Q86" s="1"/>
      <c r="R86" s="1"/>
      <c r="S86" s="1"/>
      <c r="T86" s="1"/>
      <c r="U86" s="1"/>
    </row>
    <row r="87" spans="1:21" ht="24.75" customHeight="1">
      <c r="A87" s="38" t="s">
        <v>28</v>
      </c>
      <c r="B87" s="38" t="s">
        <v>110</v>
      </c>
      <c r="C87" s="39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1"/>
      <c r="O87" s="1"/>
      <c r="P87" s="1"/>
      <c r="Q87" s="1"/>
      <c r="R87" s="1"/>
      <c r="S87" s="1"/>
      <c r="T87" s="1"/>
      <c r="U87" s="1"/>
    </row>
    <row r="88" spans="1:21" ht="24.75" customHeight="1">
      <c r="A88" s="166" t="s">
        <v>111</v>
      </c>
      <c r="B88" s="166" t="s">
        <v>112</v>
      </c>
      <c r="C88" s="18" t="s">
        <v>15</v>
      </c>
      <c r="D88" s="19" t="s">
        <v>38</v>
      </c>
      <c r="E88" s="19" t="s">
        <v>38</v>
      </c>
      <c r="F88" s="19" t="s">
        <v>38</v>
      </c>
      <c r="G88" s="19" t="s">
        <v>38</v>
      </c>
      <c r="H88" s="19" t="s">
        <v>38</v>
      </c>
      <c r="I88" s="19" t="s">
        <v>38</v>
      </c>
      <c r="J88" s="19" t="s">
        <v>38</v>
      </c>
      <c r="K88" s="19" t="s">
        <v>38</v>
      </c>
      <c r="L88" s="19" t="s">
        <v>38</v>
      </c>
      <c r="M88" s="19" t="s">
        <v>38</v>
      </c>
      <c r="N88" s="1"/>
      <c r="O88" s="1"/>
      <c r="P88" s="1"/>
      <c r="Q88" s="1"/>
      <c r="R88" s="1"/>
      <c r="S88" s="1"/>
      <c r="T88" s="1"/>
      <c r="U88" s="1"/>
    </row>
    <row r="89" spans="1:21" ht="24.75" customHeight="1">
      <c r="A89" s="167"/>
      <c r="B89" s="167"/>
      <c r="C89" s="24" t="s">
        <v>16</v>
      </c>
      <c r="D89" s="25" t="str">
        <f t="shared" ref="D89:M89" si="122">VLOOKUP(D88,$O$5:$P$24,2,FALSE)</f>
        <v>자연어 및 음성 데이터 활용 및 모델 개발</v>
      </c>
      <c r="E89" s="25" t="str">
        <f t="shared" si="122"/>
        <v>자연어 및 음성 데이터 활용 및 모델 개발</v>
      </c>
      <c r="F89" s="25" t="str">
        <f t="shared" si="122"/>
        <v>자연어 및 음성 데이터 활용 및 모델 개발</v>
      </c>
      <c r="G89" s="25" t="str">
        <f t="shared" si="122"/>
        <v>자연어 및 음성 데이터 활용 및 모델 개발</v>
      </c>
      <c r="H89" s="25" t="str">
        <f t="shared" si="122"/>
        <v>자연어 및 음성 데이터 활용 및 모델 개발</v>
      </c>
      <c r="I89" s="25" t="str">
        <f t="shared" si="122"/>
        <v>자연어 및 음성 데이터 활용 및 모델 개발</v>
      </c>
      <c r="J89" s="25" t="str">
        <f t="shared" si="122"/>
        <v>자연어 및 음성 데이터 활용 및 모델 개발</v>
      </c>
      <c r="K89" s="25" t="str">
        <f t="shared" si="122"/>
        <v>자연어 및 음성 데이터 활용 및 모델 개발</v>
      </c>
      <c r="L89" s="25" t="str">
        <f t="shared" si="122"/>
        <v>자연어 및 음성 데이터 활용 및 모델 개발</v>
      </c>
      <c r="M89" s="25" t="str">
        <f t="shared" si="122"/>
        <v>자연어 및 음성 데이터 활용 및 모델 개발</v>
      </c>
      <c r="N89" s="1"/>
      <c r="O89" s="1"/>
      <c r="P89" s="1"/>
      <c r="Q89" s="1"/>
      <c r="R89" s="1"/>
      <c r="S89" s="1"/>
      <c r="T89" s="1"/>
      <c r="U89" s="1"/>
    </row>
    <row r="90" spans="1:21" ht="24.75" customHeight="1">
      <c r="A90" s="167"/>
      <c r="B90" s="167"/>
      <c r="C90" s="28" t="s">
        <v>17</v>
      </c>
      <c r="D90" s="29" t="s">
        <v>152</v>
      </c>
      <c r="E90" s="29" t="s">
        <v>152</v>
      </c>
      <c r="F90" s="29" t="s">
        <v>42</v>
      </c>
      <c r="G90" s="29" t="s">
        <v>42</v>
      </c>
      <c r="H90" s="29" t="s">
        <v>43</v>
      </c>
      <c r="I90" s="29" t="s">
        <v>43</v>
      </c>
      <c r="J90" s="29" t="s">
        <v>47</v>
      </c>
      <c r="K90" s="29" t="s">
        <v>47</v>
      </c>
      <c r="L90" s="29" t="s">
        <v>49</v>
      </c>
      <c r="M90" s="29" t="s">
        <v>49</v>
      </c>
      <c r="N90" s="1"/>
      <c r="O90" s="1"/>
      <c r="P90" s="1"/>
      <c r="Q90" s="1"/>
      <c r="R90" s="1"/>
      <c r="S90" s="1"/>
      <c r="T90" s="1"/>
      <c r="U90" s="1"/>
    </row>
    <row r="91" spans="1:21" ht="24.75" customHeight="1">
      <c r="A91" s="167"/>
      <c r="B91" s="167"/>
      <c r="C91" s="32" t="s">
        <v>105</v>
      </c>
      <c r="D91" s="31" t="str">
        <f t="shared" ref="D91:M91" si="123">VLOOKUP(D88,$O$5:$Q$24,3,0)</f>
        <v>김도영</v>
      </c>
      <c r="E91" s="31" t="str">
        <f t="shared" si="123"/>
        <v>김도영</v>
      </c>
      <c r="F91" s="31" t="str">
        <f t="shared" si="123"/>
        <v>김도영</v>
      </c>
      <c r="G91" s="31" t="str">
        <f t="shared" si="123"/>
        <v>김도영</v>
      </c>
      <c r="H91" s="31" t="str">
        <f t="shared" si="123"/>
        <v>김도영</v>
      </c>
      <c r="I91" s="31" t="str">
        <f t="shared" si="123"/>
        <v>김도영</v>
      </c>
      <c r="J91" s="31" t="str">
        <f t="shared" si="123"/>
        <v>김도영</v>
      </c>
      <c r="K91" s="31" t="str">
        <f t="shared" si="123"/>
        <v>김도영</v>
      </c>
      <c r="L91" s="31" t="str">
        <f t="shared" si="123"/>
        <v>김도영</v>
      </c>
      <c r="M91" s="31" t="str">
        <f t="shared" si="123"/>
        <v>김도영</v>
      </c>
      <c r="N91" s="1"/>
      <c r="O91" s="1"/>
      <c r="P91" s="1"/>
      <c r="Q91" s="1"/>
      <c r="R91" s="1"/>
      <c r="S91" s="1"/>
      <c r="T91" s="1"/>
      <c r="U91" s="1"/>
    </row>
    <row r="92" spans="1:21" ht="24.75" customHeight="1">
      <c r="A92" s="166" t="s">
        <v>113</v>
      </c>
      <c r="B92" s="166" t="s">
        <v>114</v>
      </c>
      <c r="C92" s="18" t="s">
        <v>15</v>
      </c>
      <c r="D92" s="19" t="s">
        <v>38</v>
      </c>
      <c r="E92" s="19" t="s">
        <v>38</v>
      </c>
      <c r="F92" s="19" t="s">
        <v>38</v>
      </c>
      <c r="G92" s="19" t="s">
        <v>38</v>
      </c>
      <c r="H92" s="19" t="s">
        <v>38</v>
      </c>
      <c r="I92" s="19" t="s">
        <v>38</v>
      </c>
      <c r="J92" s="19" t="s">
        <v>38</v>
      </c>
      <c r="K92" s="19" t="s">
        <v>38</v>
      </c>
      <c r="L92" s="19" t="s">
        <v>38</v>
      </c>
      <c r="M92" s="19" t="s">
        <v>50</v>
      </c>
      <c r="N92" s="1"/>
      <c r="O92" s="1"/>
      <c r="P92" s="1"/>
      <c r="Q92" s="1"/>
      <c r="R92" s="1"/>
      <c r="S92" s="1"/>
      <c r="T92" s="1"/>
      <c r="U92" s="1"/>
    </row>
    <row r="93" spans="1:21" ht="24.75" customHeight="1">
      <c r="A93" s="167"/>
      <c r="B93" s="167"/>
      <c r="C93" s="24" t="s">
        <v>16</v>
      </c>
      <c r="D93" s="25" t="str">
        <f t="shared" ref="D93:M93" si="124">VLOOKUP(D92,$O$5:$P$24,2,FALSE)</f>
        <v>자연어 및 음성 데이터 활용 및 모델 개발</v>
      </c>
      <c r="E93" s="25" t="str">
        <f t="shared" si="124"/>
        <v>자연어 및 음성 데이터 활용 및 모델 개발</v>
      </c>
      <c r="F93" s="25" t="str">
        <f t="shared" si="124"/>
        <v>자연어 및 음성 데이터 활용 및 모델 개발</v>
      </c>
      <c r="G93" s="25" t="str">
        <f t="shared" si="124"/>
        <v>자연어 및 음성 데이터 활용 및 모델 개발</v>
      </c>
      <c r="H93" s="25" t="str">
        <f t="shared" si="124"/>
        <v>자연어 및 음성 데이터 활용 및 모델 개발</v>
      </c>
      <c r="I93" s="25" t="str">
        <f t="shared" si="124"/>
        <v>자연어 및 음성 데이터 활용 및 모델 개발</v>
      </c>
      <c r="J93" s="25" t="str">
        <f t="shared" si="124"/>
        <v>자연어 및 음성 데이터 활용 및 모델 개발</v>
      </c>
      <c r="K93" s="25" t="str">
        <f t="shared" si="124"/>
        <v>자연어 및 음성 데이터 활용 및 모델 개발</v>
      </c>
      <c r="L93" s="25" t="str">
        <f t="shared" si="124"/>
        <v>자연어 및 음성 데이터 활용 및 모델 개발</v>
      </c>
      <c r="M93" s="25" t="str">
        <f t="shared" si="124"/>
        <v>음성 데이터 활용한 TTS와 STT 모델 개발</v>
      </c>
      <c r="N93" s="1"/>
      <c r="O93" s="1"/>
      <c r="P93" s="1"/>
      <c r="Q93" s="1"/>
      <c r="R93" s="1"/>
      <c r="S93" s="1"/>
      <c r="T93" s="1"/>
      <c r="U93" s="1"/>
    </row>
    <row r="94" spans="1:21" ht="24.75" customHeight="1">
      <c r="A94" s="167"/>
      <c r="B94" s="167"/>
      <c r="C94" s="28" t="s">
        <v>17</v>
      </c>
      <c r="D94" s="29" t="s">
        <v>152</v>
      </c>
      <c r="E94" s="29" t="s">
        <v>42</v>
      </c>
      <c r="F94" s="29" t="s">
        <v>42</v>
      </c>
      <c r="G94" s="29" t="s">
        <v>43</v>
      </c>
      <c r="H94" s="29" t="s">
        <v>43</v>
      </c>
      <c r="I94" s="29" t="s">
        <v>47</v>
      </c>
      <c r="J94" s="29" t="s">
        <v>47</v>
      </c>
      <c r="K94" s="29" t="s">
        <v>49</v>
      </c>
      <c r="L94" s="29" t="s">
        <v>49</v>
      </c>
      <c r="M94" s="29" t="s">
        <v>52</v>
      </c>
      <c r="N94" s="1"/>
      <c r="O94" s="1"/>
      <c r="P94" s="1"/>
      <c r="Q94" s="1"/>
      <c r="R94" s="1"/>
      <c r="S94" s="1"/>
      <c r="T94" s="1"/>
      <c r="U94" s="1"/>
    </row>
    <row r="95" spans="1:21" ht="24.75" customHeight="1">
      <c r="A95" s="167"/>
      <c r="B95" s="167"/>
      <c r="C95" s="32" t="s">
        <v>105</v>
      </c>
      <c r="D95" s="31" t="str">
        <f t="shared" ref="D95:M95" si="125">VLOOKUP(D92,$O$5:$Q$24,3,0)</f>
        <v>김도영</v>
      </c>
      <c r="E95" s="31" t="str">
        <f t="shared" si="125"/>
        <v>김도영</v>
      </c>
      <c r="F95" s="31" t="str">
        <f t="shared" si="125"/>
        <v>김도영</v>
      </c>
      <c r="G95" s="31" t="str">
        <f t="shared" si="125"/>
        <v>김도영</v>
      </c>
      <c r="H95" s="31" t="str">
        <f t="shared" si="125"/>
        <v>김도영</v>
      </c>
      <c r="I95" s="31" t="str">
        <f t="shared" si="125"/>
        <v>김도영</v>
      </c>
      <c r="J95" s="31" t="str">
        <f t="shared" si="125"/>
        <v>김도영</v>
      </c>
      <c r="K95" s="31" t="str">
        <f t="shared" si="125"/>
        <v>김도영</v>
      </c>
      <c r="L95" s="31" t="str">
        <f t="shared" si="125"/>
        <v>김도영</v>
      </c>
      <c r="M95" s="31" t="str">
        <f t="shared" si="125"/>
        <v>김도영</v>
      </c>
      <c r="N95" s="1"/>
      <c r="O95" s="1"/>
      <c r="P95" s="1"/>
      <c r="Q95" s="1"/>
      <c r="R95" s="1"/>
      <c r="S95" s="1"/>
      <c r="T95" s="1"/>
      <c r="U95" s="1"/>
    </row>
    <row r="96" spans="1:21" ht="24.75" customHeight="1">
      <c r="A96" s="166" t="s">
        <v>115</v>
      </c>
      <c r="B96" s="166" t="s">
        <v>116</v>
      </c>
      <c r="C96" s="18" t="s">
        <v>15</v>
      </c>
      <c r="D96" s="19" t="s">
        <v>38</v>
      </c>
      <c r="E96" s="19" t="s">
        <v>38</v>
      </c>
      <c r="F96" s="19" t="s">
        <v>38</v>
      </c>
      <c r="G96" s="19" t="s">
        <v>38</v>
      </c>
      <c r="H96" s="19" t="s">
        <v>38</v>
      </c>
      <c r="I96" s="19" t="s">
        <v>38</v>
      </c>
      <c r="J96" s="19" t="s">
        <v>38</v>
      </c>
      <c r="K96" s="19" t="s">
        <v>38</v>
      </c>
      <c r="L96" s="19" t="s">
        <v>38</v>
      </c>
      <c r="M96" s="19" t="s">
        <v>50</v>
      </c>
      <c r="N96" s="1"/>
      <c r="O96" s="1"/>
      <c r="P96" s="1"/>
      <c r="Q96" s="1"/>
      <c r="R96" s="1"/>
      <c r="S96" s="1"/>
      <c r="T96" s="1"/>
      <c r="U96" s="1"/>
    </row>
    <row r="97" spans="1:21" ht="24.75" customHeight="1">
      <c r="A97" s="167"/>
      <c r="B97" s="167"/>
      <c r="C97" s="24" t="s">
        <v>16</v>
      </c>
      <c r="D97" s="25" t="str">
        <f t="shared" ref="D97:M97" si="126">VLOOKUP(D96,$O$5:$P$24,2,FALSE)</f>
        <v>자연어 및 음성 데이터 활용 및 모델 개발</v>
      </c>
      <c r="E97" s="25" t="str">
        <f t="shared" si="126"/>
        <v>자연어 및 음성 데이터 활용 및 모델 개발</v>
      </c>
      <c r="F97" s="25" t="str">
        <f t="shared" si="126"/>
        <v>자연어 및 음성 데이터 활용 및 모델 개발</v>
      </c>
      <c r="G97" s="25" t="str">
        <f t="shared" si="126"/>
        <v>자연어 및 음성 데이터 활용 및 모델 개발</v>
      </c>
      <c r="H97" s="25" t="str">
        <f t="shared" si="126"/>
        <v>자연어 및 음성 데이터 활용 및 모델 개발</v>
      </c>
      <c r="I97" s="25" t="str">
        <f t="shared" si="126"/>
        <v>자연어 및 음성 데이터 활용 및 모델 개발</v>
      </c>
      <c r="J97" s="25" t="str">
        <f t="shared" si="126"/>
        <v>자연어 및 음성 데이터 활용 및 모델 개발</v>
      </c>
      <c r="K97" s="25" t="str">
        <f t="shared" si="126"/>
        <v>자연어 및 음성 데이터 활용 및 모델 개발</v>
      </c>
      <c r="L97" s="25" t="str">
        <f t="shared" si="126"/>
        <v>자연어 및 음성 데이터 활용 및 모델 개발</v>
      </c>
      <c r="M97" s="25" t="str">
        <f t="shared" si="126"/>
        <v>음성 데이터 활용한 TTS와 STT 모델 개발</v>
      </c>
      <c r="N97" s="1"/>
      <c r="O97" s="1"/>
      <c r="P97" s="1"/>
      <c r="Q97" s="1"/>
      <c r="R97" s="1"/>
      <c r="S97" s="1"/>
      <c r="T97" s="1"/>
      <c r="U97" s="1"/>
    </row>
    <row r="98" spans="1:21" ht="24.75" customHeight="1">
      <c r="A98" s="167"/>
      <c r="B98" s="167"/>
      <c r="C98" s="28" t="s">
        <v>17</v>
      </c>
      <c r="D98" s="29" t="s">
        <v>152</v>
      </c>
      <c r="E98" s="29" t="s">
        <v>42</v>
      </c>
      <c r="F98" s="29" t="s">
        <v>42</v>
      </c>
      <c r="G98" s="29" t="s">
        <v>43</v>
      </c>
      <c r="H98" s="29" t="s">
        <v>43</v>
      </c>
      <c r="I98" s="29" t="s">
        <v>47</v>
      </c>
      <c r="J98" s="29" t="s">
        <v>47</v>
      </c>
      <c r="K98" s="29" t="s">
        <v>49</v>
      </c>
      <c r="L98" s="29" t="s">
        <v>49</v>
      </c>
      <c r="M98" s="29" t="s">
        <v>52</v>
      </c>
      <c r="N98" s="1"/>
      <c r="O98" s="1"/>
      <c r="P98" s="1"/>
      <c r="Q98" s="1"/>
      <c r="R98" s="1"/>
      <c r="S98" s="1"/>
      <c r="T98" s="1"/>
      <c r="U98" s="1"/>
    </row>
    <row r="99" spans="1:21" ht="24.75" customHeight="1">
      <c r="A99" s="167"/>
      <c r="B99" s="167"/>
      <c r="C99" s="32" t="s">
        <v>105</v>
      </c>
      <c r="D99" s="31" t="str">
        <f t="shared" ref="D99:M99" si="127">VLOOKUP(D96,$O$5:$Q$24,3,0)</f>
        <v>김도영</v>
      </c>
      <c r="E99" s="31" t="str">
        <f t="shared" si="127"/>
        <v>김도영</v>
      </c>
      <c r="F99" s="31" t="str">
        <f t="shared" si="127"/>
        <v>김도영</v>
      </c>
      <c r="G99" s="31" t="str">
        <f t="shared" si="127"/>
        <v>김도영</v>
      </c>
      <c r="H99" s="31" t="str">
        <f t="shared" si="127"/>
        <v>김도영</v>
      </c>
      <c r="I99" s="31" t="str">
        <f t="shared" si="127"/>
        <v>김도영</v>
      </c>
      <c r="J99" s="31" t="str">
        <f t="shared" si="127"/>
        <v>김도영</v>
      </c>
      <c r="K99" s="31" t="str">
        <f t="shared" si="127"/>
        <v>김도영</v>
      </c>
      <c r="L99" s="31" t="str">
        <f t="shared" si="127"/>
        <v>김도영</v>
      </c>
      <c r="M99" s="31" t="str">
        <f t="shared" si="127"/>
        <v>김도영</v>
      </c>
      <c r="N99" s="1"/>
      <c r="O99" s="1"/>
      <c r="P99" s="1"/>
      <c r="Q99" s="1"/>
      <c r="R99" s="1"/>
      <c r="S99" s="1"/>
      <c r="T99" s="1"/>
      <c r="U99" s="1"/>
    </row>
    <row r="100" spans="1:21" ht="24.75" customHeight="1">
      <c r="A100" s="166" t="s">
        <v>117</v>
      </c>
      <c r="B100" s="166" t="s">
        <v>118</v>
      </c>
      <c r="C100" s="18" t="s">
        <v>15</v>
      </c>
      <c r="D100" s="19" t="s">
        <v>38</v>
      </c>
      <c r="E100" s="19" t="s">
        <v>38</v>
      </c>
      <c r="F100" s="19" t="s">
        <v>38</v>
      </c>
      <c r="G100" s="19" t="s">
        <v>38</v>
      </c>
      <c r="H100" s="19" t="s">
        <v>38</v>
      </c>
      <c r="I100" s="19" t="s">
        <v>38</v>
      </c>
      <c r="J100" s="19" t="s">
        <v>38</v>
      </c>
      <c r="K100" s="19" t="s">
        <v>38</v>
      </c>
      <c r="L100" s="19" t="s">
        <v>38</v>
      </c>
      <c r="M100" s="19" t="s">
        <v>50</v>
      </c>
      <c r="N100" s="1"/>
      <c r="O100" s="1"/>
      <c r="P100" s="1"/>
      <c r="Q100" s="1"/>
      <c r="R100" s="1"/>
      <c r="S100" s="1"/>
      <c r="T100" s="1"/>
      <c r="U100" s="1"/>
    </row>
    <row r="101" spans="1:21" ht="24.75" customHeight="1">
      <c r="A101" s="167"/>
      <c r="B101" s="167"/>
      <c r="C101" s="24" t="s">
        <v>16</v>
      </c>
      <c r="D101" s="25" t="str">
        <f t="shared" ref="D101:M101" si="128">VLOOKUP(D100,$O$5:$P$24,2,FALSE)</f>
        <v>자연어 및 음성 데이터 활용 및 모델 개발</v>
      </c>
      <c r="E101" s="25" t="str">
        <f t="shared" si="128"/>
        <v>자연어 및 음성 데이터 활용 및 모델 개발</v>
      </c>
      <c r="F101" s="25" t="str">
        <f t="shared" si="128"/>
        <v>자연어 및 음성 데이터 활용 및 모델 개발</v>
      </c>
      <c r="G101" s="25" t="str">
        <f t="shared" si="128"/>
        <v>자연어 및 음성 데이터 활용 및 모델 개발</v>
      </c>
      <c r="H101" s="25" t="str">
        <f t="shared" si="128"/>
        <v>자연어 및 음성 데이터 활용 및 모델 개발</v>
      </c>
      <c r="I101" s="25" t="str">
        <f t="shared" si="128"/>
        <v>자연어 및 음성 데이터 활용 및 모델 개발</v>
      </c>
      <c r="J101" s="25" t="str">
        <f t="shared" si="128"/>
        <v>자연어 및 음성 데이터 활용 및 모델 개발</v>
      </c>
      <c r="K101" s="25" t="str">
        <f t="shared" si="128"/>
        <v>자연어 및 음성 데이터 활용 및 모델 개발</v>
      </c>
      <c r="L101" s="25" t="str">
        <f t="shared" si="128"/>
        <v>자연어 및 음성 데이터 활용 및 모델 개발</v>
      </c>
      <c r="M101" s="25" t="str">
        <f t="shared" si="128"/>
        <v>음성 데이터 활용한 TTS와 STT 모델 개발</v>
      </c>
      <c r="N101" s="1"/>
      <c r="O101" s="1"/>
      <c r="P101" s="1"/>
      <c r="Q101" s="1"/>
      <c r="R101" s="1"/>
      <c r="S101" s="1"/>
      <c r="T101" s="1"/>
      <c r="U101" s="1"/>
    </row>
    <row r="102" spans="1:21" ht="24.75" customHeight="1">
      <c r="A102" s="167"/>
      <c r="B102" s="167"/>
      <c r="C102" s="28" t="s">
        <v>17</v>
      </c>
      <c r="D102" s="29" t="s">
        <v>152</v>
      </c>
      <c r="E102" s="29" t="s">
        <v>42</v>
      </c>
      <c r="F102" s="29" t="s">
        <v>42</v>
      </c>
      <c r="G102" s="29" t="s">
        <v>43</v>
      </c>
      <c r="H102" s="29" t="s">
        <v>43</v>
      </c>
      <c r="I102" s="29" t="s">
        <v>47</v>
      </c>
      <c r="J102" s="29" t="s">
        <v>47</v>
      </c>
      <c r="K102" s="29" t="s">
        <v>49</v>
      </c>
      <c r="L102" s="29" t="s">
        <v>49</v>
      </c>
      <c r="M102" s="29" t="s">
        <v>52</v>
      </c>
      <c r="N102" s="1"/>
      <c r="O102" s="1"/>
      <c r="P102" s="1"/>
      <c r="Q102" s="1"/>
      <c r="R102" s="1"/>
      <c r="S102" s="1"/>
      <c r="T102" s="1"/>
      <c r="U102" s="1"/>
    </row>
    <row r="103" spans="1:21" ht="24.75" customHeight="1">
      <c r="A103" s="167"/>
      <c r="B103" s="167"/>
      <c r="C103" s="32" t="s">
        <v>105</v>
      </c>
      <c r="D103" s="31" t="str">
        <f t="shared" ref="D103:M103" si="129">VLOOKUP(D100,$O$5:$Q$24,3,0)</f>
        <v>김도영</v>
      </c>
      <c r="E103" s="31" t="str">
        <f t="shared" si="129"/>
        <v>김도영</v>
      </c>
      <c r="F103" s="31" t="str">
        <f t="shared" si="129"/>
        <v>김도영</v>
      </c>
      <c r="G103" s="31" t="str">
        <f t="shared" si="129"/>
        <v>김도영</v>
      </c>
      <c r="H103" s="31" t="str">
        <f t="shared" si="129"/>
        <v>김도영</v>
      </c>
      <c r="I103" s="31" t="str">
        <f t="shared" si="129"/>
        <v>김도영</v>
      </c>
      <c r="J103" s="31" t="str">
        <f t="shared" si="129"/>
        <v>김도영</v>
      </c>
      <c r="K103" s="31" t="str">
        <f t="shared" si="129"/>
        <v>김도영</v>
      </c>
      <c r="L103" s="31" t="str">
        <f t="shared" si="129"/>
        <v>김도영</v>
      </c>
      <c r="M103" s="31" t="str">
        <f t="shared" si="129"/>
        <v>김도영</v>
      </c>
      <c r="N103" s="1"/>
      <c r="O103" s="1"/>
      <c r="P103" s="1"/>
      <c r="Q103" s="1"/>
      <c r="R103" s="1"/>
      <c r="S103" s="1"/>
      <c r="T103" s="1"/>
      <c r="U103" s="1"/>
    </row>
    <row r="104" spans="1:21" ht="24.75" customHeight="1">
      <c r="A104" s="166" t="s">
        <v>119</v>
      </c>
      <c r="B104" s="166" t="s">
        <v>120</v>
      </c>
      <c r="C104" s="18" t="s">
        <v>15</v>
      </c>
      <c r="D104" s="19" t="s">
        <v>38</v>
      </c>
      <c r="E104" s="19" t="s">
        <v>38</v>
      </c>
      <c r="F104" s="19" t="s">
        <v>38</v>
      </c>
      <c r="G104" s="19" t="s">
        <v>38</v>
      </c>
      <c r="H104" s="19" t="s">
        <v>38</v>
      </c>
      <c r="I104" s="19" t="s">
        <v>38</v>
      </c>
      <c r="J104" s="19" t="s">
        <v>38</v>
      </c>
      <c r="K104" s="19" t="s">
        <v>38</v>
      </c>
      <c r="L104" s="19" t="s">
        <v>38</v>
      </c>
      <c r="M104" s="19" t="s">
        <v>50</v>
      </c>
      <c r="N104" s="1"/>
      <c r="O104" s="1"/>
      <c r="P104" s="1"/>
      <c r="Q104" s="1"/>
      <c r="R104" s="1"/>
      <c r="S104" s="1"/>
      <c r="T104" s="1"/>
      <c r="U104" s="1"/>
    </row>
    <row r="105" spans="1:21" ht="24.75" customHeight="1">
      <c r="A105" s="167"/>
      <c r="B105" s="167"/>
      <c r="C105" s="24" t="s">
        <v>16</v>
      </c>
      <c r="D105" s="25" t="str">
        <f t="shared" ref="D105:M105" si="130">VLOOKUP(D104,$O$5:$P$24,2,FALSE)</f>
        <v>자연어 및 음성 데이터 활용 및 모델 개발</v>
      </c>
      <c r="E105" s="25" t="str">
        <f t="shared" si="130"/>
        <v>자연어 및 음성 데이터 활용 및 모델 개발</v>
      </c>
      <c r="F105" s="25" t="str">
        <f t="shared" si="130"/>
        <v>자연어 및 음성 데이터 활용 및 모델 개발</v>
      </c>
      <c r="G105" s="25" t="str">
        <f t="shared" si="130"/>
        <v>자연어 및 음성 데이터 활용 및 모델 개발</v>
      </c>
      <c r="H105" s="25" t="str">
        <f t="shared" si="130"/>
        <v>자연어 및 음성 데이터 활용 및 모델 개발</v>
      </c>
      <c r="I105" s="25" t="str">
        <f t="shared" si="130"/>
        <v>자연어 및 음성 데이터 활용 및 모델 개발</v>
      </c>
      <c r="J105" s="25" t="str">
        <f t="shared" si="130"/>
        <v>자연어 및 음성 데이터 활용 및 모델 개발</v>
      </c>
      <c r="K105" s="25" t="str">
        <f t="shared" si="130"/>
        <v>자연어 및 음성 데이터 활용 및 모델 개발</v>
      </c>
      <c r="L105" s="25" t="str">
        <f t="shared" si="130"/>
        <v>자연어 및 음성 데이터 활용 및 모델 개발</v>
      </c>
      <c r="M105" s="25" t="str">
        <f t="shared" si="130"/>
        <v>음성 데이터 활용한 TTS와 STT 모델 개발</v>
      </c>
      <c r="N105" s="1"/>
      <c r="O105" s="1"/>
      <c r="P105" s="1"/>
      <c r="Q105" s="1"/>
      <c r="R105" s="1"/>
      <c r="S105" s="1"/>
      <c r="T105" s="1"/>
      <c r="U105" s="1"/>
    </row>
    <row r="106" spans="1:21" ht="24.75" customHeight="1">
      <c r="A106" s="167"/>
      <c r="B106" s="167"/>
      <c r="C106" s="28" t="s">
        <v>17</v>
      </c>
      <c r="D106" s="29" t="s">
        <v>152</v>
      </c>
      <c r="E106" s="29" t="s">
        <v>42</v>
      </c>
      <c r="F106" s="29" t="s">
        <v>42</v>
      </c>
      <c r="G106" s="29" t="s">
        <v>43</v>
      </c>
      <c r="H106" s="29" t="s">
        <v>43</v>
      </c>
      <c r="I106" s="29" t="s">
        <v>47</v>
      </c>
      <c r="J106" s="29" t="s">
        <v>47</v>
      </c>
      <c r="K106" s="29" t="s">
        <v>49</v>
      </c>
      <c r="L106" s="29" t="s">
        <v>49</v>
      </c>
      <c r="M106" s="29" t="s">
        <v>52</v>
      </c>
      <c r="N106" s="1"/>
      <c r="O106" s="1"/>
      <c r="P106" s="1"/>
      <c r="Q106" s="1"/>
      <c r="R106" s="1"/>
      <c r="S106" s="1"/>
      <c r="T106" s="1"/>
      <c r="U106" s="1"/>
    </row>
    <row r="107" spans="1:21" ht="24.75" customHeight="1">
      <c r="A107" s="159"/>
      <c r="B107" s="159"/>
      <c r="C107" s="32" t="s">
        <v>105</v>
      </c>
      <c r="D107" s="31" t="str">
        <f t="shared" ref="D107:M107" si="131">VLOOKUP(D104,$O$5:$Q$24,3,0)</f>
        <v>김도영</v>
      </c>
      <c r="E107" s="31" t="str">
        <f t="shared" si="131"/>
        <v>김도영</v>
      </c>
      <c r="F107" s="31" t="str">
        <f t="shared" si="131"/>
        <v>김도영</v>
      </c>
      <c r="G107" s="31" t="str">
        <f t="shared" si="131"/>
        <v>김도영</v>
      </c>
      <c r="H107" s="31" t="str">
        <f t="shared" si="131"/>
        <v>김도영</v>
      </c>
      <c r="I107" s="31" t="str">
        <f t="shared" si="131"/>
        <v>김도영</v>
      </c>
      <c r="J107" s="31" t="str">
        <f t="shared" si="131"/>
        <v>김도영</v>
      </c>
      <c r="K107" s="31" t="str">
        <f t="shared" si="131"/>
        <v>김도영</v>
      </c>
      <c r="L107" s="31" t="str">
        <f t="shared" si="131"/>
        <v>김도영</v>
      </c>
      <c r="M107" s="31" t="str">
        <f t="shared" si="131"/>
        <v>김도영</v>
      </c>
      <c r="N107" s="1"/>
      <c r="O107" s="1"/>
      <c r="P107" s="1"/>
      <c r="Q107" s="1"/>
      <c r="R107" s="1"/>
      <c r="S107" s="1"/>
      <c r="T107" s="1"/>
      <c r="U107" s="1"/>
    </row>
    <row r="108" spans="1:21" ht="24.75" customHeight="1">
      <c r="A108" s="164" t="s">
        <v>94</v>
      </c>
      <c r="B108" s="164" t="s">
        <v>95</v>
      </c>
      <c r="C108" s="164" t="s">
        <v>96</v>
      </c>
      <c r="D108" s="165">
        <f>I73+1</f>
        <v>7</v>
      </c>
      <c r="E108" s="156"/>
      <c r="F108" s="156"/>
      <c r="G108" s="156"/>
      <c r="H108" s="154"/>
      <c r="I108" s="165">
        <f>D108+1</f>
        <v>8</v>
      </c>
      <c r="J108" s="156"/>
      <c r="K108" s="156"/>
      <c r="L108" s="156"/>
      <c r="M108" s="154"/>
      <c r="N108" s="1"/>
      <c r="O108" s="1"/>
      <c r="P108" s="1"/>
      <c r="Q108" s="1"/>
      <c r="R108" s="1"/>
      <c r="S108" s="1"/>
      <c r="T108" s="1"/>
      <c r="U108" s="1"/>
    </row>
    <row r="109" spans="1:21" ht="24.75" customHeight="1">
      <c r="A109" s="159"/>
      <c r="B109" s="159"/>
      <c r="C109" s="159"/>
      <c r="D109" s="14">
        <f>M74+3</f>
        <v>46153</v>
      </c>
      <c r="E109" s="14">
        <f t="shared" ref="E109:H109" si="132">D109+1</f>
        <v>46154</v>
      </c>
      <c r="F109" s="14">
        <f t="shared" si="132"/>
        <v>46155</v>
      </c>
      <c r="G109" s="14">
        <f t="shared" si="132"/>
        <v>46156</v>
      </c>
      <c r="H109" s="14">
        <f t="shared" si="132"/>
        <v>46157</v>
      </c>
      <c r="I109" s="14">
        <f>H109+3</f>
        <v>46160</v>
      </c>
      <c r="J109" s="14">
        <f t="shared" ref="J109:M109" si="133">I109+1</f>
        <v>46161</v>
      </c>
      <c r="K109" s="14">
        <f t="shared" si="133"/>
        <v>46162</v>
      </c>
      <c r="L109" s="14">
        <f t="shared" si="133"/>
        <v>46163</v>
      </c>
      <c r="M109" s="14">
        <f t="shared" si="133"/>
        <v>46164</v>
      </c>
      <c r="N109" s="1"/>
      <c r="O109" s="1"/>
      <c r="P109" s="1"/>
      <c r="Q109" s="1"/>
      <c r="R109" s="1"/>
      <c r="S109" s="1"/>
      <c r="T109" s="1"/>
      <c r="U109" s="1"/>
    </row>
    <row r="110" spans="1:21" ht="24.75" customHeight="1">
      <c r="A110" s="166" t="s">
        <v>103</v>
      </c>
      <c r="B110" s="166" t="s">
        <v>104</v>
      </c>
      <c r="C110" s="18" t="s">
        <v>15</v>
      </c>
      <c r="D110" s="19" t="s">
        <v>50</v>
      </c>
      <c r="E110" s="19" t="s">
        <v>50</v>
      </c>
      <c r="F110" s="19" t="s">
        <v>50</v>
      </c>
      <c r="G110" s="19" t="s">
        <v>50</v>
      </c>
      <c r="H110" s="19" t="s">
        <v>50</v>
      </c>
      <c r="I110" s="19" t="s">
        <v>50</v>
      </c>
      <c r="J110" s="19" t="s">
        <v>50</v>
      </c>
      <c r="K110" s="19" t="s">
        <v>50</v>
      </c>
      <c r="L110" s="19" t="s">
        <v>46</v>
      </c>
      <c r="M110" s="19" t="s">
        <v>46</v>
      </c>
      <c r="N110" s="1"/>
      <c r="O110" s="1"/>
      <c r="P110" s="1"/>
      <c r="Q110" s="1"/>
      <c r="R110" s="1"/>
      <c r="S110" s="1"/>
      <c r="T110" s="1"/>
      <c r="U110" s="1"/>
    </row>
    <row r="111" spans="1:21" ht="24.75" customHeight="1">
      <c r="A111" s="167"/>
      <c r="B111" s="167"/>
      <c r="C111" s="24" t="s">
        <v>16</v>
      </c>
      <c r="D111" s="25" t="str">
        <f t="shared" ref="D111:M111" si="134">VLOOKUP(D110,$O$5:$P$24,2,FALSE)</f>
        <v>음성 데이터 활용한 TTS와 STT 모델 개발</v>
      </c>
      <c r="E111" s="25" t="str">
        <f t="shared" si="134"/>
        <v>음성 데이터 활용한 TTS와 STT 모델 개발</v>
      </c>
      <c r="F111" s="25" t="str">
        <f t="shared" si="134"/>
        <v>음성 데이터 활용한 TTS와 STT 모델 개발</v>
      </c>
      <c r="G111" s="25" t="str">
        <f t="shared" si="134"/>
        <v>음성 데이터 활용한 TTS와 STT 모델 개발</v>
      </c>
      <c r="H111" s="25" t="str">
        <f t="shared" si="134"/>
        <v>음성 데이터 활용한 TTS와 STT 모델 개발</v>
      </c>
      <c r="I111" s="25" t="str">
        <f t="shared" si="134"/>
        <v>음성 데이터 활용한 TTS와 STT 모델 개발</v>
      </c>
      <c r="J111" s="25" t="str">
        <f t="shared" si="134"/>
        <v>음성 데이터 활용한 TTS와 STT 모델 개발</v>
      </c>
      <c r="K111" s="25" t="str">
        <f t="shared" si="134"/>
        <v>음성 데이터 활용한 TTS와 STT 모델 개발</v>
      </c>
      <c r="L111" s="25" t="str">
        <f t="shared" si="134"/>
        <v>나만의 음성 모델 만들기</v>
      </c>
      <c r="M111" s="25" t="str">
        <f t="shared" si="134"/>
        <v>나만의 음성 모델 만들기</v>
      </c>
      <c r="N111" s="1"/>
      <c r="O111" s="1"/>
      <c r="P111" s="1"/>
      <c r="Q111" s="1"/>
      <c r="R111" s="1"/>
      <c r="S111" s="1"/>
      <c r="T111" s="1"/>
      <c r="U111" s="1"/>
    </row>
    <row r="112" spans="1:21" ht="24.75" customHeight="1">
      <c r="A112" s="167"/>
      <c r="B112" s="167"/>
      <c r="C112" s="28" t="s">
        <v>17</v>
      </c>
      <c r="D112" s="29" t="s">
        <v>52</v>
      </c>
      <c r="E112" s="29" t="s">
        <v>52</v>
      </c>
      <c r="F112" s="29" t="s">
        <v>52</v>
      </c>
      <c r="G112" s="29" t="s">
        <v>52</v>
      </c>
      <c r="H112" s="29" t="s">
        <v>53</v>
      </c>
      <c r="I112" s="29" t="s">
        <v>53</v>
      </c>
      <c r="J112" s="29" t="s">
        <v>53</v>
      </c>
      <c r="K112" s="29" t="s">
        <v>53</v>
      </c>
      <c r="L112" s="29" t="s">
        <v>153</v>
      </c>
      <c r="M112" s="29" t="s">
        <v>153</v>
      </c>
      <c r="N112" s="1"/>
      <c r="O112" s="1"/>
      <c r="P112" s="1"/>
      <c r="Q112" s="1"/>
      <c r="R112" s="1"/>
      <c r="S112" s="1"/>
      <c r="T112" s="1"/>
      <c r="U112" s="1"/>
    </row>
    <row r="113" spans="1:21" ht="24.75" customHeight="1">
      <c r="A113" s="167"/>
      <c r="B113" s="167"/>
      <c r="C113" s="30" t="s">
        <v>105</v>
      </c>
      <c r="D113" s="31" t="str">
        <f t="shared" ref="D113:M113" si="135">VLOOKUP(D110,$O$5:$Q$24,3,0)</f>
        <v>김도영</v>
      </c>
      <c r="E113" s="31" t="str">
        <f t="shared" si="135"/>
        <v>김도영</v>
      </c>
      <c r="F113" s="31" t="str">
        <f t="shared" si="135"/>
        <v>김도영</v>
      </c>
      <c r="G113" s="31" t="str">
        <f t="shared" si="135"/>
        <v>김도영</v>
      </c>
      <c r="H113" s="31" t="str">
        <f t="shared" si="135"/>
        <v>김도영</v>
      </c>
      <c r="I113" s="31" t="str">
        <f t="shared" si="135"/>
        <v>김도영</v>
      </c>
      <c r="J113" s="31" t="str">
        <f t="shared" si="135"/>
        <v>김도영</v>
      </c>
      <c r="K113" s="31" t="str">
        <f t="shared" si="135"/>
        <v>김도영</v>
      </c>
      <c r="L113" s="31" t="str">
        <f t="shared" si="135"/>
        <v>김도영</v>
      </c>
      <c r="M113" s="31" t="str">
        <f t="shared" si="135"/>
        <v>김도영</v>
      </c>
      <c r="N113" s="1"/>
      <c r="O113" s="1"/>
      <c r="P113" s="1"/>
      <c r="Q113" s="1"/>
      <c r="R113" s="1"/>
      <c r="S113" s="1"/>
      <c r="T113" s="1"/>
      <c r="U113" s="1"/>
    </row>
    <row r="114" spans="1:21" ht="24.75" customHeight="1">
      <c r="A114" s="166" t="s">
        <v>106</v>
      </c>
      <c r="B114" s="166" t="s">
        <v>107</v>
      </c>
      <c r="C114" s="18" t="s">
        <v>15</v>
      </c>
      <c r="D114" s="19" t="s">
        <v>50</v>
      </c>
      <c r="E114" s="19" t="s">
        <v>50</v>
      </c>
      <c r="F114" s="19" t="s">
        <v>50</v>
      </c>
      <c r="G114" s="19" t="s">
        <v>50</v>
      </c>
      <c r="H114" s="19" t="s">
        <v>50</v>
      </c>
      <c r="I114" s="19" t="s">
        <v>50</v>
      </c>
      <c r="J114" s="19" t="s">
        <v>50</v>
      </c>
      <c r="K114" s="19" t="s">
        <v>50</v>
      </c>
      <c r="L114" s="19" t="s">
        <v>46</v>
      </c>
      <c r="M114" s="19" t="s">
        <v>46</v>
      </c>
      <c r="N114" s="1"/>
      <c r="O114" s="1"/>
      <c r="P114" s="1"/>
      <c r="Q114" s="1"/>
      <c r="R114" s="1"/>
      <c r="S114" s="1"/>
      <c r="T114" s="1"/>
      <c r="U114" s="1"/>
    </row>
    <row r="115" spans="1:21" ht="24.75" customHeight="1">
      <c r="A115" s="167"/>
      <c r="B115" s="167"/>
      <c r="C115" s="24" t="s">
        <v>16</v>
      </c>
      <c r="D115" s="25" t="str">
        <f t="shared" ref="D115:M115" si="136">VLOOKUP(D114,$O$5:$P$24,2,FALSE)</f>
        <v>음성 데이터 활용한 TTS와 STT 모델 개발</v>
      </c>
      <c r="E115" s="25" t="str">
        <f t="shared" si="136"/>
        <v>음성 데이터 활용한 TTS와 STT 모델 개발</v>
      </c>
      <c r="F115" s="25" t="str">
        <f t="shared" si="136"/>
        <v>음성 데이터 활용한 TTS와 STT 모델 개발</v>
      </c>
      <c r="G115" s="25" t="str">
        <f t="shared" si="136"/>
        <v>음성 데이터 활용한 TTS와 STT 모델 개발</v>
      </c>
      <c r="H115" s="25" t="str">
        <f t="shared" si="136"/>
        <v>음성 데이터 활용한 TTS와 STT 모델 개발</v>
      </c>
      <c r="I115" s="25" t="str">
        <f t="shared" si="136"/>
        <v>음성 데이터 활용한 TTS와 STT 모델 개발</v>
      </c>
      <c r="J115" s="25" t="str">
        <f t="shared" si="136"/>
        <v>음성 데이터 활용한 TTS와 STT 모델 개발</v>
      </c>
      <c r="K115" s="25" t="str">
        <f t="shared" si="136"/>
        <v>음성 데이터 활용한 TTS와 STT 모델 개발</v>
      </c>
      <c r="L115" s="25" t="str">
        <f t="shared" si="136"/>
        <v>나만의 음성 모델 만들기</v>
      </c>
      <c r="M115" s="25" t="str">
        <f t="shared" si="136"/>
        <v>나만의 음성 모델 만들기</v>
      </c>
      <c r="N115" s="1"/>
      <c r="O115" s="1"/>
      <c r="P115" s="1"/>
      <c r="Q115" s="1"/>
      <c r="R115" s="1"/>
      <c r="S115" s="1"/>
      <c r="T115" s="1"/>
      <c r="U115" s="1"/>
    </row>
    <row r="116" spans="1:21" ht="24.75" customHeight="1">
      <c r="A116" s="167"/>
      <c r="B116" s="167"/>
      <c r="C116" s="28" t="s">
        <v>17</v>
      </c>
      <c r="D116" s="29" t="s">
        <v>52</v>
      </c>
      <c r="E116" s="29" t="s">
        <v>52</v>
      </c>
      <c r="F116" s="29" t="s">
        <v>52</v>
      </c>
      <c r="G116" s="29" t="s">
        <v>52</v>
      </c>
      <c r="H116" s="29" t="s">
        <v>53</v>
      </c>
      <c r="I116" s="29" t="s">
        <v>53</v>
      </c>
      <c r="J116" s="29" t="s">
        <v>53</v>
      </c>
      <c r="K116" s="29" t="s">
        <v>53</v>
      </c>
      <c r="L116" s="29" t="s">
        <v>153</v>
      </c>
      <c r="M116" s="29" t="s">
        <v>153</v>
      </c>
      <c r="N116" s="1"/>
      <c r="O116" s="1"/>
      <c r="P116" s="1"/>
      <c r="Q116" s="1"/>
      <c r="R116" s="1"/>
      <c r="S116" s="1"/>
      <c r="T116" s="1"/>
      <c r="U116" s="1"/>
    </row>
    <row r="117" spans="1:21" ht="24.75" customHeight="1">
      <c r="A117" s="167"/>
      <c r="B117" s="167"/>
      <c r="C117" s="32" t="s">
        <v>105</v>
      </c>
      <c r="D117" s="31" t="str">
        <f t="shared" ref="D117:M117" si="137">VLOOKUP(D114,$O$5:$Q$24,3,0)</f>
        <v>김도영</v>
      </c>
      <c r="E117" s="31" t="str">
        <f t="shared" si="137"/>
        <v>김도영</v>
      </c>
      <c r="F117" s="31" t="str">
        <f t="shared" si="137"/>
        <v>김도영</v>
      </c>
      <c r="G117" s="31" t="str">
        <f t="shared" si="137"/>
        <v>김도영</v>
      </c>
      <c r="H117" s="31" t="str">
        <f t="shared" si="137"/>
        <v>김도영</v>
      </c>
      <c r="I117" s="31" t="str">
        <f t="shared" si="137"/>
        <v>김도영</v>
      </c>
      <c r="J117" s="31" t="str">
        <f t="shared" si="137"/>
        <v>김도영</v>
      </c>
      <c r="K117" s="31" t="str">
        <f t="shared" si="137"/>
        <v>김도영</v>
      </c>
      <c r="L117" s="31" t="str">
        <f t="shared" si="137"/>
        <v>김도영</v>
      </c>
      <c r="M117" s="31" t="str">
        <f t="shared" si="137"/>
        <v>김도영</v>
      </c>
      <c r="N117" s="1"/>
      <c r="O117" s="1"/>
      <c r="P117" s="1"/>
      <c r="Q117" s="1"/>
      <c r="R117" s="1"/>
      <c r="S117" s="1"/>
      <c r="T117" s="1"/>
      <c r="U117" s="1"/>
    </row>
    <row r="118" spans="1:21" ht="24.75" customHeight="1">
      <c r="A118" s="166" t="s">
        <v>108</v>
      </c>
      <c r="B118" s="166" t="s">
        <v>109</v>
      </c>
      <c r="C118" s="18" t="s">
        <v>15</v>
      </c>
      <c r="D118" s="19" t="s">
        <v>50</v>
      </c>
      <c r="E118" s="19" t="s">
        <v>50</v>
      </c>
      <c r="F118" s="19" t="s">
        <v>50</v>
      </c>
      <c r="G118" s="19" t="s">
        <v>50</v>
      </c>
      <c r="H118" s="19" t="s">
        <v>50</v>
      </c>
      <c r="I118" s="19" t="s">
        <v>50</v>
      </c>
      <c r="J118" s="19" t="s">
        <v>50</v>
      </c>
      <c r="K118" s="19" t="s">
        <v>50</v>
      </c>
      <c r="L118" s="19" t="s">
        <v>46</v>
      </c>
      <c r="M118" s="19" t="s">
        <v>46</v>
      </c>
      <c r="N118" s="1"/>
      <c r="O118" s="1"/>
      <c r="P118" s="1"/>
      <c r="Q118" s="1"/>
      <c r="R118" s="1"/>
      <c r="S118" s="1"/>
      <c r="T118" s="1"/>
      <c r="U118" s="1"/>
    </row>
    <row r="119" spans="1:21" ht="24.75" customHeight="1">
      <c r="A119" s="167"/>
      <c r="B119" s="167"/>
      <c r="C119" s="24" t="s">
        <v>16</v>
      </c>
      <c r="D119" s="25" t="str">
        <f t="shared" ref="D119:M119" si="138">VLOOKUP(D118,$O$5:$P$24,2,FALSE)</f>
        <v>음성 데이터 활용한 TTS와 STT 모델 개발</v>
      </c>
      <c r="E119" s="25" t="str">
        <f t="shared" si="138"/>
        <v>음성 데이터 활용한 TTS와 STT 모델 개발</v>
      </c>
      <c r="F119" s="25" t="str">
        <f t="shared" si="138"/>
        <v>음성 데이터 활용한 TTS와 STT 모델 개발</v>
      </c>
      <c r="G119" s="25" t="str">
        <f t="shared" si="138"/>
        <v>음성 데이터 활용한 TTS와 STT 모델 개발</v>
      </c>
      <c r="H119" s="25" t="str">
        <f t="shared" si="138"/>
        <v>음성 데이터 활용한 TTS와 STT 모델 개발</v>
      </c>
      <c r="I119" s="25" t="str">
        <f t="shared" si="138"/>
        <v>음성 데이터 활용한 TTS와 STT 모델 개발</v>
      </c>
      <c r="J119" s="25" t="str">
        <f t="shared" si="138"/>
        <v>음성 데이터 활용한 TTS와 STT 모델 개발</v>
      </c>
      <c r="K119" s="25" t="str">
        <f t="shared" si="138"/>
        <v>음성 데이터 활용한 TTS와 STT 모델 개발</v>
      </c>
      <c r="L119" s="25" t="str">
        <f t="shared" si="138"/>
        <v>나만의 음성 모델 만들기</v>
      </c>
      <c r="M119" s="25" t="str">
        <f t="shared" si="138"/>
        <v>나만의 음성 모델 만들기</v>
      </c>
      <c r="N119" s="1"/>
      <c r="O119" s="1"/>
      <c r="P119" s="1"/>
      <c r="Q119" s="1"/>
      <c r="R119" s="1"/>
      <c r="S119" s="1"/>
      <c r="T119" s="1"/>
      <c r="U119" s="1"/>
    </row>
    <row r="120" spans="1:21" ht="24.75" customHeight="1">
      <c r="A120" s="167"/>
      <c r="B120" s="167"/>
      <c r="C120" s="28" t="s">
        <v>17</v>
      </c>
      <c r="D120" s="29" t="s">
        <v>52</v>
      </c>
      <c r="E120" s="29" t="s">
        <v>52</v>
      </c>
      <c r="F120" s="29" t="s">
        <v>52</v>
      </c>
      <c r="G120" s="29" t="s">
        <v>52</v>
      </c>
      <c r="H120" s="29" t="s">
        <v>53</v>
      </c>
      <c r="I120" s="29" t="s">
        <v>53</v>
      </c>
      <c r="J120" s="29" t="s">
        <v>53</v>
      </c>
      <c r="K120" s="29" t="s">
        <v>53</v>
      </c>
      <c r="L120" s="29" t="s">
        <v>153</v>
      </c>
      <c r="M120" s="29" t="s">
        <v>153</v>
      </c>
      <c r="N120" s="1"/>
      <c r="O120" s="1"/>
      <c r="P120" s="1"/>
      <c r="Q120" s="1"/>
      <c r="R120" s="1"/>
      <c r="S120" s="1"/>
      <c r="T120" s="1"/>
      <c r="U120" s="1"/>
    </row>
    <row r="121" spans="1:21" ht="24.75" customHeight="1">
      <c r="A121" s="167"/>
      <c r="B121" s="167"/>
      <c r="C121" s="32" t="s">
        <v>105</v>
      </c>
      <c r="D121" s="31" t="str">
        <f t="shared" ref="D121:M121" si="139">VLOOKUP(D118,$O$5:$Q$24,3,0)</f>
        <v>김도영</v>
      </c>
      <c r="E121" s="31" t="str">
        <f t="shared" si="139"/>
        <v>김도영</v>
      </c>
      <c r="F121" s="31" t="str">
        <f t="shared" si="139"/>
        <v>김도영</v>
      </c>
      <c r="G121" s="31" t="str">
        <f t="shared" si="139"/>
        <v>김도영</v>
      </c>
      <c r="H121" s="31" t="str">
        <f t="shared" si="139"/>
        <v>김도영</v>
      </c>
      <c r="I121" s="31" t="str">
        <f t="shared" si="139"/>
        <v>김도영</v>
      </c>
      <c r="J121" s="31" t="str">
        <f t="shared" si="139"/>
        <v>김도영</v>
      </c>
      <c r="K121" s="31" t="str">
        <f t="shared" si="139"/>
        <v>김도영</v>
      </c>
      <c r="L121" s="31" t="str">
        <f t="shared" si="139"/>
        <v>김도영</v>
      </c>
      <c r="M121" s="31" t="str">
        <f t="shared" si="139"/>
        <v>김도영</v>
      </c>
      <c r="N121" s="1"/>
      <c r="O121" s="1"/>
      <c r="P121" s="1"/>
      <c r="Q121" s="1"/>
      <c r="R121" s="1"/>
      <c r="S121" s="1"/>
      <c r="T121" s="1"/>
      <c r="U121" s="1"/>
    </row>
    <row r="122" spans="1:21" ht="24.75" customHeight="1">
      <c r="A122" s="38" t="s">
        <v>28</v>
      </c>
      <c r="B122" s="38" t="s">
        <v>110</v>
      </c>
      <c r="C122" s="39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1"/>
      <c r="O122" s="1"/>
      <c r="P122" s="1"/>
      <c r="Q122" s="1"/>
      <c r="R122" s="1"/>
      <c r="S122" s="1"/>
      <c r="T122" s="1"/>
      <c r="U122" s="1"/>
    </row>
    <row r="123" spans="1:21" ht="24.75" customHeight="1">
      <c r="A123" s="166" t="s">
        <v>111</v>
      </c>
      <c r="B123" s="166" t="s">
        <v>112</v>
      </c>
      <c r="C123" s="18" t="s">
        <v>15</v>
      </c>
      <c r="D123" s="19" t="s">
        <v>50</v>
      </c>
      <c r="E123" s="19" t="s">
        <v>50</v>
      </c>
      <c r="F123" s="19" t="s">
        <v>50</v>
      </c>
      <c r="G123" s="19" t="s">
        <v>50</v>
      </c>
      <c r="H123" s="19" t="s">
        <v>50</v>
      </c>
      <c r="I123" s="19" t="s">
        <v>50</v>
      </c>
      <c r="J123" s="19" t="s">
        <v>50</v>
      </c>
      <c r="K123" s="19" t="s">
        <v>50</v>
      </c>
      <c r="L123" s="19" t="s">
        <v>46</v>
      </c>
      <c r="M123" s="19" t="s">
        <v>46</v>
      </c>
      <c r="N123" s="1"/>
      <c r="O123" s="1"/>
      <c r="P123" s="1"/>
      <c r="Q123" s="1"/>
      <c r="R123" s="1"/>
      <c r="S123" s="1"/>
      <c r="T123" s="1"/>
      <c r="U123" s="1"/>
    </row>
    <row r="124" spans="1:21" ht="24.75" customHeight="1">
      <c r="A124" s="167"/>
      <c r="B124" s="167"/>
      <c r="C124" s="24" t="s">
        <v>16</v>
      </c>
      <c r="D124" s="25" t="str">
        <f t="shared" ref="D124:M124" si="140">VLOOKUP(D123,$O$5:$P$24,2,FALSE)</f>
        <v>음성 데이터 활용한 TTS와 STT 모델 개발</v>
      </c>
      <c r="E124" s="25" t="str">
        <f t="shared" si="140"/>
        <v>음성 데이터 활용한 TTS와 STT 모델 개발</v>
      </c>
      <c r="F124" s="25" t="str">
        <f t="shared" si="140"/>
        <v>음성 데이터 활용한 TTS와 STT 모델 개발</v>
      </c>
      <c r="G124" s="25" t="str">
        <f t="shared" si="140"/>
        <v>음성 데이터 활용한 TTS와 STT 모델 개발</v>
      </c>
      <c r="H124" s="25" t="str">
        <f t="shared" si="140"/>
        <v>음성 데이터 활용한 TTS와 STT 모델 개발</v>
      </c>
      <c r="I124" s="25" t="str">
        <f t="shared" si="140"/>
        <v>음성 데이터 활용한 TTS와 STT 모델 개발</v>
      </c>
      <c r="J124" s="25" t="str">
        <f t="shared" si="140"/>
        <v>음성 데이터 활용한 TTS와 STT 모델 개발</v>
      </c>
      <c r="K124" s="25" t="str">
        <f t="shared" si="140"/>
        <v>음성 데이터 활용한 TTS와 STT 모델 개발</v>
      </c>
      <c r="L124" s="25" t="str">
        <f t="shared" si="140"/>
        <v>나만의 음성 모델 만들기</v>
      </c>
      <c r="M124" s="25" t="str">
        <f t="shared" si="140"/>
        <v>나만의 음성 모델 만들기</v>
      </c>
      <c r="N124" s="1"/>
      <c r="O124" s="1"/>
      <c r="P124" s="1"/>
      <c r="Q124" s="1"/>
      <c r="R124" s="1"/>
      <c r="S124" s="1"/>
      <c r="T124" s="1"/>
      <c r="U124" s="1"/>
    </row>
    <row r="125" spans="1:21" ht="24.75" customHeight="1">
      <c r="A125" s="167"/>
      <c r="B125" s="167"/>
      <c r="C125" s="28" t="s">
        <v>17</v>
      </c>
      <c r="D125" s="29" t="s">
        <v>52</v>
      </c>
      <c r="E125" s="29" t="s">
        <v>52</v>
      </c>
      <c r="F125" s="29" t="s">
        <v>52</v>
      </c>
      <c r="G125" s="29" t="s">
        <v>52</v>
      </c>
      <c r="H125" s="29" t="s">
        <v>53</v>
      </c>
      <c r="I125" s="29" t="s">
        <v>53</v>
      </c>
      <c r="J125" s="29" t="s">
        <v>53</v>
      </c>
      <c r="K125" s="29" t="s">
        <v>53</v>
      </c>
      <c r="L125" s="29" t="s">
        <v>153</v>
      </c>
      <c r="M125" s="29" t="s">
        <v>153</v>
      </c>
      <c r="N125" s="1"/>
      <c r="O125" s="1"/>
      <c r="P125" s="1"/>
      <c r="Q125" s="1"/>
      <c r="R125" s="1"/>
      <c r="S125" s="1"/>
      <c r="T125" s="1"/>
      <c r="U125" s="1"/>
    </row>
    <row r="126" spans="1:21" ht="24.75" customHeight="1">
      <c r="A126" s="167"/>
      <c r="B126" s="167"/>
      <c r="C126" s="32" t="s">
        <v>105</v>
      </c>
      <c r="D126" s="31" t="str">
        <f t="shared" ref="D126:M126" si="141">VLOOKUP(D123,$O$5:$Q$24,3,0)</f>
        <v>김도영</v>
      </c>
      <c r="E126" s="31" t="str">
        <f t="shared" si="141"/>
        <v>김도영</v>
      </c>
      <c r="F126" s="31" t="str">
        <f t="shared" si="141"/>
        <v>김도영</v>
      </c>
      <c r="G126" s="31" t="str">
        <f t="shared" si="141"/>
        <v>김도영</v>
      </c>
      <c r="H126" s="31" t="str">
        <f t="shared" si="141"/>
        <v>김도영</v>
      </c>
      <c r="I126" s="31" t="str">
        <f t="shared" si="141"/>
        <v>김도영</v>
      </c>
      <c r="J126" s="31" t="str">
        <f t="shared" si="141"/>
        <v>김도영</v>
      </c>
      <c r="K126" s="31" t="str">
        <f t="shared" si="141"/>
        <v>김도영</v>
      </c>
      <c r="L126" s="31" t="str">
        <f t="shared" si="141"/>
        <v>김도영</v>
      </c>
      <c r="M126" s="31" t="str">
        <f t="shared" si="141"/>
        <v>김도영</v>
      </c>
      <c r="N126" s="1"/>
      <c r="O126" s="1"/>
      <c r="P126" s="1"/>
      <c r="Q126" s="1"/>
      <c r="R126" s="1"/>
      <c r="S126" s="1"/>
      <c r="T126" s="1"/>
      <c r="U126" s="1"/>
    </row>
    <row r="127" spans="1:21" ht="24.75" customHeight="1">
      <c r="A127" s="166" t="s">
        <v>113</v>
      </c>
      <c r="B127" s="166" t="s">
        <v>114</v>
      </c>
      <c r="C127" s="18" t="s">
        <v>15</v>
      </c>
      <c r="D127" s="19" t="s">
        <v>50</v>
      </c>
      <c r="E127" s="19" t="s">
        <v>50</v>
      </c>
      <c r="F127" s="19" t="s">
        <v>50</v>
      </c>
      <c r="G127" s="19" t="s">
        <v>50</v>
      </c>
      <c r="H127" s="19" t="s">
        <v>50</v>
      </c>
      <c r="I127" s="19" t="s">
        <v>50</v>
      </c>
      <c r="J127" s="19" t="s">
        <v>50</v>
      </c>
      <c r="K127" s="19" t="s">
        <v>46</v>
      </c>
      <c r="L127" s="19" t="s">
        <v>46</v>
      </c>
      <c r="M127" s="19" t="s">
        <v>46</v>
      </c>
      <c r="N127" s="1"/>
      <c r="O127" s="1"/>
      <c r="P127" s="1"/>
      <c r="Q127" s="1"/>
      <c r="R127" s="1"/>
      <c r="S127" s="1"/>
      <c r="T127" s="1"/>
      <c r="U127" s="1"/>
    </row>
    <row r="128" spans="1:21" ht="24.75" customHeight="1">
      <c r="A128" s="167"/>
      <c r="B128" s="167"/>
      <c r="C128" s="24" t="s">
        <v>16</v>
      </c>
      <c r="D128" s="25" t="str">
        <f t="shared" ref="D128:M128" si="142">VLOOKUP(D127,$O$5:$P$24,2,FALSE)</f>
        <v>음성 데이터 활용한 TTS와 STT 모델 개발</v>
      </c>
      <c r="E128" s="25" t="str">
        <f t="shared" si="142"/>
        <v>음성 데이터 활용한 TTS와 STT 모델 개발</v>
      </c>
      <c r="F128" s="25" t="str">
        <f t="shared" si="142"/>
        <v>음성 데이터 활용한 TTS와 STT 모델 개발</v>
      </c>
      <c r="G128" s="25" t="str">
        <f t="shared" si="142"/>
        <v>음성 데이터 활용한 TTS와 STT 모델 개발</v>
      </c>
      <c r="H128" s="25" t="str">
        <f t="shared" si="142"/>
        <v>음성 데이터 활용한 TTS와 STT 모델 개발</v>
      </c>
      <c r="I128" s="25" t="str">
        <f t="shared" si="142"/>
        <v>음성 데이터 활용한 TTS와 STT 모델 개발</v>
      </c>
      <c r="J128" s="25" t="str">
        <f t="shared" si="142"/>
        <v>음성 데이터 활용한 TTS와 STT 모델 개발</v>
      </c>
      <c r="K128" s="25" t="str">
        <f t="shared" si="142"/>
        <v>나만의 음성 모델 만들기</v>
      </c>
      <c r="L128" s="25" t="str">
        <f t="shared" si="142"/>
        <v>나만의 음성 모델 만들기</v>
      </c>
      <c r="M128" s="25" t="str">
        <f t="shared" si="142"/>
        <v>나만의 음성 모델 만들기</v>
      </c>
      <c r="N128" s="1"/>
      <c r="O128" s="1"/>
      <c r="P128" s="1"/>
      <c r="Q128" s="1"/>
      <c r="R128" s="1"/>
      <c r="S128" s="1"/>
      <c r="T128" s="1"/>
      <c r="U128" s="1"/>
    </row>
    <row r="129" spans="1:21" ht="24.75" customHeight="1">
      <c r="A129" s="167"/>
      <c r="B129" s="167"/>
      <c r="C129" s="28" t="s">
        <v>17</v>
      </c>
      <c r="D129" s="29" t="s">
        <v>52</v>
      </c>
      <c r="E129" s="29" t="s">
        <v>52</v>
      </c>
      <c r="F129" s="29" t="s">
        <v>52</v>
      </c>
      <c r="G129" s="29" t="s">
        <v>53</v>
      </c>
      <c r="H129" s="29" t="s">
        <v>53</v>
      </c>
      <c r="I129" s="29" t="s">
        <v>53</v>
      </c>
      <c r="J129" s="29" t="s">
        <v>53</v>
      </c>
      <c r="K129" s="29" t="s">
        <v>153</v>
      </c>
      <c r="L129" s="29" t="s">
        <v>153</v>
      </c>
      <c r="M129" s="29" t="s">
        <v>153</v>
      </c>
      <c r="N129" s="1"/>
      <c r="O129" s="1"/>
      <c r="P129" s="1"/>
      <c r="Q129" s="1"/>
      <c r="R129" s="1"/>
      <c r="S129" s="1"/>
      <c r="T129" s="1"/>
      <c r="U129" s="1"/>
    </row>
    <row r="130" spans="1:21" ht="24.75" customHeight="1">
      <c r="A130" s="167"/>
      <c r="B130" s="167"/>
      <c r="C130" s="32" t="s">
        <v>105</v>
      </c>
      <c r="D130" s="31" t="str">
        <f t="shared" ref="D130:M130" si="143">VLOOKUP(D127,$O$5:$Q$24,3,0)</f>
        <v>김도영</v>
      </c>
      <c r="E130" s="31" t="str">
        <f t="shared" si="143"/>
        <v>김도영</v>
      </c>
      <c r="F130" s="31" t="str">
        <f t="shared" si="143"/>
        <v>김도영</v>
      </c>
      <c r="G130" s="31" t="str">
        <f t="shared" si="143"/>
        <v>김도영</v>
      </c>
      <c r="H130" s="31" t="str">
        <f t="shared" si="143"/>
        <v>김도영</v>
      </c>
      <c r="I130" s="31" t="str">
        <f t="shared" si="143"/>
        <v>김도영</v>
      </c>
      <c r="J130" s="31" t="str">
        <f t="shared" si="143"/>
        <v>김도영</v>
      </c>
      <c r="K130" s="31" t="str">
        <f t="shared" si="143"/>
        <v>김도영</v>
      </c>
      <c r="L130" s="31" t="str">
        <f t="shared" si="143"/>
        <v>김도영</v>
      </c>
      <c r="M130" s="31" t="str">
        <f t="shared" si="143"/>
        <v>김도영</v>
      </c>
      <c r="N130" s="1"/>
      <c r="O130" s="1"/>
      <c r="P130" s="1"/>
      <c r="Q130" s="1"/>
      <c r="R130" s="1"/>
      <c r="S130" s="1"/>
      <c r="T130" s="1"/>
      <c r="U130" s="1"/>
    </row>
    <row r="131" spans="1:21" ht="24.75" customHeight="1">
      <c r="A131" s="166" t="s">
        <v>115</v>
      </c>
      <c r="B131" s="166" t="s">
        <v>116</v>
      </c>
      <c r="C131" s="18" t="s">
        <v>15</v>
      </c>
      <c r="D131" s="19" t="s">
        <v>50</v>
      </c>
      <c r="E131" s="19" t="s">
        <v>50</v>
      </c>
      <c r="F131" s="19" t="s">
        <v>50</v>
      </c>
      <c r="G131" s="19" t="s">
        <v>50</v>
      </c>
      <c r="H131" s="19" t="s">
        <v>50</v>
      </c>
      <c r="I131" s="19" t="s">
        <v>50</v>
      </c>
      <c r="J131" s="19" t="s">
        <v>50</v>
      </c>
      <c r="K131" s="19" t="s">
        <v>46</v>
      </c>
      <c r="L131" s="19" t="s">
        <v>46</v>
      </c>
      <c r="M131" s="19" t="s">
        <v>46</v>
      </c>
      <c r="N131" s="1"/>
      <c r="O131" s="1"/>
      <c r="P131" s="1"/>
      <c r="Q131" s="1"/>
      <c r="R131" s="1"/>
      <c r="S131" s="1"/>
      <c r="T131" s="1"/>
      <c r="U131" s="1"/>
    </row>
    <row r="132" spans="1:21" ht="24.75" customHeight="1">
      <c r="A132" s="167"/>
      <c r="B132" s="167"/>
      <c r="C132" s="24" t="s">
        <v>16</v>
      </c>
      <c r="D132" s="25" t="str">
        <f t="shared" ref="D132:M132" si="144">VLOOKUP(D131,$O$5:$P$24,2,FALSE)</f>
        <v>음성 데이터 활용한 TTS와 STT 모델 개발</v>
      </c>
      <c r="E132" s="25" t="str">
        <f t="shared" si="144"/>
        <v>음성 데이터 활용한 TTS와 STT 모델 개발</v>
      </c>
      <c r="F132" s="25" t="str">
        <f t="shared" si="144"/>
        <v>음성 데이터 활용한 TTS와 STT 모델 개발</v>
      </c>
      <c r="G132" s="25" t="str">
        <f t="shared" si="144"/>
        <v>음성 데이터 활용한 TTS와 STT 모델 개발</v>
      </c>
      <c r="H132" s="25" t="str">
        <f t="shared" si="144"/>
        <v>음성 데이터 활용한 TTS와 STT 모델 개발</v>
      </c>
      <c r="I132" s="25" t="str">
        <f t="shared" si="144"/>
        <v>음성 데이터 활용한 TTS와 STT 모델 개발</v>
      </c>
      <c r="J132" s="25" t="str">
        <f t="shared" si="144"/>
        <v>음성 데이터 활용한 TTS와 STT 모델 개발</v>
      </c>
      <c r="K132" s="25" t="str">
        <f t="shared" si="144"/>
        <v>나만의 음성 모델 만들기</v>
      </c>
      <c r="L132" s="25" t="str">
        <f t="shared" si="144"/>
        <v>나만의 음성 모델 만들기</v>
      </c>
      <c r="M132" s="25" t="str">
        <f t="shared" si="144"/>
        <v>나만의 음성 모델 만들기</v>
      </c>
      <c r="N132" s="1"/>
      <c r="O132" s="1"/>
      <c r="P132" s="1"/>
      <c r="Q132" s="1"/>
      <c r="R132" s="1"/>
      <c r="S132" s="1"/>
      <c r="T132" s="1"/>
      <c r="U132" s="1"/>
    </row>
    <row r="133" spans="1:21" ht="24.75" customHeight="1">
      <c r="A133" s="167"/>
      <c r="B133" s="167"/>
      <c r="C133" s="28" t="s">
        <v>17</v>
      </c>
      <c r="D133" s="29" t="s">
        <v>52</v>
      </c>
      <c r="E133" s="29" t="s">
        <v>52</v>
      </c>
      <c r="F133" s="29" t="s">
        <v>52</v>
      </c>
      <c r="G133" s="29" t="s">
        <v>53</v>
      </c>
      <c r="H133" s="29" t="s">
        <v>53</v>
      </c>
      <c r="I133" s="29" t="s">
        <v>53</v>
      </c>
      <c r="J133" s="29" t="s">
        <v>53</v>
      </c>
      <c r="K133" s="29" t="s">
        <v>153</v>
      </c>
      <c r="L133" s="29" t="s">
        <v>153</v>
      </c>
      <c r="M133" s="29" t="s">
        <v>153</v>
      </c>
      <c r="N133" s="1"/>
      <c r="O133" s="1"/>
      <c r="P133" s="1"/>
      <c r="Q133" s="1"/>
      <c r="R133" s="1"/>
      <c r="S133" s="1"/>
      <c r="T133" s="1"/>
      <c r="U133" s="1"/>
    </row>
    <row r="134" spans="1:21" ht="24.75" customHeight="1">
      <c r="A134" s="167"/>
      <c r="B134" s="167"/>
      <c r="C134" s="32" t="s">
        <v>105</v>
      </c>
      <c r="D134" s="31" t="str">
        <f t="shared" ref="D134:M134" si="145">VLOOKUP(D131,$O$5:$Q$24,3,0)</f>
        <v>김도영</v>
      </c>
      <c r="E134" s="31" t="str">
        <f t="shared" si="145"/>
        <v>김도영</v>
      </c>
      <c r="F134" s="31" t="str">
        <f t="shared" si="145"/>
        <v>김도영</v>
      </c>
      <c r="G134" s="31" t="str">
        <f t="shared" si="145"/>
        <v>김도영</v>
      </c>
      <c r="H134" s="31" t="str">
        <f t="shared" si="145"/>
        <v>김도영</v>
      </c>
      <c r="I134" s="31" t="str">
        <f t="shared" si="145"/>
        <v>김도영</v>
      </c>
      <c r="J134" s="31" t="str">
        <f t="shared" si="145"/>
        <v>김도영</v>
      </c>
      <c r="K134" s="31" t="str">
        <f t="shared" si="145"/>
        <v>김도영</v>
      </c>
      <c r="L134" s="31" t="str">
        <f t="shared" si="145"/>
        <v>김도영</v>
      </c>
      <c r="M134" s="31" t="str">
        <f t="shared" si="145"/>
        <v>김도영</v>
      </c>
      <c r="N134" s="1"/>
      <c r="O134" s="1"/>
      <c r="P134" s="1"/>
      <c r="Q134" s="1"/>
      <c r="R134" s="1"/>
      <c r="S134" s="1"/>
      <c r="T134" s="1"/>
      <c r="U134" s="1"/>
    </row>
    <row r="135" spans="1:21" ht="24.75" customHeight="1">
      <c r="A135" s="166" t="s">
        <v>117</v>
      </c>
      <c r="B135" s="166" t="s">
        <v>118</v>
      </c>
      <c r="C135" s="18" t="s">
        <v>15</v>
      </c>
      <c r="D135" s="19" t="s">
        <v>50</v>
      </c>
      <c r="E135" s="19" t="s">
        <v>50</v>
      </c>
      <c r="F135" s="19" t="s">
        <v>50</v>
      </c>
      <c r="G135" s="19" t="s">
        <v>50</v>
      </c>
      <c r="H135" s="19" t="s">
        <v>50</v>
      </c>
      <c r="I135" s="19" t="s">
        <v>50</v>
      </c>
      <c r="J135" s="19" t="s">
        <v>50</v>
      </c>
      <c r="K135" s="19" t="s">
        <v>46</v>
      </c>
      <c r="L135" s="19" t="s">
        <v>46</v>
      </c>
      <c r="M135" s="19" t="s">
        <v>46</v>
      </c>
      <c r="N135" s="1"/>
      <c r="O135" s="1"/>
      <c r="P135" s="1"/>
      <c r="Q135" s="1"/>
      <c r="R135" s="1"/>
      <c r="S135" s="1"/>
      <c r="T135" s="1"/>
      <c r="U135" s="1"/>
    </row>
    <row r="136" spans="1:21" ht="24.75" customHeight="1">
      <c r="A136" s="167"/>
      <c r="B136" s="167"/>
      <c r="C136" s="24" t="s">
        <v>16</v>
      </c>
      <c r="D136" s="25" t="str">
        <f t="shared" ref="D136:M136" si="146">VLOOKUP(D135,$O$5:$P$24,2,FALSE)</f>
        <v>음성 데이터 활용한 TTS와 STT 모델 개발</v>
      </c>
      <c r="E136" s="25" t="str">
        <f t="shared" si="146"/>
        <v>음성 데이터 활용한 TTS와 STT 모델 개발</v>
      </c>
      <c r="F136" s="25" t="str">
        <f t="shared" si="146"/>
        <v>음성 데이터 활용한 TTS와 STT 모델 개발</v>
      </c>
      <c r="G136" s="25" t="str">
        <f t="shared" si="146"/>
        <v>음성 데이터 활용한 TTS와 STT 모델 개발</v>
      </c>
      <c r="H136" s="25" t="str">
        <f t="shared" si="146"/>
        <v>음성 데이터 활용한 TTS와 STT 모델 개발</v>
      </c>
      <c r="I136" s="25" t="str">
        <f t="shared" si="146"/>
        <v>음성 데이터 활용한 TTS와 STT 모델 개발</v>
      </c>
      <c r="J136" s="25" t="str">
        <f t="shared" si="146"/>
        <v>음성 데이터 활용한 TTS와 STT 모델 개발</v>
      </c>
      <c r="K136" s="25" t="str">
        <f t="shared" si="146"/>
        <v>나만의 음성 모델 만들기</v>
      </c>
      <c r="L136" s="25" t="str">
        <f t="shared" si="146"/>
        <v>나만의 음성 모델 만들기</v>
      </c>
      <c r="M136" s="25" t="str">
        <f t="shared" si="146"/>
        <v>나만의 음성 모델 만들기</v>
      </c>
      <c r="N136" s="1"/>
      <c r="O136" s="1"/>
      <c r="P136" s="1"/>
      <c r="Q136" s="1"/>
      <c r="R136" s="1"/>
      <c r="S136" s="1"/>
      <c r="T136" s="1"/>
      <c r="U136" s="1"/>
    </row>
    <row r="137" spans="1:21" ht="24.75" customHeight="1">
      <c r="A137" s="167"/>
      <c r="B137" s="167"/>
      <c r="C137" s="28" t="s">
        <v>17</v>
      </c>
      <c r="D137" s="29" t="s">
        <v>52</v>
      </c>
      <c r="E137" s="29" t="s">
        <v>52</v>
      </c>
      <c r="F137" s="29" t="s">
        <v>52</v>
      </c>
      <c r="G137" s="29" t="s">
        <v>53</v>
      </c>
      <c r="H137" s="29" t="s">
        <v>53</v>
      </c>
      <c r="I137" s="29" t="s">
        <v>53</v>
      </c>
      <c r="J137" s="29" t="s">
        <v>53</v>
      </c>
      <c r="K137" s="29" t="s">
        <v>153</v>
      </c>
      <c r="L137" s="29" t="s">
        <v>153</v>
      </c>
      <c r="M137" s="29" t="s">
        <v>153</v>
      </c>
      <c r="N137" s="1"/>
      <c r="O137" s="1"/>
      <c r="P137" s="1"/>
      <c r="Q137" s="1"/>
      <c r="R137" s="1"/>
      <c r="S137" s="1"/>
      <c r="T137" s="1"/>
      <c r="U137" s="1"/>
    </row>
    <row r="138" spans="1:21" ht="24.75" customHeight="1">
      <c r="A138" s="167"/>
      <c r="B138" s="167"/>
      <c r="C138" s="32" t="s">
        <v>105</v>
      </c>
      <c r="D138" s="31" t="str">
        <f t="shared" ref="D138:M138" si="147">VLOOKUP(D135,$O$5:$Q$24,3,0)</f>
        <v>김도영</v>
      </c>
      <c r="E138" s="31" t="str">
        <f t="shared" si="147"/>
        <v>김도영</v>
      </c>
      <c r="F138" s="31" t="str">
        <f t="shared" si="147"/>
        <v>김도영</v>
      </c>
      <c r="G138" s="31" t="str">
        <f t="shared" si="147"/>
        <v>김도영</v>
      </c>
      <c r="H138" s="31" t="str">
        <f t="shared" si="147"/>
        <v>김도영</v>
      </c>
      <c r="I138" s="31" t="str">
        <f t="shared" si="147"/>
        <v>김도영</v>
      </c>
      <c r="J138" s="31" t="str">
        <f t="shared" si="147"/>
        <v>김도영</v>
      </c>
      <c r="K138" s="31" t="str">
        <f t="shared" si="147"/>
        <v>김도영</v>
      </c>
      <c r="L138" s="31" t="str">
        <f t="shared" si="147"/>
        <v>김도영</v>
      </c>
      <c r="M138" s="31" t="str">
        <f t="shared" si="147"/>
        <v>김도영</v>
      </c>
      <c r="N138" s="1"/>
      <c r="O138" s="1"/>
      <c r="P138" s="1"/>
      <c r="Q138" s="1"/>
      <c r="R138" s="1"/>
      <c r="S138" s="1"/>
      <c r="T138" s="1"/>
      <c r="U138" s="1"/>
    </row>
    <row r="139" spans="1:21" ht="24.75" customHeight="1">
      <c r="A139" s="166" t="s">
        <v>119</v>
      </c>
      <c r="B139" s="166" t="s">
        <v>120</v>
      </c>
      <c r="C139" s="18" t="s">
        <v>15</v>
      </c>
      <c r="D139" s="19" t="s">
        <v>50</v>
      </c>
      <c r="E139" s="19" t="s">
        <v>50</v>
      </c>
      <c r="F139" s="19" t="s">
        <v>50</v>
      </c>
      <c r="G139" s="19" t="s">
        <v>50</v>
      </c>
      <c r="H139" s="19" t="s">
        <v>50</v>
      </c>
      <c r="I139" s="19" t="s">
        <v>50</v>
      </c>
      <c r="J139" s="19" t="s">
        <v>50</v>
      </c>
      <c r="K139" s="19" t="s">
        <v>46</v>
      </c>
      <c r="L139" s="19" t="s">
        <v>46</v>
      </c>
      <c r="M139" s="19" t="s">
        <v>46</v>
      </c>
      <c r="N139" s="1"/>
      <c r="O139" s="1"/>
      <c r="P139" s="1"/>
      <c r="Q139" s="1"/>
      <c r="R139" s="1"/>
      <c r="S139" s="1"/>
      <c r="T139" s="1"/>
      <c r="U139" s="1"/>
    </row>
    <row r="140" spans="1:21" ht="24.75" customHeight="1">
      <c r="A140" s="167"/>
      <c r="B140" s="167"/>
      <c r="C140" s="24" t="s">
        <v>16</v>
      </c>
      <c r="D140" s="25" t="str">
        <f t="shared" ref="D140:M140" si="148">VLOOKUP(D139,$O$5:$P$24,2,FALSE)</f>
        <v>음성 데이터 활용한 TTS와 STT 모델 개발</v>
      </c>
      <c r="E140" s="25" t="str">
        <f t="shared" si="148"/>
        <v>음성 데이터 활용한 TTS와 STT 모델 개발</v>
      </c>
      <c r="F140" s="25" t="str">
        <f t="shared" si="148"/>
        <v>음성 데이터 활용한 TTS와 STT 모델 개발</v>
      </c>
      <c r="G140" s="25" t="str">
        <f t="shared" si="148"/>
        <v>음성 데이터 활용한 TTS와 STT 모델 개발</v>
      </c>
      <c r="H140" s="25" t="str">
        <f t="shared" si="148"/>
        <v>음성 데이터 활용한 TTS와 STT 모델 개발</v>
      </c>
      <c r="I140" s="25" t="str">
        <f t="shared" si="148"/>
        <v>음성 데이터 활용한 TTS와 STT 모델 개발</v>
      </c>
      <c r="J140" s="25" t="str">
        <f t="shared" si="148"/>
        <v>음성 데이터 활용한 TTS와 STT 모델 개발</v>
      </c>
      <c r="K140" s="25" t="str">
        <f t="shared" si="148"/>
        <v>나만의 음성 모델 만들기</v>
      </c>
      <c r="L140" s="25" t="str">
        <f t="shared" si="148"/>
        <v>나만의 음성 모델 만들기</v>
      </c>
      <c r="M140" s="25" t="str">
        <f t="shared" si="148"/>
        <v>나만의 음성 모델 만들기</v>
      </c>
      <c r="N140" s="1"/>
      <c r="O140" s="1"/>
      <c r="P140" s="1"/>
      <c r="Q140" s="1"/>
      <c r="R140" s="1"/>
      <c r="S140" s="1"/>
      <c r="T140" s="1"/>
      <c r="U140" s="1"/>
    </row>
    <row r="141" spans="1:21" ht="24.75" customHeight="1">
      <c r="A141" s="167"/>
      <c r="B141" s="167"/>
      <c r="C141" s="28" t="s">
        <v>17</v>
      </c>
      <c r="D141" s="29" t="s">
        <v>52</v>
      </c>
      <c r="E141" s="29" t="s">
        <v>52</v>
      </c>
      <c r="F141" s="29" t="s">
        <v>52</v>
      </c>
      <c r="G141" s="29" t="s">
        <v>53</v>
      </c>
      <c r="H141" s="29" t="s">
        <v>53</v>
      </c>
      <c r="I141" s="29" t="s">
        <v>53</v>
      </c>
      <c r="J141" s="29" t="s">
        <v>53</v>
      </c>
      <c r="K141" s="29" t="s">
        <v>153</v>
      </c>
      <c r="L141" s="29" t="s">
        <v>153</v>
      </c>
      <c r="M141" s="29" t="s">
        <v>153</v>
      </c>
      <c r="N141" s="1"/>
      <c r="O141" s="1"/>
      <c r="P141" s="1"/>
      <c r="Q141" s="1"/>
      <c r="R141" s="1"/>
      <c r="S141" s="1"/>
      <c r="T141" s="1"/>
      <c r="U141" s="1"/>
    </row>
    <row r="142" spans="1:21" ht="24.75" customHeight="1">
      <c r="A142" s="159"/>
      <c r="B142" s="159"/>
      <c r="C142" s="32" t="s">
        <v>105</v>
      </c>
      <c r="D142" s="31" t="str">
        <f t="shared" ref="D142:M142" si="149">VLOOKUP(D139,$O$5:$Q$24,3,0)</f>
        <v>김도영</v>
      </c>
      <c r="E142" s="31" t="str">
        <f t="shared" si="149"/>
        <v>김도영</v>
      </c>
      <c r="F142" s="31" t="str">
        <f t="shared" si="149"/>
        <v>김도영</v>
      </c>
      <c r="G142" s="31" t="str">
        <f t="shared" si="149"/>
        <v>김도영</v>
      </c>
      <c r="H142" s="31" t="str">
        <f t="shared" si="149"/>
        <v>김도영</v>
      </c>
      <c r="I142" s="31" t="str">
        <f t="shared" si="149"/>
        <v>김도영</v>
      </c>
      <c r="J142" s="31" t="str">
        <f t="shared" si="149"/>
        <v>김도영</v>
      </c>
      <c r="K142" s="31" t="str">
        <f t="shared" si="149"/>
        <v>김도영</v>
      </c>
      <c r="L142" s="31" t="str">
        <f t="shared" si="149"/>
        <v>김도영</v>
      </c>
      <c r="M142" s="31" t="str">
        <f t="shared" si="149"/>
        <v>김도영</v>
      </c>
      <c r="N142" s="1"/>
      <c r="O142" s="1"/>
      <c r="P142" s="1"/>
      <c r="Q142" s="1"/>
      <c r="R142" s="1"/>
      <c r="S142" s="1"/>
      <c r="T142" s="1"/>
      <c r="U142" s="1"/>
    </row>
    <row r="143" spans="1:21" ht="24.75" customHeight="1">
      <c r="A143" s="164" t="s">
        <v>94</v>
      </c>
      <c r="B143" s="164" t="s">
        <v>95</v>
      </c>
      <c r="C143" s="164" t="s">
        <v>96</v>
      </c>
      <c r="D143" s="165">
        <f>I108+1</f>
        <v>9</v>
      </c>
      <c r="E143" s="156"/>
      <c r="F143" s="156"/>
      <c r="G143" s="156"/>
      <c r="H143" s="154"/>
      <c r="I143" s="165">
        <f>D143+1</f>
        <v>10</v>
      </c>
      <c r="J143" s="156"/>
      <c r="K143" s="156"/>
      <c r="L143" s="156"/>
      <c r="M143" s="154"/>
      <c r="N143" s="1"/>
      <c r="O143" s="1"/>
      <c r="P143" s="1"/>
      <c r="Q143" s="1"/>
      <c r="R143" s="1"/>
      <c r="S143" s="1"/>
      <c r="T143" s="1"/>
      <c r="U143" s="1"/>
    </row>
    <row r="144" spans="1:21" ht="24.75" customHeight="1">
      <c r="A144" s="159"/>
      <c r="B144" s="159"/>
      <c r="C144" s="159"/>
      <c r="D144" s="14">
        <f>M109+3</f>
        <v>46167</v>
      </c>
      <c r="E144" s="14">
        <f t="shared" ref="E144:H144" si="150">D144+1</f>
        <v>46168</v>
      </c>
      <c r="F144" s="14">
        <f t="shared" si="150"/>
        <v>46169</v>
      </c>
      <c r="G144" s="14">
        <f t="shared" si="150"/>
        <v>46170</v>
      </c>
      <c r="H144" s="14">
        <f t="shared" si="150"/>
        <v>46171</v>
      </c>
      <c r="I144" s="14">
        <f>H144+3</f>
        <v>46174</v>
      </c>
      <c r="J144" s="14">
        <f t="shared" ref="J144:M144" si="151">I144+1</f>
        <v>46175</v>
      </c>
      <c r="K144" s="14">
        <f t="shared" si="151"/>
        <v>46176</v>
      </c>
      <c r="L144" s="14">
        <f t="shared" si="151"/>
        <v>46177</v>
      </c>
      <c r="M144" s="14">
        <f t="shared" si="151"/>
        <v>46178</v>
      </c>
      <c r="N144" s="1"/>
      <c r="O144" s="1"/>
      <c r="P144" s="1"/>
      <c r="Q144" s="1"/>
      <c r="R144" s="1"/>
      <c r="S144" s="1"/>
      <c r="T144" s="1"/>
      <c r="U144" s="1"/>
    </row>
    <row r="145" spans="1:21" ht="24.75" customHeight="1">
      <c r="A145" s="166" t="s">
        <v>103</v>
      </c>
      <c r="B145" s="166" t="s">
        <v>104</v>
      </c>
      <c r="C145" s="18" t="s">
        <v>15</v>
      </c>
      <c r="D145" s="19" t="s">
        <v>46</v>
      </c>
      <c r="E145" s="19" t="s">
        <v>46</v>
      </c>
      <c r="F145" s="19" t="s">
        <v>46</v>
      </c>
      <c r="G145" s="19" t="s">
        <v>46</v>
      </c>
      <c r="H145" s="19"/>
      <c r="I145" s="19"/>
      <c r="J145" s="19"/>
      <c r="K145" s="19" t="s">
        <v>46</v>
      </c>
      <c r="L145" s="19" t="s">
        <v>46</v>
      </c>
      <c r="M145" s="19" t="s">
        <v>46</v>
      </c>
      <c r="N145" s="1"/>
      <c r="O145" s="1"/>
      <c r="P145" s="1"/>
      <c r="Q145" s="1"/>
      <c r="R145" s="1"/>
      <c r="S145" s="1"/>
      <c r="T145" s="1"/>
      <c r="U145" s="1"/>
    </row>
    <row r="146" spans="1:21" ht="24.75" customHeight="1">
      <c r="A146" s="167"/>
      <c r="B146" s="167"/>
      <c r="C146" s="24" t="s">
        <v>16</v>
      </c>
      <c r="D146" s="25" t="str">
        <f t="shared" ref="D146:M146" si="152">VLOOKUP(D145,$O$5:$P$24,2,FALSE)</f>
        <v>나만의 음성 모델 만들기</v>
      </c>
      <c r="E146" s="25" t="str">
        <f t="shared" si="152"/>
        <v>나만의 음성 모델 만들기</v>
      </c>
      <c r="F146" s="25" t="str">
        <f t="shared" si="152"/>
        <v>나만의 음성 모델 만들기</v>
      </c>
      <c r="G146" s="25" t="str">
        <f t="shared" si="152"/>
        <v>나만의 음성 모델 만들기</v>
      </c>
      <c r="H146" s="25" t="e">
        <f t="shared" si="152"/>
        <v>#N/A</v>
      </c>
      <c r="I146" s="25" t="e">
        <f t="shared" si="152"/>
        <v>#N/A</v>
      </c>
      <c r="J146" s="25" t="e">
        <f t="shared" si="152"/>
        <v>#N/A</v>
      </c>
      <c r="K146" s="25" t="str">
        <f t="shared" si="152"/>
        <v>나만의 음성 모델 만들기</v>
      </c>
      <c r="L146" s="25" t="str">
        <f t="shared" si="152"/>
        <v>나만의 음성 모델 만들기</v>
      </c>
      <c r="M146" s="25" t="str">
        <f t="shared" si="152"/>
        <v>나만의 음성 모델 만들기</v>
      </c>
      <c r="N146" s="1"/>
      <c r="O146" s="1"/>
      <c r="P146" s="1"/>
      <c r="Q146" s="1"/>
      <c r="R146" s="1"/>
      <c r="S146" s="1"/>
      <c r="T146" s="1"/>
      <c r="U146" s="1"/>
    </row>
    <row r="147" spans="1:21" ht="24.75" customHeight="1">
      <c r="A147" s="167"/>
      <c r="B147" s="167"/>
      <c r="C147" s="28" t="s">
        <v>17</v>
      </c>
      <c r="D147" s="29" t="s">
        <v>153</v>
      </c>
      <c r="E147" s="29" t="s">
        <v>153</v>
      </c>
      <c r="F147" s="29" t="s">
        <v>153</v>
      </c>
      <c r="G147" s="29" t="s">
        <v>154</v>
      </c>
      <c r="H147" s="29"/>
      <c r="I147" s="29"/>
      <c r="J147" s="29"/>
      <c r="K147" s="29" t="s">
        <v>154</v>
      </c>
      <c r="L147" s="29" t="s">
        <v>154</v>
      </c>
      <c r="M147" s="29" t="s">
        <v>154</v>
      </c>
      <c r="N147" s="1"/>
      <c r="O147" s="1"/>
      <c r="P147" s="1"/>
      <c r="Q147" s="1"/>
      <c r="R147" s="1"/>
      <c r="S147" s="1"/>
      <c r="T147" s="1"/>
      <c r="U147" s="1"/>
    </row>
    <row r="148" spans="1:21" ht="24.75" customHeight="1">
      <c r="A148" s="167"/>
      <c r="B148" s="167"/>
      <c r="C148" s="30" t="s">
        <v>105</v>
      </c>
      <c r="D148" s="31" t="str">
        <f t="shared" ref="D148:M148" si="153">VLOOKUP(D145,$O$5:$Q$24,3,0)</f>
        <v>김도영</v>
      </c>
      <c r="E148" s="31" t="str">
        <f t="shared" si="153"/>
        <v>김도영</v>
      </c>
      <c r="F148" s="31" t="str">
        <f t="shared" si="153"/>
        <v>김도영</v>
      </c>
      <c r="G148" s="31" t="str">
        <f t="shared" si="153"/>
        <v>김도영</v>
      </c>
      <c r="H148" s="31" t="e">
        <f t="shared" si="153"/>
        <v>#N/A</v>
      </c>
      <c r="I148" s="31" t="e">
        <f t="shared" si="153"/>
        <v>#N/A</v>
      </c>
      <c r="J148" s="31" t="e">
        <f t="shared" si="153"/>
        <v>#N/A</v>
      </c>
      <c r="K148" s="31" t="str">
        <f t="shared" si="153"/>
        <v>김도영</v>
      </c>
      <c r="L148" s="31" t="str">
        <f t="shared" si="153"/>
        <v>김도영</v>
      </c>
      <c r="M148" s="31" t="str">
        <f t="shared" si="153"/>
        <v>김도영</v>
      </c>
      <c r="N148" s="1"/>
      <c r="O148" s="1"/>
      <c r="P148" s="1"/>
      <c r="Q148" s="1"/>
      <c r="R148" s="1"/>
      <c r="S148" s="1"/>
      <c r="T148" s="1"/>
      <c r="U148" s="1"/>
    </row>
    <row r="149" spans="1:21" ht="24.75" customHeight="1">
      <c r="A149" s="166" t="s">
        <v>106</v>
      </c>
      <c r="B149" s="166" t="s">
        <v>107</v>
      </c>
      <c r="C149" s="18" t="s">
        <v>15</v>
      </c>
      <c r="D149" s="19" t="s">
        <v>46</v>
      </c>
      <c r="E149" s="19" t="s">
        <v>46</v>
      </c>
      <c r="F149" s="19" t="s">
        <v>46</v>
      </c>
      <c r="G149" s="19" t="s">
        <v>46</v>
      </c>
      <c r="H149" s="19"/>
      <c r="I149" s="19"/>
      <c r="J149" s="19"/>
      <c r="K149" s="19" t="s">
        <v>46</v>
      </c>
      <c r="L149" s="19" t="s">
        <v>46</v>
      </c>
      <c r="M149" s="19" t="s">
        <v>46</v>
      </c>
      <c r="N149" s="1"/>
      <c r="O149" s="1"/>
      <c r="P149" s="1"/>
      <c r="Q149" s="1"/>
      <c r="R149" s="1"/>
      <c r="S149" s="1"/>
      <c r="T149" s="1"/>
      <c r="U149" s="1"/>
    </row>
    <row r="150" spans="1:21" ht="24.75" customHeight="1">
      <c r="A150" s="167"/>
      <c r="B150" s="167"/>
      <c r="C150" s="24" t="s">
        <v>16</v>
      </c>
      <c r="D150" s="25" t="str">
        <f t="shared" ref="D150:M150" si="154">VLOOKUP(D149,$O$5:$P$24,2,FALSE)</f>
        <v>나만의 음성 모델 만들기</v>
      </c>
      <c r="E150" s="25" t="str">
        <f t="shared" si="154"/>
        <v>나만의 음성 모델 만들기</v>
      </c>
      <c r="F150" s="25" t="str">
        <f t="shared" si="154"/>
        <v>나만의 음성 모델 만들기</v>
      </c>
      <c r="G150" s="25" t="str">
        <f t="shared" si="154"/>
        <v>나만의 음성 모델 만들기</v>
      </c>
      <c r="H150" s="25" t="e">
        <f t="shared" si="154"/>
        <v>#N/A</v>
      </c>
      <c r="I150" s="25" t="e">
        <f t="shared" si="154"/>
        <v>#N/A</v>
      </c>
      <c r="J150" s="25" t="e">
        <f t="shared" si="154"/>
        <v>#N/A</v>
      </c>
      <c r="K150" s="25" t="str">
        <f t="shared" si="154"/>
        <v>나만의 음성 모델 만들기</v>
      </c>
      <c r="L150" s="25" t="str">
        <f t="shared" si="154"/>
        <v>나만의 음성 모델 만들기</v>
      </c>
      <c r="M150" s="25" t="str">
        <f t="shared" si="154"/>
        <v>나만의 음성 모델 만들기</v>
      </c>
      <c r="N150" s="1"/>
      <c r="O150" s="1"/>
      <c r="P150" s="1"/>
      <c r="Q150" s="1"/>
      <c r="R150" s="1"/>
      <c r="S150" s="1"/>
      <c r="T150" s="1"/>
      <c r="U150" s="1"/>
    </row>
    <row r="151" spans="1:21" ht="24.75" customHeight="1">
      <c r="A151" s="167"/>
      <c r="B151" s="167"/>
      <c r="C151" s="28" t="s">
        <v>17</v>
      </c>
      <c r="D151" s="29" t="s">
        <v>153</v>
      </c>
      <c r="E151" s="29" t="s">
        <v>153</v>
      </c>
      <c r="F151" s="29" t="s">
        <v>153</v>
      </c>
      <c r="G151" s="29" t="s">
        <v>154</v>
      </c>
      <c r="H151" s="29"/>
      <c r="I151" s="29"/>
      <c r="J151" s="29"/>
      <c r="K151" s="29" t="s">
        <v>154</v>
      </c>
      <c r="L151" s="29" t="s">
        <v>154</v>
      </c>
      <c r="M151" s="29" t="s">
        <v>154</v>
      </c>
      <c r="N151" s="1"/>
      <c r="O151" s="1"/>
      <c r="P151" s="1"/>
      <c r="Q151" s="1"/>
      <c r="R151" s="1"/>
      <c r="S151" s="1"/>
      <c r="T151" s="1"/>
      <c r="U151" s="1"/>
    </row>
    <row r="152" spans="1:21" ht="24.75" customHeight="1">
      <c r="A152" s="167"/>
      <c r="B152" s="167"/>
      <c r="C152" s="32" t="s">
        <v>105</v>
      </c>
      <c r="D152" s="31" t="str">
        <f t="shared" ref="D152:M152" si="155">VLOOKUP(D149,$O$5:$Q$24,3,0)</f>
        <v>김도영</v>
      </c>
      <c r="E152" s="31" t="str">
        <f t="shared" si="155"/>
        <v>김도영</v>
      </c>
      <c r="F152" s="31" t="str">
        <f t="shared" si="155"/>
        <v>김도영</v>
      </c>
      <c r="G152" s="31" t="str">
        <f t="shared" si="155"/>
        <v>김도영</v>
      </c>
      <c r="H152" s="31" t="e">
        <f t="shared" si="155"/>
        <v>#N/A</v>
      </c>
      <c r="I152" s="31" t="e">
        <f t="shared" si="155"/>
        <v>#N/A</v>
      </c>
      <c r="J152" s="31" t="e">
        <f t="shared" si="155"/>
        <v>#N/A</v>
      </c>
      <c r="K152" s="31" t="str">
        <f t="shared" si="155"/>
        <v>김도영</v>
      </c>
      <c r="L152" s="31" t="str">
        <f t="shared" si="155"/>
        <v>김도영</v>
      </c>
      <c r="M152" s="31" t="str">
        <f t="shared" si="155"/>
        <v>김도영</v>
      </c>
      <c r="N152" s="1"/>
      <c r="O152" s="1"/>
      <c r="P152" s="1"/>
      <c r="Q152" s="1"/>
      <c r="R152" s="1"/>
      <c r="S152" s="1"/>
      <c r="T152" s="1"/>
      <c r="U152" s="1"/>
    </row>
    <row r="153" spans="1:21" ht="24.75" customHeight="1">
      <c r="A153" s="166" t="s">
        <v>108</v>
      </c>
      <c r="B153" s="166" t="s">
        <v>109</v>
      </c>
      <c r="C153" s="18" t="s">
        <v>15</v>
      </c>
      <c r="D153" s="19" t="s">
        <v>46</v>
      </c>
      <c r="E153" s="19" t="s">
        <v>46</v>
      </c>
      <c r="F153" s="19" t="s">
        <v>46</v>
      </c>
      <c r="G153" s="19" t="s">
        <v>46</v>
      </c>
      <c r="H153" s="19"/>
      <c r="I153" s="19"/>
      <c r="J153" s="19"/>
      <c r="K153" s="19" t="s">
        <v>46</v>
      </c>
      <c r="L153" s="19" t="s">
        <v>46</v>
      </c>
      <c r="M153" s="19" t="s">
        <v>46</v>
      </c>
      <c r="N153" s="1"/>
      <c r="O153" s="1"/>
      <c r="P153" s="1"/>
      <c r="Q153" s="1"/>
      <c r="R153" s="1"/>
      <c r="S153" s="1"/>
      <c r="T153" s="1"/>
      <c r="U153" s="1"/>
    </row>
    <row r="154" spans="1:21" ht="24.75" customHeight="1">
      <c r="A154" s="167"/>
      <c r="B154" s="167"/>
      <c r="C154" s="24" t="s">
        <v>16</v>
      </c>
      <c r="D154" s="25" t="str">
        <f t="shared" ref="D154:M154" si="156">VLOOKUP(D153,$O$5:$P$24,2,FALSE)</f>
        <v>나만의 음성 모델 만들기</v>
      </c>
      <c r="E154" s="25" t="str">
        <f t="shared" si="156"/>
        <v>나만의 음성 모델 만들기</v>
      </c>
      <c r="F154" s="25" t="str">
        <f t="shared" si="156"/>
        <v>나만의 음성 모델 만들기</v>
      </c>
      <c r="G154" s="25" t="str">
        <f t="shared" si="156"/>
        <v>나만의 음성 모델 만들기</v>
      </c>
      <c r="H154" s="25" t="e">
        <f t="shared" si="156"/>
        <v>#N/A</v>
      </c>
      <c r="I154" s="25" t="e">
        <f t="shared" si="156"/>
        <v>#N/A</v>
      </c>
      <c r="J154" s="25" t="e">
        <f t="shared" si="156"/>
        <v>#N/A</v>
      </c>
      <c r="K154" s="25" t="str">
        <f t="shared" si="156"/>
        <v>나만의 음성 모델 만들기</v>
      </c>
      <c r="L154" s="25" t="str">
        <f t="shared" si="156"/>
        <v>나만의 음성 모델 만들기</v>
      </c>
      <c r="M154" s="25" t="str">
        <f t="shared" si="156"/>
        <v>나만의 음성 모델 만들기</v>
      </c>
      <c r="N154" s="1"/>
      <c r="O154" s="1"/>
      <c r="P154" s="1"/>
      <c r="Q154" s="1"/>
      <c r="R154" s="1"/>
      <c r="S154" s="1"/>
      <c r="T154" s="1"/>
      <c r="U154" s="1"/>
    </row>
    <row r="155" spans="1:21" ht="24.75" customHeight="1">
      <c r="A155" s="167"/>
      <c r="B155" s="167"/>
      <c r="C155" s="28" t="s">
        <v>17</v>
      </c>
      <c r="D155" s="29" t="s">
        <v>153</v>
      </c>
      <c r="E155" s="29" t="s">
        <v>153</v>
      </c>
      <c r="F155" s="29" t="s">
        <v>153</v>
      </c>
      <c r="G155" s="29" t="s">
        <v>154</v>
      </c>
      <c r="H155" s="29"/>
      <c r="I155" s="29"/>
      <c r="J155" s="29"/>
      <c r="K155" s="29" t="s">
        <v>154</v>
      </c>
      <c r="L155" s="29" t="s">
        <v>154</v>
      </c>
      <c r="M155" s="29" t="s">
        <v>154</v>
      </c>
      <c r="N155" s="1"/>
      <c r="O155" s="1"/>
      <c r="P155" s="1"/>
      <c r="Q155" s="1"/>
      <c r="R155" s="1"/>
      <c r="S155" s="1"/>
      <c r="T155" s="1"/>
      <c r="U155" s="1"/>
    </row>
    <row r="156" spans="1:21" ht="24.75" customHeight="1">
      <c r="A156" s="167"/>
      <c r="B156" s="167"/>
      <c r="C156" s="32" t="s">
        <v>105</v>
      </c>
      <c r="D156" s="31" t="str">
        <f t="shared" ref="D156:M156" si="157">VLOOKUP(D153,$O$5:$Q$24,3,0)</f>
        <v>김도영</v>
      </c>
      <c r="E156" s="31" t="str">
        <f t="shared" si="157"/>
        <v>김도영</v>
      </c>
      <c r="F156" s="31" t="str">
        <f t="shared" si="157"/>
        <v>김도영</v>
      </c>
      <c r="G156" s="31" t="str">
        <f t="shared" si="157"/>
        <v>김도영</v>
      </c>
      <c r="H156" s="31" t="e">
        <f t="shared" si="157"/>
        <v>#N/A</v>
      </c>
      <c r="I156" s="31" t="e">
        <f t="shared" si="157"/>
        <v>#N/A</v>
      </c>
      <c r="J156" s="31" t="e">
        <f t="shared" si="157"/>
        <v>#N/A</v>
      </c>
      <c r="K156" s="31" t="str">
        <f t="shared" si="157"/>
        <v>김도영</v>
      </c>
      <c r="L156" s="31" t="str">
        <f t="shared" si="157"/>
        <v>김도영</v>
      </c>
      <c r="M156" s="31" t="str">
        <f t="shared" si="157"/>
        <v>김도영</v>
      </c>
      <c r="N156" s="1"/>
      <c r="O156" s="1"/>
      <c r="P156" s="1"/>
      <c r="Q156" s="1"/>
      <c r="R156" s="1"/>
      <c r="S156" s="1"/>
      <c r="T156" s="1"/>
      <c r="U156" s="1"/>
    </row>
    <row r="157" spans="1:21" ht="24.75" customHeight="1">
      <c r="A157" s="38" t="s">
        <v>28</v>
      </c>
      <c r="B157" s="38" t="s">
        <v>110</v>
      </c>
      <c r="C157" s="39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1"/>
      <c r="O157" s="1"/>
      <c r="P157" s="1"/>
      <c r="Q157" s="1"/>
      <c r="R157" s="1"/>
      <c r="S157" s="1"/>
      <c r="T157" s="1"/>
      <c r="U157" s="1"/>
    </row>
    <row r="158" spans="1:21" ht="24.75" customHeight="1">
      <c r="A158" s="166" t="s">
        <v>111</v>
      </c>
      <c r="B158" s="166" t="s">
        <v>112</v>
      </c>
      <c r="C158" s="18" t="s">
        <v>15</v>
      </c>
      <c r="D158" s="19" t="s">
        <v>46</v>
      </c>
      <c r="E158" s="19" t="s">
        <v>46</v>
      </c>
      <c r="F158" s="19" t="s">
        <v>46</v>
      </c>
      <c r="G158" s="19" t="s">
        <v>46</v>
      </c>
      <c r="H158" s="19"/>
      <c r="I158" s="19"/>
      <c r="J158" s="19"/>
      <c r="K158" s="19" t="s">
        <v>46</v>
      </c>
      <c r="L158" s="19" t="s">
        <v>46</v>
      </c>
      <c r="M158" s="19" t="s">
        <v>46</v>
      </c>
      <c r="N158" s="1"/>
      <c r="O158" s="1"/>
      <c r="P158" s="1"/>
      <c r="Q158" s="1"/>
      <c r="R158" s="1"/>
      <c r="S158" s="1"/>
      <c r="T158" s="1"/>
      <c r="U158" s="1"/>
    </row>
    <row r="159" spans="1:21" ht="24.75" customHeight="1">
      <c r="A159" s="167"/>
      <c r="B159" s="167"/>
      <c r="C159" s="24" t="s">
        <v>16</v>
      </c>
      <c r="D159" s="25" t="str">
        <f t="shared" ref="D159:M159" si="158">VLOOKUP(D158,$O$5:$P$24,2,FALSE)</f>
        <v>나만의 음성 모델 만들기</v>
      </c>
      <c r="E159" s="25" t="str">
        <f t="shared" si="158"/>
        <v>나만의 음성 모델 만들기</v>
      </c>
      <c r="F159" s="25" t="str">
        <f t="shared" si="158"/>
        <v>나만의 음성 모델 만들기</v>
      </c>
      <c r="G159" s="25" t="str">
        <f t="shared" si="158"/>
        <v>나만의 음성 모델 만들기</v>
      </c>
      <c r="H159" s="25" t="e">
        <f t="shared" si="158"/>
        <v>#N/A</v>
      </c>
      <c r="I159" s="25" t="e">
        <f t="shared" si="158"/>
        <v>#N/A</v>
      </c>
      <c r="J159" s="25" t="e">
        <f t="shared" si="158"/>
        <v>#N/A</v>
      </c>
      <c r="K159" s="25" t="str">
        <f t="shared" si="158"/>
        <v>나만의 음성 모델 만들기</v>
      </c>
      <c r="L159" s="25" t="str">
        <f t="shared" si="158"/>
        <v>나만의 음성 모델 만들기</v>
      </c>
      <c r="M159" s="25" t="str">
        <f t="shared" si="158"/>
        <v>나만의 음성 모델 만들기</v>
      </c>
      <c r="N159" s="1"/>
      <c r="O159" s="1"/>
      <c r="P159" s="1"/>
      <c r="Q159" s="1"/>
      <c r="R159" s="1"/>
      <c r="S159" s="1"/>
      <c r="T159" s="1"/>
      <c r="U159" s="1"/>
    </row>
    <row r="160" spans="1:21" ht="24.75" customHeight="1">
      <c r="A160" s="167"/>
      <c r="B160" s="167"/>
      <c r="C160" s="28" t="s">
        <v>17</v>
      </c>
      <c r="D160" s="29" t="s">
        <v>153</v>
      </c>
      <c r="E160" s="29" t="s">
        <v>153</v>
      </c>
      <c r="F160" s="29" t="s">
        <v>153</v>
      </c>
      <c r="G160" s="29" t="s">
        <v>154</v>
      </c>
      <c r="H160" s="29"/>
      <c r="I160" s="29"/>
      <c r="J160" s="29"/>
      <c r="K160" s="29" t="s">
        <v>154</v>
      </c>
      <c r="L160" s="29" t="s">
        <v>154</v>
      </c>
      <c r="M160" s="29" t="s">
        <v>154</v>
      </c>
      <c r="N160" s="1"/>
      <c r="O160" s="1"/>
      <c r="P160" s="1"/>
      <c r="Q160" s="1"/>
      <c r="R160" s="1"/>
      <c r="S160" s="1"/>
      <c r="T160" s="1"/>
      <c r="U160" s="1"/>
    </row>
    <row r="161" spans="1:21" ht="24.75" customHeight="1">
      <c r="A161" s="167"/>
      <c r="B161" s="167"/>
      <c r="C161" s="32" t="s">
        <v>105</v>
      </c>
      <c r="D161" s="31" t="str">
        <f t="shared" ref="D161:M161" si="159">VLOOKUP(D158,$O$5:$Q$24,3,0)</f>
        <v>김도영</v>
      </c>
      <c r="E161" s="31" t="str">
        <f t="shared" si="159"/>
        <v>김도영</v>
      </c>
      <c r="F161" s="31" t="str">
        <f t="shared" si="159"/>
        <v>김도영</v>
      </c>
      <c r="G161" s="31" t="str">
        <f t="shared" si="159"/>
        <v>김도영</v>
      </c>
      <c r="H161" s="31" t="e">
        <f t="shared" si="159"/>
        <v>#N/A</v>
      </c>
      <c r="I161" s="31" t="e">
        <f t="shared" si="159"/>
        <v>#N/A</v>
      </c>
      <c r="J161" s="31" t="e">
        <f t="shared" si="159"/>
        <v>#N/A</v>
      </c>
      <c r="K161" s="31" t="str">
        <f t="shared" si="159"/>
        <v>김도영</v>
      </c>
      <c r="L161" s="31" t="str">
        <f t="shared" si="159"/>
        <v>김도영</v>
      </c>
      <c r="M161" s="31" t="str">
        <f t="shared" si="159"/>
        <v>김도영</v>
      </c>
      <c r="N161" s="1"/>
      <c r="O161" s="1"/>
      <c r="P161" s="1"/>
      <c r="Q161" s="1"/>
      <c r="R161" s="1"/>
      <c r="S161" s="1"/>
      <c r="T161" s="1"/>
      <c r="U161" s="1"/>
    </row>
    <row r="162" spans="1:21" ht="24.75" customHeight="1">
      <c r="A162" s="166" t="s">
        <v>113</v>
      </c>
      <c r="B162" s="166" t="s">
        <v>114</v>
      </c>
      <c r="C162" s="18" t="s">
        <v>15</v>
      </c>
      <c r="D162" s="19" t="s">
        <v>46</v>
      </c>
      <c r="E162" s="19" t="s">
        <v>46</v>
      </c>
      <c r="F162" s="19" t="s">
        <v>46</v>
      </c>
      <c r="G162" s="19" t="s">
        <v>46</v>
      </c>
      <c r="H162" s="19"/>
      <c r="I162" s="19"/>
      <c r="J162" s="19"/>
      <c r="K162" s="19" t="s">
        <v>46</v>
      </c>
      <c r="L162" s="19" t="s">
        <v>46</v>
      </c>
      <c r="M162" s="19" t="s">
        <v>46</v>
      </c>
      <c r="N162" s="1"/>
      <c r="O162" s="1"/>
      <c r="P162" s="1"/>
      <c r="Q162" s="1"/>
      <c r="R162" s="1"/>
      <c r="S162" s="1"/>
      <c r="T162" s="1"/>
      <c r="U162" s="1"/>
    </row>
    <row r="163" spans="1:21" ht="24.75" customHeight="1">
      <c r="A163" s="167"/>
      <c r="B163" s="167"/>
      <c r="C163" s="24" t="s">
        <v>16</v>
      </c>
      <c r="D163" s="25" t="str">
        <f t="shared" ref="D163:M163" si="160">VLOOKUP(D162,$O$5:$P$24,2,FALSE)</f>
        <v>나만의 음성 모델 만들기</v>
      </c>
      <c r="E163" s="25" t="str">
        <f t="shared" si="160"/>
        <v>나만의 음성 모델 만들기</v>
      </c>
      <c r="F163" s="25" t="str">
        <f t="shared" si="160"/>
        <v>나만의 음성 모델 만들기</v>
      </c>
      <c r="G163" s="25" t="str">
        <f t="shared" si="160"/>
        <v>나만의 음성 모델 만들기</v>
      </c>
      <c r="H163" s="25" t="e">
        <f t="shared" si="160"/>
        <v>#N/A</v>
      </c>
      <c r="I163" s="25" t="e">
        <f t="shared" si="160"/>
        <v>#N/A</v>
      </c>
      <c r="J163" s="25" t="e">
        <f t="shared" si="160"/>
        <v>#N/A</v>
      </c>
      <c r="K163" s="25" t="str">
        <f t="shared" si="160"/>
        <v>나만의 음성 모델 만들기</v>
      </c>
      <c r="L163" s="25" t="str">
        <f t="shared" si="160"/>
        <v>나만의 음성 모델 만들기</v>
      </c>
      <c r="M163" s="25" t="str">
        <f t="shared" si="160"/>
        <v>나만의 음성 모델 만들기</v>
      </c>
      <c r="N163" s="1"/>
      <c r="O163" s="1"/>
      <c r="P163" s="1"/>
      <c r="Q163" s="1"/>
      <c r="R163" s="1"/>
      <c r="S163" s="1"/>
      <c r="T163" s="1"/>
      <c r="U163" s="1"/>
    </row>
    <row r="164" spans="1:21" ht="24.75" customHeight="1">
      <c r="A164" s="167"/>
      <c r="B164" s="167"/>
      <c r="C164" s="28" t="s">
        <v>17</v>
      </c>
      <c r="D164" s="29" t="s">
        <v>153</v>
      </c>
      <c r="E164" s="29" t="s">
        <v>153</v>
      </c>
      <c r="F164" s="29" t="s">
        <v>154</v>
      </c>
      <c r="G164" s="29" t="s">
        <v>154</v>
      </c>
      <c r="H164" s="29"/>
      <c r="I164" s="29"/>
      <c r="J164" s="29"/>
      <c r="K164" s="29" t="s">
        <v>154</v>
      </c>
      <c r="L164" s="29" t="s">
        <v>154</v>
      </c>
      <c r="M164" s="29" t="s">
        <v>154</v>
      </c>
      <c r="N164" s="1"/>
      <c r="O164" s="1"/>
      <c r="P164" s="1"/>
      <c r="Q164" s="1"/>
      <c r="R164" s="1"/>
      <c r="S164" s="1"/>
      <c r="T164" s="1"/>
      <c r="U164" s="1"/>
    </row>
    <row r="165" spans="1:21" ht="24.75" customHeight="1">
      <c r="A165" s="167"/>
      <c r="B165" s="167"/>
      <c r="C165" s="32" t="s">
        <v>105</v>
      </c>
      <c r="D165" s="31" t="str">
        <f t="shared" ref="D165:M165" si="161">VLOOKUP(D162,$O$5:$Q$24,3,0)</f>
        <v>김도영</v>
      </c>
      <c r="E165" s="31" t="str">
        <f t="shared" si="161"/>
        <v>김도영</v>
      </c>
      <c r="F165" s="31" t="str">
        <f t="shared" si="161"/>
        <v>김도영</v>
      </c>
      <c r="G165" s="31" t="str">
        <f t="shared" si="161"/>
        <v>김도영</v>
      </c>
      <c r="H165" s="31" t="e">
        <f t="shared" si="161"/>
        <v>#N/A</v>
      </c>
      <c r="I165" s="31" t="e">
        <f t="shared" si="161"/>
        <v>#N/A</v>
      </c>
      <c r="J165" s="31" t="e">
        <f t="shared" si="161"/>
        <v>#N/A</v>
      </c>
      <c r="K165" s="31" t="str">
        <f t="shared" si="161"/>
        <v>김도영</v>
      </c>
      <c r="L165" s="31" t="str">
        <f t="shared" si="161"/>
        <v>김도영</v>
      </c>
      <c r="M165" s="31" t="str">
        <f t="shared" si="161"/>
        <v>김도영</v>
      </c>
      <c r="N165" s="1"/>
      <c r="O165" s="1"/>
      <c r="P165" s="1"/>
      <c r="Q165" s="1"/>
      <c r="R165" s="1"/>
      <c r="S165" s="1"/>
      <c r="T165" s="1"/>
      <c r="U165" s="1"/>
    </row>
    <row r="166" spans="1:21" ht="24.75" customHeight="1">
      <c r="A166" s="166" t="s">
        <v>115</v>
      </c>
      <c r="B166" s="166" t="s">
        <v>116</v>
      </c>
      <c r="C166" s="18" t="s">
        <v>15</v>
      </c>
      <c r="D166" s="19" t="s">
        <v>46</v>
      </c>
      <c r="E166" s="19" t="s">
        <v>46</v>
      </c>
      <c r="F166" s="19" t="s">
        <v>46</v>
      </c>
      <c r="G166" s="19" t="s">
        <v>46</v>
      </c>
      <c r="H166" s="19"/>
      <c r="I166" s="19"/>
      <c r="J166" s="19"/>
      <c r="K166" s="19" t="s">
        <v>46</v>
      </c>
      <c r="L166" s="19" t="s">
        <v>46</v>
      </c>
      <c r="M166" s="19" t="s">
        <v>46</v>
      </c>
      <c r="N166" s="1"/>
      <c r="O166" s="1"/>
      <c r="P166" s="1"/>
      <c r="Q166" s="1"/>
      <c r="R166" s="1"/>
      <c r="S166" s="1"/>
      <c r="T166" s="1"/>
      <c r="U166" s="1"/>
    </row>
    <row r="167" spans="1:21" ht="24.75" customHeight="1">
      <c r="A167" s="167"/>
      <c r="B167" s="167"/>
      <c r="C167" s="24" t="s">
        <v>16</v>
      </c>
      <c r="D167" s="25" t="str">
        <f t="shared" ref="D167:M167" si="162">VLOOKUP(D166,$O$5:$P$24,2,FALSE)</f>
        <v>나만의 음성 모델 만들기</v>
      </c>
      <c r="E167" s="25" t="str">
        <f t="shared" si="162"/>
        <v>나만의 음성 모델 만들기</v>
      </c>
      <c r="F167" s="25" t="str">
        <f t="shared" si="162"/>
        <v>나만의 음성 모델 만들기</v>
      </c>
      <c r="G167" s="25" t="str">
        <f t="shared" si="162"/>
        <v>나만의 음성 모델 만들기</v>
      </c>
      <c r="H167" s="25" t="e">
        <f t="shared" si="162"/>
        <v>#N/A</v>
      </c>
      <c r="I167" s="25" t="e">
        <f t="shared" si="162"/>
        <v>#N/A</v>
      </c>
      <c r="J167" s="25" t="e">
        <f t="shared" si="162"/>
        <v>#N/A</v>
      </c>
      <c r="K167" s="25" t="str">
        <f t="shared" si="162"/>
        <v>나만의 음성 모델 만들기</v>
      </c>
      <c r="L167" s="25" t="str">
        <f t="shared" si="162"/>
        <v>나만의 음성 모델 만들기</v>
      </c>
      <c r="M167" s="25" t="str">
        <f t="shared" si="162"/>
        <v>나만의 음성 모델 만들기</v>
      </c>
      <c r="N167" s="1"/>
      <c r="O167" s="1"/>
      <c r="P167" s="1"/>
      <c r="Q167" s="1"/>
      <c r="R167" s="1"/>
      <c r="S167" s="1"/>
      <c r="T167" s="1"/>
      <c r="U167" s="1"/>
    </row>
    <row r="168" spans="1:21" ht="24.75" customHeight="1">
      <c r="A168" s="167"/>
      <c r="B168" s="167"/>
      <c r="C168" s="28" t="s">
        <v>17</v>
      </c>
      <c r="D168" s="29" t="s">
        <v>153</v>
      </c>
      <c r="E168" s="29" t="s">
        <v>153</v>
      </c>
      <c r="F168" s="29" t="s">
        <v>154</v>
      </c>
      <c r="G168" s="29" t="s">
        <v>154</v>
      </c>
      <c r="H168" s="29"/>
      <c r="I168" s="29"/>
      <c r="J168" s="29"/>
      <c r="K168" s="29" t="s">
        <v>154</v>
      </c>
      <c r="L168" s="29" t="s">
        <v>154</v>
      </c>
      <c r="M168" s="29" t="s">
        <v>154</v>
      </c>
      <c r="N168" s="1"/>
      <c r="O168" s="1"/>
      <c r="P168" s="1"/>
      <c r="Q168" s="1"/>
      <c r="R168" s="1"/>
      <c r="S168" s="1"/>
      <c r="T168" s="1"/>
      <c r="U168" s="1"/>
    </row>
    <row r="169" spans="1:21" ht="24.75" customHeight="1">
      <c r="A169" s="167"/>
      <c r="B169" s="167"/>
      <c r="C169" s="32" t="s">
        <v>105</v>
      </c>
      <c r="D169" s="31" t="str">
        <f t="shared" ref="D169:M169" si="163">VLOOKUP(D166,$O$5:$Q$24,3,0)</f>
        <v>김도영</v>
      </c>
      <c r="E169" s="31" t="str">
        <f t="shared" si="163"/>
        <v>김도영</v>
      </c>
      <c r="F169" s="31" t="str">
        <f t="shared" si="163"/>
        <v>김도영</v>
      </c>
      <c r="G169" s="31" t="str">
        <f t="shared" si="163"/>
        <v>김도영</v>
      </c>
      <c r="H169" s="31" t="e">
        <f t="shared" si="163"/>
        <v>#N/A</v>
      </c>
      <c r="I169" s="31" t="e">
        <f t="shared" si="163"/>
        <v>#N/A</v>
      </c>
      <c r="J169" s="31" t="e">
        <f t="shared" si="163"/>
        <v>#N/A</v>
      </c>
      <c r="K169" s="31" t="str">
        <f t="shared" si="163"/>
        <v>김도영</v>
      </c>
      <c r="L169" s="31" t="str">
        <f t="shared" si="163"/>
        <v>김도영</v>
      </c>
      <c r="M169" s="31" t="str">
        <f t="shared" si="163"/>
        <v>김도영</v>
      </c>
      <c r="N169" s="1"/>
      <c r="O169" s="1"/>
      <c r="P169" s="1"/>
      <c r="Q169" s="1"/>
      <c r="R169" s="1"/>
      <c r="S169" s="1"/>
      <c r="T169" s="1"/>
      <c r="U169" s="1"/>
    </row>
    <row r="170" spans="1:21" ht="24.75" customHeight="1">
      <c r="A170" s="166" t="s">
        <v>117</v>
      </c>
      <c r="B170" s="166" t="s">
        <v>118</v>
      </c>
      <c r="C170" s="18" t="s">
        <v>15</v>
      </c>
      <c r="D170" s="19" t="s">
        <v>46</v>
      </c>
      <c r="E170" s="19" t="s">
        <v>46</v>
      </c>
      <c r="F170" s="19" t="s">
        <v>46</v>
      </c>
      <c r="G170" s="19" t="s">
        <v>46</v>
      </c>
      <c r="H170" s="19"/>
      <c r="I170" s="19"/>
      <c r="J170" s="19"/>
      <c r="K170" s="19" t="s">
        <v>46</v>
      </c>
      <c r="L170" s="19" t="s">
        <v>46</v>
      </c>
      <c r="M170" s="19" t="s">
        <v>46</v>
      </c>
      <c r="N170" s="1"/>
      <c r="O170" s="1"/>
      <c r="P170" s="1"/>
      <c r="Q170" s="1"/>
      <c r="R170" s="1"/>
      <c r="S170" s="1"/>
      <c r="T170" s="1"/>
      <c r="U170" s="1"/>
    </row>
    <row r="171" spans="1:21" ht="24.75" customHeight="1">
      <c r="A171" s="167"/>
      <c r="B171" s="167"/>
      <c r="C171" s="24" t="s">
        <v>16</v>
      </c>
      <c r="D171" s="25" t="str">
        <f t="shared" ref="D171:M171" si="164">VLOOKUP(D170,$O$5:$P$24,2,FALSE)</f>
        <v>나만의 음성 모델 만들기</v>
      </c>
      <c r="E171" s="25" t="str">
        <f t="shared" si="164"/>
        <v>나만의 음성 모델 만들기</v>
      </c>
      <c r="F171" s="25" t="str">
        <f t="shared" si="164"/>
        <v>나만의 음성 모델 만들기</v>
      </c>
      <c r="G171" s="25" t="str">
        <f t="shared" si="164"/>
        <v>나만의 음성 모델 만들기</v>
      </c>
      <c r="H171" s="25" t="e">
        <f t="shared" si="164"/>
        <v>#N/A</v>
      </c>
      <c r="I171" s="25" t="e">
        <f t="shared" si="164"/>
        <v>#N/A</v>
      </c>
      <c r="J171" s="25" t="e">
        <f t="shared" si="164"/>
        <v>#N/A</v>
      </c>
      <c r="K171" s="25" t="str">
        <f t="shared" si="164"/>
        <v>나만의 음성 모델 만들기</v>
      </c>
      <c r="L171" s="25" t="str">
        <f t="shared" si="164"/>
        <v>나만의 음성 모델 만들기</v>
      </c>
      <c r="M171" s="25" t="str">
        <f t="shared" si="164"/>
        <v>나만의 음성 모델 만들기</v>
      </c>
      <c r="N171" s="1"/>
      <c r="O171" s="1"/>
      <c r="P171" s="1"/>
      <c r="Q171" s="1"/>
      <c r="R171" s="1"/>
      <c r="S171" s="1"/>
      <c r="T171" s="1"/>
      <c r="U171" s="1"/>
    </row>
    <row r="172" spans="1:21" ht="24.75" customHeight="1">
      <c r="A172" s="167"/>
      <c r="B172" s="167"/>
      <c r="C172" s="28" t="s">
        <v>17</v>
      </c>
      <c r="D172" s="29" t="s">
        <v>153</v>
      </c>
      <c r="E172" s="29" t="s">
        <v>153</v>
      </c>
      <c r="F172" s="29" t="s">
        <v>154</v>
      </c>
      <c r="G172" s="29" t="s">
        <v>154</v>
      </c>
      <c r="H172" s="29"/>
      <c r="I172" s="29"/>
      <c r="J172" s="29"/>
      <c r="K172" s="29" t="s">
        <v>154</v>
      </c>
      <c r="L172" s="29" t="s">
        <v>154</v>
      </c>
      <c r="M172" s="29" t="s">
        <v>154</v>
      </c>
      <c r="N172" s="1"/>
      <c r="O172" s="1"/>
      <c r="P172" s="1"/>
      <c r="Q172" s="1"/>
      <c r="R172" s="1"/>
      <c r="S172" s="1"/>
      <c r="T172" s="1"/>
      <c r="U172" s="1"/>
    </row>
    <row r="173" spans="1:21" ht="24.75" customHeight="1">
      <c r="A173" s="167"/>
      <c r="B173" s="167"/>
      <c r="C173" s="32" t="s">
        <v>105</v>
      </c>
      <c r="D173" s="31" t="str">
        <f t="shared" ref="D173:M173" si="165">VLOOKUP(D170,$O$5:$Q$24,3,0)</f>
        <v>김도영</v>
      </c>
      <c r="E173" s="31" t="str">
        <f t="shared" si="165"/>
        <v>김도영</v>
      </c>
      <c r="F173" s="31" t="str">
        <f t="shared" si="165"/>
        <v>김도영</v>
      </c>
      <c r="G173" s="31" t="str">
        <f t="shared" si="165"/>
        <v>김도영</v>
      </c>
      <c r="H173" s="31" t="e">
        <f t="shared" si="165"/>
        <v>#N/A</v>
      </c>
      <c r="I173" s="31" t="e">
        <f t="shared" si="165"/>
        <v>#N/A</v>
      </c>
      <c r="J173" s="31" t="e">
        <f t="shared" si="165"/>
        <v>#N/A</v>
      </c>
      <c r="K173" s="31" t="str">
        <f t="shared" si="165"/>
        <v>김도영</v>
      </c>
      <c r="L173" s="31" t="str">
        <f t="shared" si="165"/>
        <v>김도영</v>
      </c>
      <c r="M173" s="31" t="str">
        <f t="shared" si="165"/>
        <v>김도영</v>
      </c>
      <c r="N173" s="1"/>
      <c r="O173" s="1"/>
      <c r="P173" s="1"/>
      <c r="Q173" s="1"/>
      <c r="R173" s="1"/>
      <c r="S173" s="1"/>
      <c r="T173" s="1"/>
      <c r="U173" s="1"/>
    </row>
    <row r="174" spans="1:21" ht="24.75" customHeight="1">
      <c r="A174" s="166" t="s">
        <v>119</v>
      </c>
      <c r="B174" s="166" t="s">
        <v>120</v>
      </c>
      <c r="C174" s="18" t="s">
        <v>15</v>
      </c>
      <c r="D174" s="19" t="s">
        <v>46</v>
      </c>
      <c r="E174" s="19" t="s">
        <v>46</v>
      </c>
      <c r="F174" s="19" t="s">
        <v>46</v>
      </c>
      <c r="G174" s="19" t="s">
        <v>46</v>
      </c>
      <c r="H174" s="19"/>
      <c r="I174" s="19"/>
      <c r="J174" s="19"/>
      <c r="K174" s="19" t="s">
        <v>46</v>
      </c>
      <c r="L174" s="19" t="s">
        <v>46</v>
      </c>
      <c r="M174" s="19" t="s">
        <v>46</v>
      </c>
      <c r="N174" s="1"/>
      <c r="O174" s="1"/>
      <c r="P174" s="1"/>
      <c r="Q174" s="1"/>
      <c r="R174" s="1"/>
      <c r="S174" s="1"/>
      <c r="T174" s="1"/>
      <c r="U174" s="1"/>
    </row>
    <row r="175" spans="1:21" ht="24.75" customHeight="1">
      <c r="A175" s="167"/>
      <c r="B175" s="167"/>
      <c r="C175" s="24" t="s">
        <v>16</v>
      </c>
      <c r="D175" s="25" t="str">
        <f t="shared" ref="D175:M175" si="166">VLOOKUP(D174,$O$5:$P$24,2,FALSE)</f>
        <v>나만의 음성 모델 만들기</v>
      </c>
      <c r="E175" s="25" t="str">
        <f t="shared" si="166"/>
        <v>나만의 음성 모델 만들기</v>
      </c>
      <c r="F175" s="25" t="str">
        <f t="shared" si="166"/>
        <v>나만의 음성 모델 만들기</v>
      </c>
      <c r="G175" s="25" t="str">
        <f t="shared" si="166"/>
        <v>나만의 음성 모델 만들기</v>
      </c>
      <c r="H175" s="25" t="e">
        <f t="shared" si="166"/>
        <v>#N/A</v>
      </c>
      <c r="I175" s="25" t="e">
        <f t="shared" si="166"/>
        <v>#N/A</v>
      </c>
      <c r="J175" s="25" t="e">
        <f t="shared" si="166"/>
        <v>#N/A</v>
      </c>
      <c r="K175" s="25" t="str">
        <f t="shared" si="166"/>
        <v>나만의 음성 모델 만들기</v>
      </c>
      <c r="L175" s="25" t="str">
        <f t="shared" si="166"/>
        <v>나만의 음성 모델 만들기</v>
      </c>
      <c r="M175" s="25" t="str">
        <f t="shared" si="166"/>
        <v>나만의 음성 모델 만들기</v>
      </c>
      <c r="N175" s="1"/>
      <c r="O175" s="1"/>
      <c r="P175" s="1"/>
      <c r="Q175" s="1"/>
      <c r="R175" s="1"/>
      <c r="S175" s="1"/>
      <c r="T175" s="1"/>
      <c r="U175" s="1"/>
    </row>
    <row r="176" spans="1:21" ht="24.75" customHeight="1">
      <c r="A176" s="167"/>
      <c r="B176" s="167"/>
      <c r="C176" s="28" t="s">
        <v>17</v>
      </c>
      <c r="D176" s="29" t="s">
        <v>153</v>
      </c>
      <c r="E176" s="29" t="s">
        <v>153</v>
      </c>
      <c r="F176" s="29" t="s">
        <v>154</v>
      </c>
      <c r="G176" s="29" t="s">
        <v>154</v>
      </c>
      <c r="H176" s="29"/>
      <c r="I176" s="29"/>
      <c r="J176" s="29"/>
      <c r="K176" s="29" t="s">
        <v>154</v>
      </c>
      <c r="L176" s="29" t="s">
        <v>154</v>
      </c>
      <c r="M176" s="29" t="s">
        <v>154</v>
      </c>
      <c r="N176" s="1"/>
      <c r="O176" s="1"/>
      <c r="P176" s="1"/>
      <c r="Q176" s="1"/>
      <c r="R176" s="1"/>
      <c r="S176" s="1"/>
      <c r="T176" s="1"/>
      <c r="U176" s="1"/>
    </row>
    <row r="177" spans="1:21" ht="24.75" customHeight="1">
      <c r="A177" s="159"/>
      <c r="B177" s="159"/>
      <c r="C177" s="32" t="s">
        <v>105</v>
      </c>
      <c r="D177" s="31" t="str">
        <f t="shared" ref="D177:M177" si="167">VLOOKUP(D174,$O$5:$Q$24,3,0)</f>
        <v>김도영</v>
      </c>
      <c r="E177" s="31" t="str">
        <f t="shared" si="167"/>
        <v>김도영</v>
      </c>
      <c r="F177" s="31" t="str">
        <f t="shared" si="167"/>
        <v>김도영</v>
      </c>
      <c r="G177" s="31" t="str">
        <f t="shared" si="167"/>
        <v>김도영</v>
      </c>
      <c r="H177" s="31" t="e">
        <f t="shared" si="167"/>
        <v>#N/A</v>
      </c>
      <c r="I177" s="31" t="e">
        <f t="shared" si="167"/>
        <v>#N/A</v>
      </c>
      <c r="J177" s="31" t="e">
        <f t="shared" si="167"/>
        <v>#N/A</v>
      </c>
      <c r="K177" s="31" t="str">
        <f t="shared" si="167"/>
        <v>김도영</v>
      </c>
      <c r="L177" s="31" t="str">
        <f t="shared" si="167"/>
        <v>김도영</v>
      </c>
      <c r="M177" s="31" t="str">
        <f t="shared" si="167"/>
        <v>김도영</v>
      </c>
      <c r="N177" s="1"/>
      <c r="O177" s="1"/>
      <c r="P177" s="1"/>
      <c r="Q177" s="1"/>
      <c r="R177" s="1"/>
      <c r="S177" s="1"/>
      <c r="T177" s="1"/>
      <c r="U177" s="1"/>
    </row>
    <row r="178" spans="1:21" ht="24.75" customHeight="1">
      <c r="A178" s="164" t="s">
        <v>94</v>
      </c>
      <c r="B178" s="164" t="s">
        <v>95</v>
      </c>
      <c r="C178" s="164" t="s">
        <v>96</v>
      </c>
      <c r="D178" s="165">
        <f>I143+1</f>
        <v>11</v>
      </c>
      <c r="E178" s="156"/>
      <c r="F178" s="156"/>
      <c r="G178" s="156"/>
      <c r="H178" s="154"/>
      <c r="I178" s="165">
        <f>D178+1</f>
        <v>12</v>
      </c>
      <c r="J178" s="156"/>
      <c r="K178" s="156"/>
      <c r="L178" s="156"/>
      <c r="M178" s="154"/>
      <c r="N178" s="1"/>
      <c r="O178" s="1"/>
      <c r="P178" s="1"/>
      <c r="Q178" s="1"/>
      <c r="R178" s="1"/>
      <c r="S178" s="1"/>
      <c r="T178" s="1"/>
      <c r="U178" s="1"/>
    </row>
    <row r="179" spans="1:21" ht="24.75" customHeight="1">
      <c r="A179" s="159"/>
      <c r="B179" s="159"/>
      <c r="C179" s="159"/>
      <c r="D179" s="14">
        <f>M144+3</f>
        <v>46181</v>
      </c>
      <c r="E179" s="14">
        <f t="shared" ref="E179:H179" si="168">D179+1</f>
        <v>46182</v>
      </c>
      <c r="F179" s="14">
        <f t="shared" si="168"/>
        <v>46183</v>
      </c>
      <c r="G179" s="14">
        <f t="shared" si="168"/>
        <v>46184</v>
      </c>
      <c r="H179" s="14">
        <f t="shared" si="168"/>
        <v>46185</v>
      </c>
      <c r="I179" s="14">
        <f>H179+3</f>
        <v>46188</v>
      </c>
      <c r="J179" s="14">
        <f t="shared" ref="J179:M179" si="169">I179+1</f>
        <v>46189</v>
      </c>
      <c r="K179" s="14">
        <f t="shared" si="169"/>
        <v>46190</v>
      </c>
      <c r="L179" s="14">
        <f t="shared" si="169"/>
        <v>46191</v>
      </c>
      <c r="M179" s="14">
        <f t="shared" si="169"/>
        <v>46192</v>
      </c>
      <c r="N179" s="1"/>
      <c r="O179" s="1"/>
      <c r="P179" s="1"/>
      <c r="Q179" s="1"/>
      <c r="R179" s="1"/>
      <c r="S179" s="1"/>
      <c r="T179" s="1"/>
      <c r="U179" s="1"/>
    </row>
    <row r="180" spans="1:21" ht="24.75" customHeight="1">
      <c r="A180" s="166" t="s">
        <v>103</v>
      </c>
      <c r="B180" s="166" t="s">
        <v>104</v>
      </c>
      <c r="C180" s="18" t="s">
        <v>15</v>
      </c>
      <c r="D180" s="19" t="s">
        <v>46</v>
      </c>
      <c r="E180" s="19" t="s">
        <v>54</v>
      </c>
      <c r="F180" s="19" t="s">
        <v>54</v>
      </c>
      <c r="G180" s="19" t="s">
        <v>54</v>
      </c>
      <c r="H180" s="19" t="s">
        <v>54</v>
      </c>
      <c r="I180" s="19" t="s">
        <v>54</v>
      </c>
      <c r="J180" s="19" t="s">
        <v>54</v>
      </c>
      <c r="K180" s="19" t="s">
        <v>54</v>
      </c>
      <c r="L180" s="19" t="s">
        <v>54</v>
      </c>
      <c r="M180" s="19" t="s">
        <v>58</v>
      </c>
      <c r="N180" s="1"/>
      <c r="O180" s="1"/>
      <c r="P180" s="1"/>
      <c r="Q180" s="1"/>
      <c r="R180" s="1"/>
      <c r="S180" s="1"/>
      <c r="T180" s="1"/>
      <c r="U180" s="1"/>
    </row>
    <row r="181" spans="1:21" ht="24.75" customHeight="1">
      <c r="A181" s="167"/>
      <c r="B181" s="167"/>
      <c r="C181" s="24" t="s">
        <v>16</v>
      </c>
      <c r="D181" s="25" t="str">
        <f t="shared" ref="D181:M181" si="170">VLOOKUP(D180,$O$5:$P$24,2,FALSE)</f>
        <v>나만의 음성 모델 만들기</v>
      </c>
      <c r="E181" s="25" t="str">
        <f t="shared" si="170"/>
        <v>거대 언어 모델을 활용한 자연어 생성</v>
      </c>
      <c r="F181" s="25" t="str">
        <f t="shared" si="170"/>
        <v>거대 언어 모델을 활용한 자연어 생성</v>
      </c>
      <c r="G181" s="25" t="str">
        <f t="shared" si="170"/>
        <v>거대 언어 모델을 활용한 자연어 생성</v>
      </c>
      <c r="H181" s="25" t="str">
        <f t="shared" si="170"/>
        <v>거대 언어 모델을 활용한 자연어 생성</v>
      </c>
      <c r="I181" s="25" t="str">
        <f t="shared" si="170"/>
        <v>거대 언어 모델을 활용한 자연어 생성</v>
      </c>
      <c r="J181" s="25" t="str">
        <f t="shared" si="170"/>
        <v>거대 언어 모델을 활용한 자연어 생성</v>
      </c>
      <c r="K181" s="25" t="str">
        <f t="shared" si="170"/>
        <v>거대 언어 모델을 활용한 자연어 생성</v>
      </c>
      <c r="L181" s="25" t="str">
        <f t="shared" si="170"/>
        <v>거대 언어 모델을 활용한 자연어 생성</v>
      </c>
      <c r="M181" s="25" t="str">
        <f t="shared" si="170"/>
        <v>프롬프트 엔지니어링</v>
      </c>
      <c r="N181" s="1"/>
      <c r="O181" s="1"/>
      <c r="P181" s="1"/>
      <c r="Q181" s="1"/>
      <c r="R181" s="1"/>
      <c r="S181" s="1"/>
      <c r="T181" s="1"/>
      <c r="U181" s="1"/>
    </row>
    <row r="182" spans="1:21" ht="24.75" customHeight="1">
      <c r="A182" s="167"/>
      <c r="B182" s="167"/>
      <c r="C182" s="28" t="s">
        <v>17</v>
      </c>
      <c r="D182" s="29" t="s">
        <v>154</v>
      </c>
      <c r="E182" s="29" t="s">
        <v>56</v>
      </c>
      <c r="F182" s="29" t="s">
        <v>56</v>
      </c>
      <c r="G182" s="29" t="s">
        <v>56</v>
      </c>
      <c r="H182" s="29" t="s">
        <v>56</v>
      </c>
      <c r="I182" s="29" t="s">
        <v>57</v>
      </c>
      <c r="J182" s="29" t="s">
        <v>57</v>
      </c>
      <c r="K182" s="29" t="s">
        <v>57</v>
      </c>
      <c r="L182" s="29" t="s">
        <v>57</v>
      </c>
      <c r="M182" s="29" t="s">
        <v>60</v>
      </c>
      <c r="N182" s="1"/>
      <c r="O182" s="1"/>
      <c r="P182" s="1"/>
      <c r="Q182" s="1"/>
      <c r="R182" s="1"/>
      <c r="S182" s="1"/>
      <c r="T182" s="1"/>
      <c r="U182" s="1"/>
    </row>
    <row r="183" spans="1:21" ht="24.75" customHeight="1">
      <c r="A183" s="167"/>
      <c r="B183" s="167"/>
      <c r="C183" s="30" t="s">
        <v>105</v>
      </c>
      <c r="D183" s="31" t="str">
        <f t="shared" ref="D183:M183" si="171">VLOOKUP(D180,$O$5:$Q$24,3,0)</f>
        <v>김도영</v>
      </c>
      <c r="E183" s="31" t="str">
        <f t="shared" si="171"/>
        <v>김도영</v>
      </c>
      <c r="F183" s="31" t="str">
        <f t="shared" si="171"/>
        <v>김도영</v>
      </c>
      <c r="G183" s="31" t="str">
        <f t="shared" si="171"/>
        <v>김도영</v>
      </c>
      <c r="H183" s="31" t="str">
        <f t="shared" si="171"/>
        <v>김도영</v>
      </c>
      <c r="I183" s="31" t="str">
        <f t="shared" si="171"/>
        <v>김도영</v>
      </c>
      <c r="J183" s="31" t="str">
        <f t="shared" si="171"/>
        <v>김도영</v>
      </c>
      <c r="K183" s="31" t="str">
        <f t="shared" si="171"/>
        <v>김도영</v>
      </c>
      <c r="L183" s="31" t="str">
        <f t="shared" si="171"/>
        <v>김도영</v>
      </c>
      <c r="M183" s="31" t="str">
        <f t="shared" si="171"/>
        <v>김도영</v>
      </c>
      <c r="N183" s="1"/>
      <c r="O183" s="1"/>
      <c r="P183" s="1"/>
      <c r="Q183" s="1"/>
      <c r="R183" s="1"/>
      <c r="S183" s="1"/>
      <c r="T183" s="1"/>
      <c r="U183" s="1"/>
    </row>
    <row r="184" spans="1:21" ht="24.75" customHeight="1">
      <c r="A184" s="166" t="s">
        <v>106</v>
      </c>
      <c r="B184" s="166" t="s">
        <v>107</v>
      </c>
      <c r="C184" s="18" t="s">
        <v>15</v>
      </c>
      <c r="D184" s="19" t="s">
        <v>46</v>
      </c>
      <c r="E184" s="19" t="s">
        <v>54</v>
      </c>
      <c r="F184" s="19" t="s">
        <v>54</v>
      </c>
      <c r="G184" s="19" t="s">
        <v>54</v>
      </c>
      <c r="H184" s="19" t="s">
        <v>54</v>
      </c>
      <c r="I184" s="19" t="s">
        <v>54</v>
      </c>
      <c r="J184" s="19" t="s">
        <v>54</v>
      </c>
      <c r="K184" s="19" t="s">
        <v>54</v>
      </c>
      <c r="L184" s="19" t="s">
        <v>54</v>
      </c>
      <c r="M184" s="19" t="s">
        <v>58</v>
      </c>
      <c r="N184" s="1"/>
      <c r="O184" s="1"/>
      <c r="P184" s="1"/>
      <c r="Q184" s="1"/>
      <c r="R184" s="1"/>
      <c r="S184" s="1"/>
      <c r="T184" s="1"/>
      <c r="U184" s="1"/>
    </row>
    <row r="185" spans="1:21" ht="24.75" customHeight="1">
      <c r="A185" s="167"/>
      <c r="B185" s="167"/>
      <c r="C185" s="24" t="s">
        <v>16</v>
      </c>
      <c r="D185" s="25" t="str">
        <f t="shared" ref="D185:M185" si="172">VLOOKUP(D184,$O$5:$P$24,2,FALSE)</f>
        <v>나만의 음성 모델 만들기</v>
      </c>
      <c r="E185" s="25" t="str">
        <f t="shared" si="172"/>
        <v>거대 언어 모델을 활용한 자연어 생성</v>
      </c>
      <c r="F185" s="25" t="str">
        <f t="shared" si="172"/>
        <v>거대 언어 모델을 활용한 자연어 생성</v>
      </c>
      <c r="G185" s="25" t="str">
        <f t="shared" si="172"/>
        <v>거대 언어 모델을 활용한 자연어 생성</v>
      </c>
      <c r="H185" s="25" t="str">
        <f t="shared" si="172"/>
        <v>거대 언어 모델을 활용한 자연어 생성</v>
      </c>
      <c r="I185" s="25" t="str">
        <f t="shared" si="172"/>
        <v>거대 언어 모델을 활용한 자연어 생성</v>
      </c>
      <c r="J185" s="25" t="str">
        <f t="shared" si="172"/>
        <v>거대 언어 모델을 활용한 자연어 생성</v>
      </c>
      <c r="K185" s="25" t="str">
        <f t="shared" si="172"/>
        <v>거대 언어 모델을 활용한 자연어 생성</v>
      </c>
      <c r="L185" s="25" t="str">
        <f t="shared" si="172"/>
        <v>거대 언어 모델을 활용한 자연어 생성</v>
      </c>
      <c r="M185" s="25" t="str">
        <f t="shared" si="172"/>
        <v>프롬프트 엔지니어링</v>
      </c>
      <c r="N185" s="1"/>
      <c r="O185" s="1"/>
      <c r="P185" s="1"/>
      <c r="Q185" s="1"/>
      <c r="R185" s="1"/>
      <c r="S185" s="1"/>
      <c r="T185" s="1"/>
      <c r="U185" s="1"/>
    </row>
    <row r="186" spans="1:21" ht="24.75" customHeight="1">
      <c r="A186" s="167"/>
      <c r="B186" s="167"/>
      <c r="C186" s="28" t="s">
        <v>17</v>
      </c>
      <c r="D186" s="29" t="s">
        <v>154</v>
      </c>
      <c r="E186" s="29" t="s">
        <v>56</v>
      </c>
      <c r="F186" s="29" t="s">
        <v>56</v>
      </c>
      <c r="G186" s="29" t="s">
        <v>56</v>
      </c>
      <c r="H186" s="29" t="s">
        <v>56</v>
      </c>
      <c r="I186" s="29" t="s">
        <v>57</v>
      </c>
      <c r="J186" s="29" t="s">
        <v>57</v>
      </c>
      <c r="K186" s="29" t="s">
        <v>57</v>
      </c>
      <c r="L186" s="29" t="s">
        <v>57</v>
      </c>
      <c r="M186" s="29" t="s">
        <v>60</v>
      </c>
      <c r="N186" s="1"/>
      <c r="O186" s="1"/>
      <c r="P186" s="1"/>
      <c r="Q186" s="1"/>
      <c r="R186" s="1"/>
      <c r="S186" s="1"/>
      <c r="T186" s="1"/>
      <c r="U186" s="1"/>
    </row>
    <row r="187" spans="1:21" ht="24.75" customHeight="1">
      <c r="A187" s="167"/>
      <c r="B187" s="167"/>
      <c r="C187" s="32" t="s">
        <v>105</v>
      </c>
      <c r="D187" s="31" t="str">
        <f t="shared" ref="D187:M187" si="173">VLOOKUP(D184,$O$5:$Q$24,3,0)</f>
        <v>김도영</v>
      </c>
      <c r="E187" s="31" t="str">
        <f t="shared" si="173"/>
        <v>김도영</v>
      </c>
      <c r="F187" s="31" t="str">
        <f t="shared" si="173"/>
        <v>김도영</v>
      </c>
      <c r="G187" s="31" t="str">
        <f t="shared" si="173"/>
        <v>김도영</v>
      </c>
      <c r="H187" s="31" t="str">
        <f t="shared" si="173"/>
        <v>김도영</v>
      </c>
      <c r="I187" s="31" t="str">
        <f t="shared" si="173"/>
        <v>김도영</v>
      </c>
      <c r="J187" s="31" t="str">
        <f t="shared" si="173"/>
        <v>김도영</v>
      </c>
      <c r="K187" s="31" t="str">
        <f t="shared" si="173"/>
        <v>김도영</v>
      </c>
      <c r="L187" s="31" t="str">
        <f t="shared" si="173"/>
        <v>김도영</v>
      </c>
      <c r="M187" s="31" t="str">
        <f t="shared" si="173"/>
        <v>김도영</v>
      </c>
      <c r="N187" s="1"/>
      <c r="O187" s="1"/>
      <c r="P187" s="1"/>
      <c r="Q187" s="1"/>
      <c r="R187" s="1"/>
      <c r="S187" s="1"/>
      <c r="T187" s="1"/>
      <c r="U187" s="1"/>
    </row>
    <row r="188" spans="1:21" ht="24.75" customHeight="1">
      <c r="A188" s="166" t="s">
        <v>108</v>
      </c>
      <c r="B188" s="166" t="s">
        <v>109</v>
      </c>
      <c r="C188" s="18" t="s">
        <v>15</v>
      </c>
      <c r="D188" s="19" t="s">
        <v>46</v>
      </c>
      <c r="E188" s="19" t="s">
        <v>54</v>
      </c>
      <c r="F188" s="19" t="s">
        <v>54</v>
      </c>
      <c r="G188" s="19" t="s">
        <v>54</v>
      </c>
      <c r="H188" s="19" t="s">
        <v>54</v>
      </c>
      <c r="I188" s="19" t="s">
        <v>54</v>
      </c>
      <c r="J188" s="19" t="s">
        <v>54</v>
      </c>
      <c r="K188" s="19" t="s">
        <v>54</v>
      </c>
      <c r="L188" s="19" t="s">
        <v>54</v>
      </c>
      <c r="M188" s="19" t="s">
        <v>58</v>
      </c>
      <c r="N188" s="1"/>
      <c r="O188" s="1"/>
      <c r="P188" s="1"/>
      <c r="Q188" s="1"/>
      <c r="R188" s="1"/>
      <c r="S188" s="1"/>
      <c r="T188" s="1"/>
      <c r="U188" s="1"/>
    </row>
    <row r="189" spans="1:21" ht="24.75" customHeight="1">
      <c r="A189" s="167"/>
      <c r="B189" s="167"/>
      <c r="C189" s="24" t="s">
        <v>16</v>
      </c>
      <c r="D189" s="25" t="str">
        <f t="shared" ref="D189:M189" si="174">VLOOKUP(D188,$O$5:$P$24,2,FALSE)</f>
        <v>나만의 음성 모델 만들기</v>
      </c>
      <c r="E189" s="25" t="str">
        <f t="shared" si="174"/>
        <v>거대 언어 모델을 활용한 자연어 생성</v>
      </c>
      <c r="F189" s="25" t="str">
        <f t="shared" si="174"/>
        <v>거대 언어 모델을 활용한 자연어 생성</v>
      </c>
      <c r="G189" s="25" t="str">
        <f t="shared" si="174"/>
        <v>거대 언어 모델을 활용한 자연어 생성</v>
      </c>
      <c r="H189" s="25" t="str">
        <f t="shared" si="174"/>
        <v>거대 언어 모델을 활용한 자연어 생성</v>
      </c>
      <c r="I189" s="25" t="str">
        <f t="shared" si="174"/>
        <v>거대 언어 모델을 활용한 자연어 생성</v>
      </c>
      <c r="J189" s="25" t="str">
        <f t="shared" si="174"/>
        <v>거대 언어 모델을 활용한 자연어 생성</v>
      </c>
      <c r="K189" s="25" t="str">
        <f t="shared" si="174"/>
        <v>거대 언어 모델을 활용한 자연어 생성</v>
      </c>
      <c r="L189" s="25" t="str">
        <f t="shared" si="174"/>
        <v>거대 언어 모델을 활용한 자연어 생성</v>
      </c>
      <c r="M189" s="25" t="str">
        <f t="shared" si="174"/>
        <v>프롬프트 엔지니어링</v>
      </c>
      <c r="N189" s="1"/>
      <c r="O189" s="1"/>
      <c r="P189" s="1"/>
      <c r="Q189" s="1"/>
      <c r="R189" s="1"/>
      <c r="S189" s="1"/>
      <c r="T189" s="1"/>
      <c r="U189" s="1"/>
    </row>
    <row r="190" spans="1:21" ht="24.75" customHeight="1">
      <c r="A190" s="167"/>
      <c r="B190" s="167"/>
      <c r="C190" s="28" t="s">
        <v>17</v>
      </c>
      <c r="D190" s="29" t="s">
        <v>154</v>
      </c>
      <c r="E190" s="29" t="s">
        <v>56</v>
      </c>
      <c r="F190" s="29" t="s">
        <v>56</v>
      </c>
      <c r="G190" s="29" t="s">
        <v>56</v>
      </c>
      <c r="H190" s="29" t="s">
        <v>56</v>
      </c>
      <c r="I190" s="29" t="s">
        <v>57</v>
      </c>
      <c r="J190" s="29" t="s">
        <v>57</v>
      </c>
      <c r="K190" s="29" t="s">
        <v>57</v>
      </c>
      <c r="L190" s="29" t="s">
        <v>57</v>
      </c>
      <c r="M190" s="29" t="s">
        <v>60</v>
      </c>
      <c r="N190" s="1"/>
      <c r="O190" s="1"/>
      <c r="P190" s="1"/>
      <c r="Q190" s="1"/>
      <c r="R190" s="1"/>
      <c r="S190" s="1"/>
      <c r="T190" s="1"/>
      <c r="U190" s="1"/>
    </row>
    <row r="191" spans="1:21" ht="24.75" customHeight="1">
      <c r="A191" s="167"/>
      <c r="B191" s="167"/>
      <c r="C191" s="32" t="s">
        <v>105</v>
      </c>
      <c r="D191" s="31" t="str">
        <f t="shared" ref="D191:M191" si="175">VLOOKUP(D188,$O$5:$Q$24,3,0)</f>
        <v>김도영</v>
      </c>
      <c r="E191" s="31" t="str">
        <f t="shared" si="175"/>
        <v>김도영</v>
      </c>
      <c r="F191" s="31" t="str">
        <f t="shared" si="175"/>
        <v>김도영</v>
      </c>
      <c r="G191" s="31" t="str">
        <f t="shared" si="175"/>
        <v>김도영</v>
      </c>
      <c r="H191" s="31" t="str">
        <f t="shared" si="175"/>
        <v>김도영</v>
      </c>
      <c r="I191" s="31" t="str">
        <f t="shared" si="175"/>
        <v>김도영</v>
      </c>
      <c r="J191" s="31" t="str">
        <f t="shared" si="175"/>
        <v>김도영</v>
      </c>
      <c r="K191" s="31" t="str">
        <f t="shared" si="175"/>
        <v>김도영</v>
      </c>
      <c r="L191" s="31" t="str">
        <f t="shared" si="175"/>
        <v>김도영</v>
      </c>
      <c r="M191" s="31" t="str">
        <f t="shared" si="175"/>
        <v>김도영</v>
      </c>
      <c r="N191" s="1"/>
      <c r="O191" s="1"/>
      <c r="P191" s="1"/>
      <c r="Q191" s="1"/>
      <c r="R191" s="1"/>
      <c r="S191" s="1"/>
      <c r="T191" s="1"/>
      <c r="U191" s="1"/>
    </row>
    <row r="192" spans="1:21" ht="24.75" customHeight="1">
      <c r="A192" s="38" t="s">
        <v>28</v>
      </c>
      <c r="B192" s="38" t="s">
        <v>110</v>
      </c>
      <c r="C192" s="39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1"/>
      <c r="O192" s="1"/>
      <c r="P192" s="1"/>
      <c r="Q192" s="1"/>
      <c r="R192" s="1"/>
      <c r="S192" s="1"/>
      <c r="T192" s="1"/>
      <c r="U192" s="1"/>
    </row>
    <row r="193" spans="1:21" ht="24.75" customHeight="1">
      <c r="A193" s="166" t="s">
        <v>111</v>
      </c>
      <c r="B193" s="166" t="s">
        <v>112</v>
      </c>
      <c r="C193" s="18" t="s">
        <v>15</v>
      </c>
      <c r="D193" s="19" t="s">
        <v>46</v>
      </c>
      <c r="E193" s="19" t="s">
        <v>54</v>
      </c>
      <c r="F193" s="19" t="s">
        <v>54</v>
      </c>
      <c r="G193" s="19" t="s">
        <v>54</v>
      </c>
      <c r="H193" s="19" t="s">
        <v>54</v>
      </c>
      <c r="I193" s="19" t="s">
        <v>54</v>
      </c>
      <c r="J193" s="19" t="s">
        <v>54</v>
      </c>
      <c r="K193" s="19" t="s">
        <v>54</v>
      </c>
      <c r="L193" s="19" t="s">
        <v>54</v>
      </c>
      <c r="M193" s="19" t="s">
        <v>58</v>
      </c>
      <c r="N193" s="1"/>
      <c r="O193" s="1"/>
      <c r="P193" s="1"/>
      <c r="Q193" s="1"/>
      <c r="R193" s="1"/>
      <c r="S193" s="1"/>
      <c r="T193" s="1"/>
      <c r="U193" s="1"/>
    </row>
    <row r="194" spans="1:21" ht="24.75" customHeight="1">
      <c r="A194" s="167"/>
      <c r="B194" s="167"/>
      <c r="C194" s="24" t="s">
        <v>16</v>
      </c>
      <c r="D194" s="25" t="str">
        <f t="shared" ref="D194:M194" si="176">VLOOKUP(D193,$O$5:$P$24,2,FALSE)</f>
        <v>나만의 음성 모델 만들기</v>
      </c>
      <c r="E194" s="25" t="str">
        <f t="shared" si="176"/>
        <v>거대 언어 모델을 활용한 자연어 생성</v>
      </c>
      <c r="F194" s="25" t="str">
        <f t="shared" si="176"/>
        <v>거대 언어 모델을 활용한 자연어 생성</v>
      </c>
      <c r="G194" s="25" t="str">
        <f t="shared" si="176"/>
        <v>거대 언어 모델을 활용한 자연어 생성</v>
      </c>
      <c r="H194" s="25" t="str">
        <f t="shared" si="176"/>
        <v>거대 언어 모델을 활용한 자연어 생성</v>
      </c>
      <c r="I194" s="25" t="str">
        <f t="shared" si="176"/>
        <v>거대 언어 모델을 활용한 자연어 생성</v>
      </c>
      <c r="J194" s="25" t="str">
        <f t="shared" si="176"/>
        <v>거대 언어 모델을 활용한 자연어 생성</v>
      </c>
      <c r="K194" s="25" t="str">
        <f t="shared" si="176"/>
        <v>거대 언어 모델을 활용한 자연어 생성</v>
      </c>
      <c r="L194" s="25" t="str">
        <f t="shared" si="176"/>
        <v>거대 언어 모델을 활용한 자연어 생성</v>
      </c>
      <c r="M194" s="25" t="str">
        <f t="shared" si="176"/>
        <v>프롬프트 엔지니어링</v>
      </c>
      <c r="N194" s="1"/>
      <c r="O194" s="1"/>
      <c r="P194" s="1"/>
      <c r="Q194" s="1"/>
      <c r="R194" s="1"/>
      <c r="S194" s="1"/>
      <c r="T194" s="1"/>
      <c r="U194" s="1"/>
    </row>
    <row r="195" spans="1:21" ht="24.75" customHeight="1">
      <c r="A195" s="167"/>
      <c r="B195" s="167"/>
      <c r="C195" s="28" t="s">
        <v>17</v>
      </c>
      <c r="D195" s="29" t="s">
        <v>154</v>
      </c>
      <c r="E195" s="29" t="s">
        <v>56</v>
      </c>
      <c r="F195" s="29" t="s">
        <v>56</v>
      </c>
      <c r="G195" s="29" t="s">
        <v>56</v>
      </c>
      <c r="H195" s="29" t="s">
        <v>56</v>
      </c>
      <c r="I195" s="29" t="s">
        <v>57</v>
      </c>
      <c r="J195" s="29" t="s">
        <v>57</v>
      </c>
      <c r="K195" s="29" t="s">
        <v>57</v>
      </c>
      <c r="L195" s="29" t="s">
        <v>57</v>
      </c>
      <c r="M195" s="29" t="s">
        <v>60</v>
      </c>
      <c r="N195" s="1"/>
      <c r="O195" s="1"/>
      <c r="P195" s="1"/>
      <c r="Q195" s="1"/>
      <c r="R195" s="1"/>
      <c r="S195" s="1"/>
      <c r="T195" s="1"/>
      <c r="U195" s="1"/>
    </row>
    <row r="196" spans="1:21" ht="24.75" customHeight="1">
      <c r="A196" s="167"/>
      <c r="B196" s="167"/>
      <c r="C196" s="32" t="s">
        <v>105</v>
      </c>
      <c r="D196" s="31" t="str">
        <f t="shared" ref="D196:M196" si="177">VLOOKUP(D193,$O$5:$Q$24,3,0)</f>
        <v>김도영</v>
      </c>
      <c r="E196" s="31" t="str">
        <f t="shared" si="177"/>
        <v>김도영</v>
      </c>
      <c r="F196" s="31" t="str">
        <f t="shared" si="177"/>
        <v>김도영</v>
      </c>
      <c r="G196" s="31" t="str">
        <f t="shared" si="177"/>
        <v>김도영</v>
      </c>
      <c r="H196" s="31" t="str">
        <f t="shared" si="177"/>
        <v>김도영</v>
      </c>
      <c r="I196" s="31" t="str">
        <f t="shared" si="177"/>
        <v>김도영</v>
      </c>
      <c r="J196" s="31" t="str">
        <f t="shared" si="177"/>
        <v>김도영</v>
      </c>
      <c r="K196" s="31" t="str">
        <f t="shared" si="177"/>
        <v>김도영</v>
      </c>
      <c r="L196" s="31" t="str">
        <f t="shared" si="177"/>
        <v>김도영</v>
      </c>
      <c r="M196" s="31" t="str">
        <f t="shared" si="177"/>
        <v>김도영</v>
      </c>
      <c r="N196" s="1"/>
      <c r="O196" s="1"/>
      <c r="P196" s="1"/>
      <c r="Q196" s="1"/>
      <c r="R196" s="1"/>
      <c r="S196" s="1"/>
      <c r="T196" s="1"/>
      <c r="U196" s="1"/>
    </row>
    <row r="197" spans="1:21" ht="24.75" customHeight="1">
      <c r="A197" s="166" t="s">
        <v>113</v>
      </c>
      <c r="B197" s="166" t="s">
        <v>114</v>
      </c>
      <c r="C197" s="18" t="s">
        <v>15</v>
      </c>
      <c r="D197" s="19" t="s">
        <v>54</v>
      </c>
      <c r="E197" s="19" t="s">
        <v>54</v>
      </c>
      <c r="F197" s="19" t="s">
        <v>54</v>
      </c>
      <c r="G197" s="19" t="s">
        <v>54</v>
      </c>
      <c r="H197" s="19" t="s">
        <v>54</v>
      </c>
      <c r="I197" s="19" t="s">
        <v>54</v>
      </c>
      <c r="J197" s="19" t="s">
        <v>54</v>
      </c>
      <c r="K197" s="19" t="s">
        <v>54</v>
      </c>
      <c r="L197" s="19" t="s">
        <v>58</v>
      </c>
      <c r="M197" s="19" t="s">
        <v>58</v>
      </c>
      <c r="N197" s="1"/>
      <c r="O197" s="1"/>
      <c r="P197" s="1"/>
      <c r="Q197" s="1"/>
      <c r="R197" s="1"/>
      <c r="S197" s="1"/>
      <c r="T197" s="1"/>
      <c r="U197" s="1"/>
    </row>
    <row r="198" spans="1:21" ht="24.75" customHeight="1">
      <c r="A198" s="167"/>
      <c r="B198" s="167"/>
      <c r="C198" s="24" t="s">
        <v>16</v>
      </c>
      <c r="D198" s="25" t="str">
        <f t="shared" ref="D198:M198" si="178">VLOOKUP(D197,$O$5:$P$24,2,FALSE)</f>
        <v>거대 언어 모델을 활용한 자연어 생성</v>
      </c>
      <c r="E198" s="25" t="str">
        <f t="shared" si="178"/>
        <v>거대 언어 모델을 활용한 자연어 생성</v>
      </c>
      <c r="F198" s="25" t="str">
        <f t="shared" si="178"/>
        <v>거대 언어 모델을 활용한 자연어 생성</v>
      </c>
      <c r="G198" s="25" t="str">
        <f t="shared" si="178"/>
        <v>거대 언어 모델을 활용한 자연어 생성</v>
      </c>
      <c r="H198" s="25" t="str">
        <f t="shared" si="178"/>
        <v>거대 언어 모델을 활용한 자연어 생성</v>
      </c>
      <c r="I198" s="25" t="str">
        <f t="shared" si="178"/>
        <v>거대 언어 모델을 활용한 자연어 생성</v>
      </c>
      <c r="J198" s="25" t="str">
        <f t="shared" si="178"/>
        <v>거대 언어 모델을 활용한 자연어 생성</v>
      </c>
      <c r="K198" s="25" t="str">
        <f t="shared" si="178"/>
        <v>거대 언어 모델을 활용한 자연어 생성</v>
      </c>
      <c r="L198" s="25" t="str">
        <f t="shared" si="178"/>
        <v>프롬프트 엔지니어링</v>
      </c>
      <c r="M198" s="25" t="str">
        <f t="shared" si="178"/>
        <v>프롬프트 엔지니어링</v>
      </c>
      <c r="N198" s="1"/>
      <c r="O198" s="1"/>
      <c r="P198" s="1"/>
      <c r="Q198" s="1"/>
      <c r="R198" s="1"/>
      <c r="S198" s="1"/>
      <c r="T198" s="1"/>
      <c r="U198" s="1"/>
    </row>
    <row r="199" spans="1:21" ht="24.75" customHeight="1">
      <c r="A199" s="167"/>
      <c r="B199" s="167"/>
      <c r="C199" s="28" t="s">
        <v>17</v>
      </c>
      <c r="D199" s="29" t="s">
        <v>56</v>
      </c>
      <c r="E199" s="29" t="s">
        <v>56</v>
      </c>
      <c r="F199" s="29" t="s">
        <v>56</v>
      </c>
      <c r="G199" s="29" t="s">
        <v>56</v>
      </c>
      <c r="H199" s="29" t="s">
        <v>57</v>
      </c>
      <c r="I199" s="29" t="s">
        <v>57</v>
      </c>
      <c r="J199" s="29" t="s">
        <v>57</v>
      </c>
      <c r="K199" s="29" t="s">
        <v>57</v>
      </c>
      <c r="L199" s="29" t="s">
        <v>60</v>
      </c>
      <c r="M199" s="29" t="s">
        <v>60</v>
      </c>
      <c r="N199" s="1"/>
      <c r="O199" s="1"/>
      <c r="P199" s="1"/>
      <c r="Q199" s="1"/>
      <c r="R199" s="1"/>
      <c r="S199" s="1"/>
      <c r="T199" s="1"/>
      <c r="U199" s="1"/>
    </row>
    <row r="200" spans="1:21" ht="24.75" customHeight="1">
      <c r="A200" s="167"/>
      <c r="B200" s="167"/>
      <c r="C200" s="32" t="s">
        <v>105</v>
      </c>
      <c r="D200" s="31" t="str">
        <f t="shared" ref="D200:M200" si="179">VLOOKUP(D197,$O$5:$Q$24,3,0)</f>
        <v>김도영</v>
      </c>
      <c r="E200" s="31" t="str">
        <f t="shared" si="179"/>
        <v>김도영</v>
      </c>
      <c r="F200" s="31" t="str">
        <f t="shared" si="179"/>
        <v>김도영</v>
      </c>
      <c r="G200" s="31" t="str">
        <f t="shared" si="179"/>
        <v>김도영</v>
      </c>
      <c r="H200" s="31" t="str">
        <f t="shared" si="179"/>
        <v>김도영</v>
      </c>
      <c r="I200" s="31" t="str">
        <f t="shared" si="179"/>
        <v>김도영</v>
      </c>
      <c r="J200" s="31" t="str">
        <f t="shared" si="179"/>
        <v>김도영</v>
      </c>
      <c r="K200" s="31" t="str">
        <f t="shared" si="179"/>
        <v>김도영</v>
      </c>
      <c r="L200" s="31" t="str">
        <f t="shared" si="179"/>
        <v>김도영</v>
      </c>
      <c r="M200" s="31" t="str">
        <f t="shared" si="179"/>
        <v>김도영</v>
      </c>
      <c r="N200" s="1"/>
      <c r="O200" s="1"/>
      <c r="P200" s="1"/>
      <c r="Q200" s="1"/>
      <c r="R200" s="1"/>
      <c r="S200" s="1"/>
      <c r="T200" s="1"/>
      <c r="U200" s="1"/>
    </row>
    <row r="201" spans="1:21" ht="24.75" customHeight="1">
      <c r="A201" s="166" t="s">
        <v>115</v>
      </c>
      <c r="B201" s="166" t="s">
        <v>116</v>
      </c>
      <c r="C201" s="18" t="s">
        <v>15</v>
      </c>
      <c r="D201" s="19" t="s">
        <v>54</v>
      </c>
      <c r="E201" s="19" t="s">
        <v>54</v>
      </c>
      <c r="F201" s="19" t="s">
        <v>54</v>
      </c>
      <c r="G201" s="19" t="s">
        <v>54</v>
      </c>
      <c r="H201" s="19" t="s">
        <v>54</v>
      </c>
      <c r="I201" s="19" t="s">
        <v>54</v>
      </c>
      <c r="J201" s="19" t="s">
        <v>54</v>
      </c>
      <c r="K201" s="19" t="s">
        <v>54</v>
      </c>
      <c r="L201" s="19" t="s">
        <v>58</v>
      </c>
      <c r="M201" s="19" t="s">
        <v>58</v>
      </c>
      <c r="N201" s="1"/>
      <c r="O201" s="1"/>
      <c r="P201" s="1"/>
      <c r="Q201" s="1"/>
      <c r="R201" s="1"/>
      <c r="S201" s="1"/>
      <c r="T201" s="1"/>
      <c r="U201" s="1"/>
    </row>
    <row r="202" spans="1:21" ht="24.75" customHeight="1">
      <c r="A202" s="167"/>
      <c r="B202" s="167"/>
      <c r="C202" s="24" t="s">
        <v>16</v>
      </c>
      <c r="D202" s="25" t="str">
        <f t="shared" ref="D202:M202" si="180">VLOOKUP(D201,$O$5:$P$24,2,FALSE)</f>
        <v>거대 언어 모델을 활용한 자연어 생성</v>
      </c>
      <c r="E202" s="25" t="str">
        <f t="shared" si="180"/>
        <v>거대 언어 모델을 활용한 자연어 생성</v>
      </c>
      <c r="F202" s="25" t="str">
        <f t="shared" si="180"/>
        <v>거대 언어 모델을 활용한 자연어 생성</v>
      </c>
      <c r="G202" s="25" t="str">
        <f t="shared" si="180"/>
        <v>거대 언어 모델을 활용한 자연어 생성</v>
      </c>
      <c r="H202" s="25" t="str">
        <f t="shared" si="180"/>
        <v>거대 언어 모델을 활용한 자연어 생성</v>
      </c>
      <c r="I202" s="25" t="str">
        <f t="shared" si="180"/>
        <v>거대 언어 모델을 활용한 자연어 생성</v>
      </c>
      <c r="J202" s="25" t="str">
        <f t="shared" si="180"/>
        <v>거대 언어 모델을 활용한 자연어 생성</v>
      </c>
      <c r="K202" s="25" t="str">
        <f t="shared" si="180"/>
        <v>거대 언어 모델을 활용한 자연어 생성</v>
      </c>
      <c r="L202" s="25" t="str">
        <f t="shared" si="180"/>
        <v>프롬프트 엔지니어링</v>
      </c>
      <c r="M202" s="25" t="str">
        <f t="shared" si="180"/>
        <v>프롬프트 엔지니어링</v>
      </c>
      <c r="N202" s="1"/>
      <c r="O202" s="1"/>
      <c r="P202" s="1"/>
      <c r="Q202" s="1"/>
      <c r="R202" s="1"/>
      <c r="S202" s="1"/>
      <c r="T202" s="1"/>
      <c r="U202" s="1"/>
    </row>
    <row r="203" spans="1:21" ht="24.75" customHeight="1">
      <c r="A203" s="167"/>
      <c r="B203" s="167"/>
      <c r="C203" s="28" t="s">
        <v>17</v>
      </c>
      <c r="D203" s="29" t="s">
        <v>56</v>
      </c>
      <c r="E203" s="29" t="s">
        <v>56</v>
      </c>
      <c r="F203" s="29" t="s">
        <v>56</v>
      </c>
      <c r="G203" s="29" t="s">
        <v>56</v>
      </c>
      <c r="H203" s="29" t="s">
        <v>57</v>
      </c>
      <c r="I203" s="29" t="s">
        <v>57</v>
      </c>
      <c r="J203" s="29" t="s">
        <v>57</v>
      </c>
      <c r="K203" s="29" t="s">
        <v>57</v>
      </c>
      <c r="L203" s="29" t="s">
        <v>60</v>
      </c>
      <c r="M203" s="29" t="s">
        <v>60</v>
      </c>
      <c r="N203" s="1"/>
      <c r="O203" s="1"/>
      <c r="P203" s="1"/>
      <c r="Q203" s="1"/>
      <c r="R203" s="1"/>
      <c r="S203" s="1"/>
      <c r="T203" s="1"/>
      <c r="U203" s="1"/>
    </row>
    <row r="204" spans="1:21" ht="24.75" customHeight="1">
      <c r="A204" s="167"/>
      <c r="B204" s="167"/>
      <c r="C204" s="32" t="s">
        <v>105</v>
      </c>
      <c r="D204" s="31" t="str">
        <f t="shared" ref="D204:M204" si="181">VLOOKUP(D201,$O$5:$Q$24,3,0)</f>
        <v>김도영</v>
      </c>
      <c r="E204" s="31" t="str">
        <f t="shared" si="181"/>
        <v>김도영</v>
      </c>
      <c r="F204" s="31" t="str">
        <f t="shared" si="181"/>
        <v>김도영</v>
      </c>
      <c r="G204" s="31" t="str">
        <f t="shared" si="181"/>
        <v>김도영</v>
      </c>
      <c r="H204" s="31" t="str">
        <f t="shared" si="181"/>
        <v>김도영</v>
      </c>
      <c r="I204" s="31" t="str">
        <f t="shared" si="181"/>
        <v>김도영</v>
      </c>
      <c r="J204" s="31" t="str">
        <f t="shared" si="181"/>
        <v>김도영</v>
      </c>
      <c r="K204" s="31" t="str">
        <f t="shared" si="181"/>
        <v>김도영</v>
      </c>
      <c r="L204" s="31" t="str">
        <f t="shared" si="181"/>
        <v>김도영</v>
      </c>
      <c r="M204" s="31" t="str">
        <f t="shared" si="181"/>
        <v>김도영</v>
      </c>
      <c r="N204" s="1"/>
      <c r="O204" s="1"/>
      <c r="P204" s="1"/>
      <c r="Q204" s="1"/>
      <c r="R204" s="1"/>
      <c r="S204" s="1"/>
      <c r="T204" s="1"/>
      <c r="U204" s="1"/>
    </row>
    <row r="205" spans="1:21" ht="24.75" customHeight="1">
      <c r="A205" s="166" t="s">
        <v>117</v>
      </c>
      <c r="B205" s="166" t="s">
        <v>118</v>
      </c>
      <c r="C205" s="18" t="s">
        <v>15</v>
      </c>
      <c r="D205" s="19" t="s">
        <v>54</v>
      </c>
      <c r="E205" s="19" t="s">
        <v>54</v>
      </c>
      <c r="F205" s="19" t="s">
        <v>54</v>
      </c>
      <c r="G205" s="19" t="s">
        <v>54</v>
      </c>
      <c r="H205" s="19" t="s">
        <v>54</v>
      </c>
      <c r="I205" s="19" t="s">
        <v>54</v>
      </c>
      <c r="J205" s="19" t="s">
        <v>54</v>
      </c>
      <c r="K205" s="19" t="s">
        <v>54</v>
      </c>
      <c r="L205" s="19" t="s">
        <v>58</v>
      </c>
      <c r="M205" s="19" t="s">
        <v>58</v>
      </c>
      <c r="N205" s="1"/>
      <c r="O205" s="1"/>
      <c r="P205" s="1"/>
      <c r="Q205" s="1"/>
      <c r="R205" s="1"/>
      <c r="S205" s="1"/>
      <c r="T205" s="1"/>
      <c r="U205" s="1"/>
    </row>
    <row r="206" spans="1:21" ht="24.75" customHeight="1">
      <c r="A206" s="167"/>
      <c r="B206" s="167"/>
      <c r="C206" s="24" t="s">
        <v>16</v>
      </c>
      <c r="D206" s="25" t="str">
        <f t="shared" ref="D206:M206" si="182">VLOOKUP(D205,$O$5:$P$24,2,FALSE)</f>
        <v>거대 언어 모델을 활용한 자연어 생성</v>
      </c>
      <c r="E206" s="25" t="str">
        <f t="shared" si="182"/>
        <v>거대 언어 모델을 활용한 자연어 생성</v>
      </c>
      <c r="F206" s="25" t="str">
        <f t="shared" si="182"/>
        <v>거대 언어 모델을 활용한 자연어 생성</v>
      </c>
      <c r="G206" s="25" t="str">
        <f t="shared" si="182"/>
        <v>거대 언어 모델을 활용한 자연어 생성</v>
      </c>
      <c r="H206" s="25" t="str">
        <f t="shared" si="182"/>
        <v>거대 언어 모델을 활용한 자연어 생성</v>
      </c>
      <c r="I206" s="25" t="str">
        <f t="shared" si="182"/>
        <v>거대 언어 모델을 활용한 자연어 생성</v>
      </c>
      <c r="J206" s="25" t="str">
        <f t="shared" si="182"/>
        <v>거대 언어 모델을 활용한 자연어 생성</v>
      </c>
      <c r="K206" s="25" t="str">
        <f t="shared" si="182"/>
        <v>거대 언어 모델을 활용한 자연어 생성</v>
      </c>
      <c r="L206" s="25" t="str">
        <f t="shared" si="182"/>
        <v>프롬프트 엔지니어링</v>
      </c>
      <c r="M206" s="25" t="str">
        <f t="shared" si="182"/>
        <v>프롬프트 엔지니어링</v>
      </c>
      <c r="N206" s="1"/>
      <c r="O206" s="1"/>
      <c r="P206" s="1"/>
      <c r="Q206" s="1"/>
      <c r="R206" s="1"/>
      <c r="S206" s="1"/>
      <c r="T206" s="1"/>
      <c r="U206" s="1"/>
    </row>
    <row r="207" spans="1:21" ht="24.75" customHeight="1">
      <c r="A207" s="167"/>
      <c r="B207" s="167"/>
      <c r="C207" s="28" t="s">
        <v>17</v>
      </c>
      <c r="D207" s="29" t="s">
        <v>56</v>
      </c>
      <c r="E207" s="29" t="s">
        <v>56</v>
      </c>
      <c r="F207" s="29" t="s">
        <v>56</v>
      </c>
      <c r="G207" s="29" t="s">
        <v>56</v>
      </c>
      <c r="H207" s="29" t="s">
        <v>57</v>
      </c>
      <c r="I207" s="29" t="s">
        <v>57</v>
      </c>
      <c r="J207" s="29" t="s">
        <v>57</v>
      </c>
      <c r="K207" s="29" t="s">
        <v>57</v>
      </c>
      <c r="L207" s="29" t="s">
        <v>60</v>
      </c>
      <c r="M207" s="29" t="s">
        <v>60</v>
      </c>
      <c r="N207" s="1"/>
      <c r="O207" s="1"/>
      <c r="P207" s="1"/>
      <c r="Q207" s="1"/>
      <c r="R207" s="1"/>
      <c r="S207" s="1"/>
      <c r="T207" s="1"/>
      <c r="U207" s="1"/>
    </row>
    <row r="208" spans="1:21" ht="24.75" customHeight="1">
      <c r="A208" s="167"/>
      <c r="B208" s="167"/>
      <c r="C208" s="32" t="s">
        <v>105</v>
      </c>
      <c r="D208" s="31" t="str">
        <f t="shared" ref="D208:M208" si="183">VLOOKUP(D205,$O$5:$Q$24,3,0)</f>
        <v>김도영</v>
      </c>
      <c r="E208" s="31" t="str">
        <f t="shared" si="183"/>
        <v>김도영</v>
      </c>
      <c r="F208" s="31" t="str">
        <f t="shared" si="183"/>
        <v>김도영</v>
      </c>
      <c r="G208" s="31" t="str">
        <f t="shared" si="183"/>
        <v>김도영</v>
      </c>
      <c r="H208" s="31" t="str">
        <f t="shared" si="183"/>
        <v>김도영</v>
      </c>
      <c r="I208" s="31" t="str">
        <f t="shared" si="183"/>
        <v>김도영</v>
      </c>
      <c r="J208" s="31" t="str">
        <f t="shared" si="183"/>
        <v>김도영</v>
      </c>
      <c r="K208" s="31" t="str">
        <f t="shared" si="183"/>
        <v>김도영</v>
      </c>
      <c r="L208" s="31" t="str">
        <f t="shared" si="183"/>
        <v>김도영</v>
      </c>
      <c r="M208" s="31" t="str">
        <f t="shared" si="183"/>
        <v>김도영</v>
      </c>
      <c r="N208" s="1"/>
      <c r="O208" s="1"/>
      <c r="P208" s="1"/>
      <c r="Q208" s="1"/>
      <c r="R208" s="1"/>
      <c r="S208" s="1"/>
      <c r="T208" s="1"/>
      <c r="U208" s="1"/>
    </row>
    <row r="209" spans="1:21" ht="24.75" customHeight="1">
      <c r="A209" s="166" t="s">
        <v>119</v>
      </c>
      <c r="B209" s="166" t="s">
        <v>120</v>
      </c>
      <c r="C209" s="18" t="s">
        <v>15</v>
      </c>
      <c r="D209" s="19" t="s">
        <v>54</v>
      </c>
      <c r="E209" s="19" t="s">
        <v>54</v>
      </c>
      <c r="F209" s="19" t="s">
        <v>54</v>
      </c>
      <c r="G209" s="19" t="s">
        <v>54</v>
      </c>
      <c r="H209" s="19" t="s">
        <v>54</v>
      </c>
      <c r="I209" s="19" t="s">
        <v>54</v>
      </c>
      <c r="J209" s="19" t="s">
        <v>54</v>
      </c>
      <c r="K209" s="19" t="s">
        <v>54</v>
      </c>
      <c r="L209" s="19" t="s">
        <v>58</v>
      </c>
      <c r="M209" s="19" t="s">
        <v>58</v>
      </c>
      <c r="N209" s="1"/>
      <c r="O209" s="1"/>
      <c r="P209" s="1"/>
      <c r="Q209" s="1"/>
      <c r="R209" s="1"/>
      <c r="S209" s="1"/>
      <c r="T209" s="1"/>
      <c r="U209" s="1"/>
    </row>
    <row r="210" spans="1:21" ht="24.75" customHeight="1">
      <c r="A210" s="167"/>
      <c r="B210" s="167"/>
      <c r="C210" s="24" t="s">
        <v>16</v>
      </c>
      <c r="D210" s="25" t="str">
        <f t="shared" ref="D210:M210" si="184">VLOOKUP(D209,$O$5:$P$24,2,FALSE)</f>
        <v>거대 언어 모델을 활용한 자연어 생성</v>
      </c>
      <c r="E210" s="25" t="str">
        <f t="shared" si="184"/>
        <v>거대 언어 모델을 활용한 자연어 생성</v>
      </c>
      <c r="F210" s="25" t="str">
        <f t="shared" si="184"/>
        <v>거대 언어 모델을 활용한 자연어 생성</v>
      </c>
      <c r="G210" s="25" t="str">
        <f t="shared" si="184"/>
        <v>거대 언어 모델을 활용한 자연어 생성</v>
      </c>
      <c r="H210" s="25" t="str">
        <f t="shared" si="184"/>
        <v>거대 언어 모델을 활용한 자연어 생성</v>
      </c>
      <c r="I210" s="25" t="str">
        <f t="shared" si="184"/>
        <v>거대 언어 모델을 활용한 자연어 생성</v>
      </c>
      <c r="J210" s="25" t="str">
        <f t="shared" si="184"/>
        <v>거대 언어 모델을 활용한 자연어 생성</v>
      </c>
      <c r="K210" s="25" t="str">
        <f t="shared" si="184"/>
        <v>거대 언어 모델을 활용한 자연어 생성</v>
      </c>
      <c r="L210" s="25" t="str">
        <f t="shared" si="184"/>
        <v>프롬프트 엔지니어링</v>
      </c>
      <c r="M210" s="25" t="str">
        <f t="shared" si="184"/>
        <v>프롬프트 엔지니어링</v>
      </c>
      <c r="N210" s="1"/>
      <c r="O210" s="1"/>
      <c r="P210" s="1"/>
      <c r="Q210" s="1"/>
      <c r="R210" s="1"/>
      <c r="S210" s="1"/>
      <c r="T210" s="1"/>
      <c r="U210" s="1"/>
    </row>
    <row r="211" spans="1:21" ht="24.75" customHeight="1">
      <c r="A211" s="167"/>
      <c r="B211" s="167"/>
      <c r="C211" s="28" t="s">
        <v>17</v>
      </c>
      <c r="D211" s="29" t="s">
        <v>56</v>
      </c>
      <c r="E211" s="29" t="s">
        <v>56</v>
      </c>
      <c r="F211" s="29" t="s">
        <v>56</v>
      </c>
      <c r="G211" s="29" t="s">
        <v>56</v>
      </c>
      <c r="H211" s="29" t="s">
        <v>57</v>
      </c>
      <c r="I211" s="29" t="s">
        <v>57</v>
      </c>
      <c r="J211" s="29" t="s">
        <v>57</v>
      </c>
      <c r="K211" s="29" t="s">
        <v>57</v>
      </c>
      <c r="L211" s="29" t="s">
        <v>60</v>
      </c>
      <c r="M211" s="29" t="s">
        <v>60</v>
      </c>
      <c r="N211" s="1"/>
      <c r="O211" s="1"/>
      <c r="P211" s="1"/>
      <c r="Q211" s="1"/>
      <c r="R211" s="1"/>
      <c r="S211" s="1"/>
      <c r="T211" s="1"/>
      <c r="U211" s="1"/>
    </row>
    <row r="212" spans="1:21" ht="24.75" customHeight="1">
      <c r="A212" s="159"/>
      <c r="B212" s="159"/>
      <c r="C212" s="32" t="s">
        <v>105</v>
      </c>
      <c r="D212" s="31" t="str">
        <f t="shared" ref="D212:M212" si="185">VLOOKUP(D209,$O$5:$Q$24,3,0)</f>
        <v>김도영</v>
      </c>
      <c r="E212" s="31" t="str">
        <f t="shared" si="185"/>
        <v>김도영</v>
      </c>
      <c r="F212" s="31" t="str">
        <f t="shared" si="185"/>
        <v>김도영</v>
      </c>
      <c r="G212" s="31" t="str">
        <f t="shared" si="185"/>
        <v>김도영</v>
      </c>
      <c r="H212" s="31" t="str">
        <f t="shared" si="185"/>
        <v>김도영</v>
      </c>
      <c r="I212" s="31" t="str">
        <f t="shared" si="185"/>
        <v>김도영</v>
      </c>
      <c r="J212" s="31" t="str">
        <f t="shared" si="185"/>
        <v>김도영</v>
      </c>
      <c r="K212" s="31" t="str">
        <f t="shared" si="185"/>
        <v>김도영</v>
      </c>
      <c r="L212" s="31" t="str">
        <f t="shared" si="185"/>
        <v>김도영</v>
      </c>
      <c r="M212" s="31" t="str">
        <f t="shared" si="185"/>
        <v>김도영</v>
      </c>
      <c r="N212" s="1"/>
      <c r="O212" s="1"/>
      <c r="P212" s="1"/>
      <c r="Q212" s="1"/>
      <c r="R212" s="1"/>
      <c r="S212" s="1"/>
      <c r="T212" s="1"/>
      <c r="U212" s="1"/>
    </row>
    <row r="213" spans="1:21" ht="24.75" customHeight="1">
      <c r="A213" s="164" t="s">
        <v>94</v>
      </c>
      <c r="B213" s="164" t="s">
        <v>95</v>
      </c>
      <c r="C213" s="164" t="s">
        <v>96</v>
      </c>
      <c r="D213" s="165">
        <f>I178+1</f>
        <v>13</v>
      </c>
      <c r="E213" s="156"/>
      <c r="F213" s="156"/>
      <c r="G213" s="156"/>
      <c r="H213" s="154"/>
      <c r="I213" s="165">
        <f>D213+1</f>
        <v>14</v>
      </c>
      <c r="J213" s="156"/>
      <c r="K213" s="156"/>
      <c r="L213" s="156"/>
      <c r="M213" s="154"/>
      <c r="N213" s="1"/>
      <c r="O213" s="1"/>
      <c r="P213" s="1"/>
      <c r="Q213" s="1"/>
      <c r="R213" s="1"/>
      <c r="S213" s="1"/>
      <c r="T213" s="1"/>
      <c r="U213" s="1"/>
    </row>
    <row r="214" spans="1:21" ht="24.75" customHeight="1">
      <c r="A214" s="159"/>
      <c r="B214" s="159"/>
      <c r="C214" s="159"/>
      <c r="D214" s="14">
        <f>M179+3</f>
        <v>46195</v>
      </c>
      <c r="E214" s="14">
        <f t="shared" ref="E214:H214" si="186">D214+1</f>
        <v>46196</v>
      </c>
      <c r="F214" s="14">
        <f t="shared" si="186"/>
        <v>46197</v>
      </c>
      <c r="G214" s="14">
        <f t="shared" si="186"/>
        <v>46198</v>
      </c>
      <c r="H214" s="14">
        <f t="shared" si="186"/>
        <v>46199</v>
      </c>
      <c r="I214" s="14">
        <f>H214+3</f>
        <v>46202</v>
      </c>
      <c r="J214" s="14">
        <f t="shared" ref="J214:M214" si="187">I214+1</f>
        <v>46203</v>
      </c>
      <c r="K214" s="14">
        <f t="shared" si="187"/>
        <v>46204</v>
      </c>
      <c r="L214" s="14">
        <f t="shared" si="187"/>
        <v>46205</v>
      </c>
      <c r="M214" s="14">
        <f t="shared" si="187"/>
        <v>46206</v>
      </c>
      <c r="N214" s="1"/>
      <c r="O214" s="1"/>
      <c r="P214" s="1"/>
      <c r="Q214" s="1"/>
      <c r="R214" s="1"/>
      <c r="S214" s="1"/>
      <c r="T214" s="1"/>
      <c r="U214" s="1"/>
    </row>
    <row r="215" spans="1:21" ht="24.75" customHeight="1">
      <c r="A215" s="166" t="s">
        <v>103</v>
      </c>
      <c r="B215" s="166" t="s">
        <v>104</v>
      </c>
      <c r="C215" s="18" t="s">
        <v>15</v>
      </c>
      <c r="D215" s="19"/>
      <c r="E215" s="19" t="s">
        <v>58</v>
      </c>
      <c r="F215" s="19" t="s">
        <v>58</v>
      </c>
      <c r="G215" s="19" t="s">
        <v>58</v>
      </c>
      <c r="H215" s="19" t="s">
        <v>58</v>
      </c>
      <c r="I215" s="19" t="s">
        <v>71</v>
      </c>
      <c r="J215" s="19" t="s">
        <v>71</v>
      </c>
      <c r="K215" s="19"/>
      <c r="L215" s="19" t="s">
        <v>71</v>
      </c>
      <c r="M215" s="19" t="s">
        <v>71</v>
      </c>
      <c r="N215" s="1"/>
      <c r="O215" s="1"/>
      <c r="P215" s="1"/>
      <c r="Q215" s="1"/>
      <c r="R215" s="1"/>
      <c r="S215" s="1"/>
      <c r="T215" s="1"/>
      <c r="U215" s="1"/>
    </row>
    <row r="216" spans="1:21" ht="24.75" customHeight="1">
      <c r="A216" s="167"/>
      <c r="B216" s="167"/>
      <c r="C216" s="24" t="s">
        <v>16</v>
      </c>
      <c r="D216" s="25" t="e">
        <f t="shared" ref="D216:M216" si="188">VLOOKUP(D215,$O$5:$P$24,2,FALSE)</f>
        <v>#N/A</v>
      </c>
      <c r="E216" s="25" t="str">
        <f t="shared" si="188"/>
        <v>프롬프트 엔지니어링</v>
      </c>
      <c r="F216" s="25" t="str">
        <f t="shared" si="188"/>
        <v>프롬프트 엔지니어링</v>
      </c>
      <c r="G216" s="25" t="str">
        <f t="shared" si="188"/>
        <v>프롬프트 엔지니어링</v>
      </c>
      <c r="H216" s="25" t="str">
        <f t="shared" si="188"/>
        <v>프롬프트 엔지니어링</v>
      </c>
      <c r="I216" s="25" t="str">
        <f t="shared" si="188"/>
        <v>거대 언어 모델을 활용한 PERSO AI 답변 기능 구현하기</v>
      </c>
      <c r="J216" s="25" t="str">
        <f t="shared" si="188"/>
        <v>거대 언어 모델을 활용한 PERSO AI 답변 기능 구현하기</v>
      </c>
      <c r="K216" s="25" t="e">
        <f t="shared" si="188"/>
        <v>#N/A</v>
      </c>
      <c r="L216" s="25" t="str">
        <f t="shared" si="188"/>
        <v>거대 언어 모델을 활용한 PERSO AI 답변 기능 구현하기</v>
      </c>
      <c r="M216" s="25" t="str">
        <f t="shared" si="188"/>
        <v>거대 언어 모델을 활용한 PERSO AI 답변 기능 구현하기</v>
      </c>
      <c r="N216" s="1"/>
      <c r="O216" s="1"/>
      <c r="P216" s="1"/>
      <c r="Q216" s="1"/>
      <c r="R216" s="1"/>
      <c r="S216" s="1"/>
      <c r="T216" s="1"/>
      <c r="U216" s="1"/>
    </row>
    <row r="217" spans="1:21" ht="24.75" customHeight="1">
      <c r="A217" s="167"/>
      <c r="B217" s="167"/>
      <c r="C217" s="28" t="s">
        <v>17</v>
      </c>
      <c r="D217" s="29"/>
      <c r="E217" s="29" t="s">
        <v>60</v>
      </c>
      <c r="F217" s="29" t="s">
        <v>60</v>
      </c>
      <c r="G217" s="29" t="s">
        <v>60</v>
      </c>
      <c r="H217" s="29" t="s">
        <v>60</v>
      </c>
      <c r="I217" s="29" t="s">
        <v>155</v>
      </c>
      <c r="J217" s="29" t="s">
        <v>155</v>
      </c>
      <c r="K217" s="29"/>
      <c r="L217" s="29" t="s">
        <v>155</v>
      </c>
      <c r="M217" s="29" t="s">
        <v>156</v>
      </c>
      <c r="N217" s="1"/>
      <c r="O217" s="1"/>
      <c r="P217" s="1"/>
      <c r="Q217" s="1"/>
      <c r="R217" s="1"/>
      <c r="S217" s="1"/>
      <c r="T217" s="1"/>
      <c r="U217" s="1"/>
    </row>
    <row r="218" spans="1:21" ht="24.75" customHeight="1">
      <c r="A218" s="167"/>
      <c r="B218" s="167"/>
      <c r="C218" s="30" t="s">
        <v>105</v>
      </c>
      <c r="D218" s="31" t="e">
        <f t="shared" ref="D218:M218" si="189">VLOOKUP(D215,$O$5:$Q$24,3,0)</f>
        <v>#N/A</v>
      </c>
      <c r="E218" s="31" t="str">
        <f t="shared" si="189"/>
        <v>김도영</v>
      </c>
      <c r="F218" s="31" t="str">
        <f t="shared" si="189"/>
        <v>김도영</v>
      </c>
      <c r="G218" s="31" t="str">
        <f t="shared" si="189"/>
        <v>김도영</v>
      </c>
      <c r="H218" s="31" t="str">
        <f t="shared" si="189"/>
        <v>김도영</v>
      </c>
      <c r="I218" s="31" t="str">
        <f t="shared" si="189"/>
        <v>김도영</v>
      </c>
      <c r="J218" s="31" t="str">
        <f t="shared" si="189"/>
        <v>김도영</v>
      </c>
      <c r="K218" s="31" t="e">
        <f t="shared" si="189"/>
        <v>#N/A</v>
      </c>
      <c r="L218" s="31" t="str">
        <f t="shared" si="189"/>
        <v>김도영</v>
      </c>
      <c r="M218" s="31" t="str">
        <f t="shared" si="189"/>
        <v>김도영</v>
      </c>
      <c r="N218" s="1"/>
      <c r="O218" s="1"/>
      <c r="P218" s="1"/>
      <c r="Q218" s="1"/>
      <c r="R218" s="1"/>
      <c r="S218" s="1"/>
      <c r="T218" s="1"/>
      <c r="U218" s="1"/>
    </row>
    <row r="219" spans="1:21" ht="24.75" customHeight="1">
      <c r="A219" s="166" t="s">
        <v>106</v>
      </c>
      <c r="B219" s="166" t="s">
        <v>107</v>
      </c>
      <c r="C219" s="18" t="s">
        <v>15</v>
      </c>
      <c r="D219" s="19"/>
      <c r="E219" s="19" t="s">
        <v>58</v>
      </c>
      <c r="F219" s="19" t="s">
        <v>58</v>
      </c>
      <c r="G219" s="19" t="s">
        <v>58</v>
      </c>
      <c r="H219" s="19" t="s">
        <v>58</v>
      </c>
      <c r="I219" s="19" t="s">
        <v>71</v>
      </c>
      <c r="J219" s="19" t="s">
        <v>71</v>
      </c>
      <c r="K219" s="19"/>
      <c r="L219" s="19" t="s">
        <v>71</v>
      </c>
      <c r="M219" s="19" t="s">
        <v>71</v>
      </c>
      <c r="N219" s="1"/>
      <c r="O219" s="1"/>
      <c r="P219" s="1"/>
      <c r="Q219" s="1"/>
      <c r="R219" s="1"/>
      <c r="S219" s="1"/>
      <c r="T219" s="1"/>
      <c r="U219" s="1"/>
    </row>
    <row r="220" spans="1:21" ht="24.75" customHeight="1">
      <c r="A220" s="167"/>
      <c r="B220" s="167"/>
      <c r="C220" s="24" t="s">
        <v>16</v>
      </c>
      <c r="D220" s="25" t="e">
        <f t="shared" ref="D220:M220" si="190">VLOOKUP(D219,$O$5:$P$24,2,FALSE)</f>
        <v>#N/A</v>
      </c>
      <c r="E220" s="25" t="str">
        <f t="shared" si="190"/>
        <v>프롬프트 엔지니어링</v>
      </c>
      <c r="F220" s="25" t="str">
        <f t="shared" si="190"/>
        <v>프롬프트 엔지니어링</v>
      </c>
      <c r="G220" s="25" t="str">
        <f t="shared" si="190"/>
        <v>프롬프트 엔지니어링</v>
      </c>
      <c r="H220" s="25" t="str">
        <f t="shared" si="190"/>
        <v>프롬프트 엔지니어링</v>
      </c>
      <c r="I220" s="25" t="str">
        <f t="shared" si="190"/>
        <v>거대 언어 모델을 활용한 PERSO AI 답변 기능 구현하기</v>
      </c>
      <c r="J220" s="25" t="str">
        <f t="shared" si="190"/>
        <v>거대 언어 모델을 활용한 PERSO AI 답변 기능 구현하기</v>
      </c>
      <c r="K220" s="25" t="e">
        <f t="shared" si="190"/>
        <v>#N/A</v>
      </c>
      <c r="L220" s="25" t="str">
        <f t="shared" si="190"/>
        <v>거대 언어 모델을 활용한 PERSO AI 답변 기능 구현하기</v>
      </c>
      <c r="M220" s="25" t="str">
        <f t="shared" si="190"/>
        <v>거대 언어 모델을 활용한 PERSO AI 답변 기능 구현하기</v>
      </c>
      <c r="N220" s="1"/>
      <c r="O220" s="1"/>
      <c r="P220" s="1"/>
      <c r="Q220" s="1"/>
      <c r="R220" s="1"/>
      <c r="S220" s="1"/>
      <c r="T220" s="1"/>
      <c r="U220" s="1"/>
    </row>
    <row r="221" spans="1:21" ht="24.75" customHeight="1">
      <c r="A221" s="167"/>
      <c r="B221" s="167"/>
      <c r="C221" s="28" t="s">
        <v>17</v>
      </c>
      <c r="D221" s="29"/>
      <c r="E221" s="29" t="s">
        <v>60</v>
      </c>
      <c r="F221" s="29" t="s">
        <v>60</v>
      </c>
      <c r="G221" s="29" t="s">
        <v>60</v>
      </c>
      <c r="H221" s="29" t="s">
        <v>60</v>
      </c>
      <c r="I221" s="29" t="s">
        <v>155</v>
      </c>
      <c r="J221" s="29" t="s">
        <v>155</v>
      </c>
      <c r="K221" s="29"/>
      <c r="L221" s="29" t="s">
        <v>155</v>
      </c>
      <c r="M221" s="29" t="s">
        <v>156</v>
      </c>
      <c r="N221" s="1"/>
      <c r="O221" s="1"/>
      <c r="P221" s="1"/>
      <c r="Q221" s="1"/>
      <c r="R221" s="1"/>
      <c r="S221" s="1"/>
      <c r="T221" s="1"/>
      <c r="U221" s="1"/>
    </row>
    <row r="222" spans="1:21" ht="24.75" customHeight="1">
      <c r="A222" s="167"/>
      <c r="B222" s="167"/>
      <c r="C222" s="32" t="s">
        <v>105</v>
      </c>
      <c r="D222" s="31" t="e">
        <f t="shared" ref="D222:M222" si="191">VLOOKUP(D219,$O$5:$Q$24,3,0)</f>
        <v>#N/A</v>
      </c>
      <c r="E222" s="31" t="str">
        <f t="shared" si="191"/>
        <v>김도영</v>
      </c>
      <c r="F222" s="31" t="str">
        <f t="shared" si="191"/>
        <v>김도영</v>
      </c>
      <c r="G222" s="31" t="str">
        <f t="shared" si="191"/>
        <v>김도영</v>
      </c>
      <c r="H222" s="31" t="str">
        <f t="shared" si="191"/>
        <v>김도영</v>
      </c>
      <c r="I222" s="31" t="str">
        <f t="shared" si="191"/>
        <v>김도영</v>
      </c>
      <c r="J222" s="31" t="str">
        <f t="shared" si="191"/>
        <v>김도영</v>
      </c>
      <c r="K222" s="31" t="e">
        <f t="shared" si="191"/>
        <v>#N/A</v>
      </c>
      <c r="L222" s="31" t="str">
        <f t="shared" si="191"/>
        <v>김도영</v>
      </c>
      <c r="M222" s="31" t="str">
        <f t="shared" si="191"/>
        <v>김도영</v>
      </c>
      <c r="N222" s="1"/>
      <c r="O222" s="1"/>
      <c r="P222" s="1"/>
      <c r="Q222" s="1"/>
      <c r="R222" s="1"/>
      <c r="S222" s="1"/>
      <c r="T222" s="1"/>
      <c r="U222" s="1"/>
    </row>
    <row r="223" spans="1:21" ht="24.75" customHeight="1">
      <c r="A223" s="166" t="s">
        <v>108</v>
      </c>
      <c r="B223" s="166" t="s">
        <v>109</v>
      </c>
      <c r="C223" s="18" t="s">
        <v>15</v>
      </c>
      <c r="D223" s="19"/>
      <c r="E223" s="19" t="s">
        <v>58</v>
      </c>
      <c r="F223" s="19" t="s">
        <v>58</v>
      </c>
      <c r="G223" s="19" t="s">
        <v>58</v>
      </c>
      <c r="H223" s="19" t="s">
        <v>58</v>
      </c>
      <c r="I223" s="19" t="s">
        <v>71</v>
      </c>
      <c r="J223" s="19" t="s">
        <v>71</v>
      </c>
      <c r="K223" s="19"/>
      <c r="L223" s="19" t="s">
        <v>71</v>
      </c>
      <c r="M223" s="19" t="s">
        <v>71</v>
      </c>
      <c r="N223" s="1"/>
      <c r="O223" s="1"/>
      <c r="P223" s="1"/>
      <c r="Q223" s="1"/>
      <c r="R223" s="1"/>
      <c r="S223" s="1"/>
      <c r="T223" s="1"/>
      <c r="U223" s="1"/>
    </row>
    <row r="224" spans="1:21" ht="24.75" customHeight="1">
      <c r="A224" s="167"/>
      <c r="B224" s="167"/>
      <c r="C224" s="24" t="s">
        <v>16</v>
      </c>
      <c r="D224" s="25" t="e">
        <f t="shared" ref="D224:M224" si="192">VLOOKUP(D223,$O$5:$P$24,2,FALSE)</f>
        <v>#N/A</v>
      </c>
      <c r="E224" s="25" t="str">
        <f t="shared" si="192"/>
        <v>프롬프트 엔지니어링</v>
      </c>
      <c r="F224" s="25" t="str">
        <f t="shared" si="192"/>
        <v>프롬프트 엔지니어링</v>
      </c>
      <c r="G224" s="25" t="str">
        <f t="shared" si="192"/>
        <v>프롬프트 엔지니어링</v>
      </c>
      <c r="H224" s="25" t="str">
        <f t="shared" si="192"/>
        <v>프롬프트 엔지니어링</v>
      </c>
      <c r="I224" s="25" t="str">
        <f t="shared" si="192"/>
        <v>거대 언어 모델을 활용한 PERSO AI 답변 기능 구현하기</v>
      </c>
      <c r="J224" s="25" t="str">
        <f t="shared" si="192"/>
        <v>거대 언어 모델을 활용한 PERSO AI 답변 기능 구현하기</v>
      </c>
      <c r="K224" s="25" t="e">
        <f t="shared" si="192"/>
        <v>#N/A</v>
      </c>
      <c r="L224" s="25" t="str">
        <f t="shared" si="192"/>
        <v>거대 언어 모델을 활용한 PERSO AI 답변 기능 구현하기</v>
      </c>
      <c r="M224" s="25" t="str">
        <f t="shared" si="192"/>
        <v>거대 언어 모델을 활용한 PERSO AI 답변 기능 구현하기</v>
      </c>
      <c r="N224" s="1"/>
      <c r="O224" s="1"/>
      <c r="P224" s="1"/>
      <c r="Q224" s="1"/>
      <c r="R224" s="1"/>
      <c r="S224" s="1"/>
      <c r="T224" s="1"/>
      <c r="U224" s="1"/>
    </row>
    <row r="225" spans="1:21" ht="24.75" customHeight="1">
      <c r="A225" s="167"/>
      <c r="B225" s="167"/>
      <c r="C225" s="28" t="s">
        <v>17</v>
      </c>
      <c r="D225" s="29"/>
      <c r="E225" s="29" t="s">
        <v>60</v>
      </c>
      <c r="F225" s="29" t="s">
        <v>60</v>
      </c>
      <c r="G225" s="29" t="s">
        <v>60</v>
      </c>
      <c r="H225" s="29" t="s">
        <v>60</v>
      </c>
      <c r="I225" s="29" t="s">
        <v>155</v>
      </c>
      <c r="J225" s="29" t="s">
        <v>155</v>
      </c>
      <c r="K225" s="29"/>
      <c r="L225" s="29" t="s">
        <v>155</v>
      </c>
      <c r="M225" s="29" t="s">
        <v>156</v>
      </c>
      <c r="N225" s="1"/>
      <c r="O225" s="1"/>
      <c r="P225" s="1"/>
      <c r="Q225" s="1"/>
      <c r="R225" s="1"/>
      <c r="S225" s="1"/>
      <c r="T225" s="1"/>
      <c r="U225" s="1"/>
    </row>
    <row r="226" spans="1:21" ht="24.75" customHeight="1">
      <c r="A226" s="167"/>
      <c r="B226" s="167"/>
      <c r="C226" s="32" t="s">
        <v>105</v>
      </c>
      <c r="D226" s="31" t="e">
        <f t="shared" ref="D226:M226" si="193">VLOOKUP(D223,$O$5:$Q$24,3,0)</f>
        <v>#N/A</v>
      </c>
      <c r="E226" s="31" t="str">
        <f t="shared" si="193"/>
        <v>김도영</v>
      </c>
      <c r="F226" s="31" t="str">
        <f t="shared" si="193"/>
        <v>김도영</v>
      </c>
      <c r="G226" s="31" t="str">
        <f t="shared" si="193"/>
        <v>김도영</v>
      </c>
      <c r="H226" s="31" t="str">
        <f t="shared" si="193"/>
        <v>김도영</v>
      </c>
      <c r="I226" s="31" t="str">
        <f t="shared" si="193"/>
        <v>김도영</v>
      </c>
      <c r="J226" s="31" t="str">
        <f t="shared" si="193"/>
        <v>김도영</v>
      </c>
      <c r="K226" s="31" t="e">
        <f t="shared" si="193"/>
        <v>#N/A</v>
      </c>
      <c r="L226" s="31" t="str">
        <f t="shared" si="193"/>
        <v>김도영</v>
      </c>
      <c r="M226" s="31" t="str">
        <f t="shared" si="193"/>
        <v>김도영</v>
      </c>
      <c r="N226" s="1"/>
      <c r="O226" s="1"/>
      <c r="P226" s="1"/>
      <c r="Q226" s="1"/>
      <c r="R226" s="1"/>
      <c r="S226" s="1"/>
      <c r="T226" s="1"/>
      <c r="U226" s="1"/>
    </row>
    <row r="227" spans="1:21" ht="24.75" customHeight="1">
      <c r="A227" s="38" t="s">
        <v>28</v>
      </c>
      <c r="B227" s="38" t="s">
        <v>110</v>
      </c>
      <c r="C227" s="39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1"/>
      <c r="O227" s="1"/>
      <c r="P227" s="1"/>
      <c r="Q227" s="1"/>
      <c r="R227" s="1"/>
      <c r="S227" s="1"/>
      <c r="T227" s="1"/>
      <c r="U227" s="1"/>
    </row>
    <row r="228" spans="1:21" ht="24.75" customHeight="1">
      <c r="A228" s="166" t="s">
        <v>111</v>
      </c>
      <c r="B228" s="166" t="s">
        <v>112</v>
      </c>
      <c r="C228" s="18" t="s">
        <v>15</v>
      </c>
      <c r="D228" s="19"/>
      <c r="E228" s="19" t="s">
        <v>58</v>
      </c>
      <c r="F228" s="19" t="s">
        <v>58</v>
      </c>
      <c r="G228" s="19" t="s">
        <v>58</v>
      </c>
      <c r="H228" s="19" t="s">
        <v>58</v>
      </c>
      <c r="I228" s="19" t="s">
        <v>71</v>
      </c>
      <c r="J228" s="19" t="s">
        <v>71</v>
      </c>
      <c r="K228" s="19"/>
      <c r="L228" s="19" t="s">
        <v>71</v>
      </c>
      <c r="M228" s="19" t="s">
        <v>71</v>
      </c>
      <c r="N228" s="1"/>
      <c r="O228" s="1"/>
      <c r="P228" s="1"/>
      <c r="Q228" s="1"/>
      <c r="R228" s="1"/>
      <c r="S228" s="1"/>
      <c r="T228" s="1"/>
      <c r="U228" s="1"/>
    </row>
    <row r="229" spans="1:21" ht="24.75" customHeight="1">
      <c r="A229" s="167"/>
      <c r="B229" s="167"/>
      <c r="C229" s="24" t="s">
        <v>16</v>
      </c>
      <c r="D229" s="25" t="e">
        <f t="shared" ref="D229:M229" si="194">VLOOKUP(D228,$O$5:$P$24,2,FALSE)</f>
        <v>#N/A</v>
      </c>
      <c r="E229" s="25" t="str">
        <f t="shared" si="194"/>
        <v>프롬프트 엔지니어링</v>
      </c>
      <c r="F229" s="25" t="str">
        <f t="shared" si="194"/>
        <v>프롬프트 엔지니어링</v>
      </c>
      <c r="G229" s="25" t="str">
        <f t="shared" si="194"/>
        <v>프롬프트 엔지니어링</v>
      </c>
      <c r="H229" s="25" t="str">
        <f t="shared" si="194"/>
        <v>프롬프트 엔지니어링</v>
      </c>
      <c r="I229" s="25" t="str">
        <f t="shared" si="194"/>
        <v>거대 언어 모델을 활용한 PERSO AI 답변 기능 구현하기</v>
      </c>
      <c r="J229" s="25" t="str">
        <f t="shared" si="194"/>
        <v>거대 언어 모델을 활용한 PERSO AI 답변 기능 구현하기</v>
      </c>
      <c r="K229" s="25" t="e">
        <f t="shared" si="194"/>
        <v>#N/A</v>
      </c>
      <c r="L229" s="25" t="str">
        <f t="shared" si="194"/>
        <v>거대 언어 모델을 활용한 PERSO AI 답변 기능 구현하기</v>
      </c>
      <c r="M229" s="25" t="str">
        <f t="shared" si="194"/>
        <v>거대 언어 모델을 활용한 PERSO AI 답변 기능 구현하기</v>
      </c>
      <c r="N229" s="1"/>
      <c r="O229" s="1"/>
      <c r="P229" s="1"/>
      <c r="Q229" s="1"/>
      <c r="R229" s="1"/>
      <c r="S229" s="1"/>
      <c r="T229" s="1"/>
      <c r="U229" s="1"/>
    </row>
    <row r="230" spans="1:21" ht="24.75" customHeight="1">
      <c r="A230" s="167"/>
      <c r="B230" s="167"/>
      <c r="C230" s="28" t="s">
        <v>17</v>
      </c>
      <c r="D230" s="29"/>
      <c r="E230" s="29" t="s">
        <v>60</v>
      </c>
      <c r="F230" s="29" t="s">
        <v>60</v>
      </c>
      <c r="G230" s="29" t="s">
        <v>60</v>
      </c>
      <c r="H230" s="29" t="s">
        <v>60</v>
      </c>
      <c r="I230" s="29" t="s">
        <v>155</v>
      </c>
      <c r="J230" s="29" t="s">
        <v>155</v>
      </c>
      <c r="K230" s="29"/>
      <c r="L230" s="29" t="s">
        <v>155</v>
      </c>
      <c r="M230" s="29" t="s">
        <v>156</v>
      </c>
      <c r="N230" s="1"/>
      <c r="O230" s="1"/>
      <c r="P230" s="1"/>
      <c r="Q230" s="1"/>
      <c r="R230" s="1"/>
      <c r="S230" s="1"/>
      <c r="T230" s="1"/>
      <c r="U230" s="1"/>
    </row>
    <row r="231" spans="1:21" ht="24.75" customHeight="1">
      <c r="A231" s="167"/>
      <c r="B231" s="167"/>
      <c r="C231" s="32" t="s">
        <v>105</v>
      </c>
      <c r="D231" s="31" t="e">
        <f t="shared" ref="D231:M231" si="195">VLOOKUP(D228,$O$5:$Q$24,3,0)</f>
        <v>#N/A</v>
      </c>
      <c r="E231" s="31" t="str">
        <f t="shared" si="195"/>
        <v>김도영</v>
      </c>
      <c r="F231" s="31" t="str">
        <f t="shared" si="195"/>
        <v>김도영</v>
      </c>
      <c r="G231" s="31" t="str">
        <f t="shared" si="195"/>
        <v>김도영</v>
      </c>
      <c r="H231" s="31" t="str">
        <f t="shared" si="195"/>
        <v>김도영</v>
      </c>
      <c r="I231" s="31" t="str">
        <f t="shared" si="195"/>
        <v>김도영</v>
      </c>
      <c r="J231" s="31" t="str">
        <f t="shared" si="195"/>
        <v>김도영</v>
      </c>
      <c r="K231" s="31" t="e">
        <f t="shared" si="195"/>
        <v>#N/A</v>
      </c>
      <c r="L231" s="31" t="str">
        <f t="shared" si="195"/>
        <v>김도영</v>
      </c>
      <c r="M231" s="31" t="str">
        <f t="shared" si="195"/>
        <v>김도영</v>
      </c>
      <c r="N231" s="1"/>
      <c r="O231" s="1"/>
      <c r="P231" s="1"/>
      <c r="Q231" s="1"/>
      <c r="R231" s="1"/>
      <c r="S231" s="1"/>
      <c r="T231" s="1"/>
      <c r="U231" s="1"/>
    </row>
    <row r="232" spans="1:21" ht="24.75" customHeight="1">
      <c r="A232" s="166" t="s">
        <v>113</v>
      </c>
      <c r="B232" s="166" t="s">
        <v>114</v>
      </c>
      <c r="C232" s="18" t="s">
        <v>15</v>
      </c>
      <c r="D232" s="19"/>
      <c r="E232" s="19" t="s">
        <v>58</v>
      </c>
      <c r="F232" s="19" t="s">
        <v>58</v>
      </c>
      <c r="G232" s="19" t="s">
        <v>58</v>
      </c>
      <c r="H232" s="19" t="s">
        <v>71</v>
      </c>
      <c r="I232" s="19" t="s">
        <v>71</v>
      </c>
      <c r="J232" s="19" t="s">
        <v>71</v>
      </c>
      <c r="K232" s="19"/>
      <c r="L232" s="19" t="s">
        <v>71</v>
      </c>
      <c r="M232" s="19" t="s">
        <v>71</v>
      </c>
      <c r="N232" s="1"/>
      <c r="O232" s="1"/>
      <c r="P232" s="1"/>
      <c r="Q232" s="1"/>
      <c r="R232" s="1"/>
      <c r="S232" s="1"/>
      <c r="T232" s="1"/>
      <c r="U232" s="1"/>
    </row>
    <row r="233" spans="1:21" ht="24.75" customHeight="1">
      <c r="A233" s="167"/>
      <c r="B233" s="167"/>
      <c r="C233" s="24" t="s">
        <v>16</v>
      </c>
      <c r="D233" s="25" t="e">
        <f t="shared" ref="D233:M233" si="196">VLOOKUP(D232,$O$5:$P$24,2,FALSE)</f>
        <v>#N/A</v>
      </c>
      <c r="E233" s="25" t="str">
        <f t="shared" si="196"/>
        <v>프롬프트 엔지니어링</v>
      </c>
      <c r="F233" s="25" t="str">
        <f t="shared" si="196"/>
        <v>프롬프트 엔지니어링</v>
      </c>
      <c r="G233" s="25" t="str">
        <f t="shared" si="196"/>
        <v>프롬프트 엔지니어링</v>
      </c>
      <c r="H233" s="25" t="str">
        <f t="shared" si="196"/>
        <v>거대 언어 모델을 활용한 PERSO AI 답변 기능 구현하기</v>
      </c>
      <c r="I233" s="25" t="str">
        <f t="shared" si="196"/>
        <v>거대 언어 모델을 활용한 PERSO AI 답변 기능 구현하기</v>
      </c>
      <c r="J233" s="25" t="str">
        <f t="shared" si="196"/>
        <v>거대 언어 모델을 활용한 PERSO AI 답변 기능 구현하기</v>
      </c>
      <c r="K233" s="25" t="e">
        <f t="shared" si="196"/>
        <v>#N/A</v>
      </c>
      <c r="L233" s="25" t="str">
        <f t="shared" si="196"/>
        <v>거대 언어 모델을 활용한 PERSO AI 답변 기능 구현하기</v>
      </c>
      <c r="M233" s="25" t="str">
        <f t="shared" si="196"/>
        <v>거대 언어 모델을 활용한 PERSO AI 답변 기능 구현하기</v>
      </c>
      <c r="N233" s="1"/>
      <c r="O233" s="1"/>
      <c r="P233" s="1"/>
      <c r="Q233" s="1"/>
      <c r="R233" s="1"/>
      <c r="S233" s="1"/>
      <c r="T233" s="1"/>
      <c r="U233" s="1"/>
    </row>
    <row r="234" spans="1:21" ht="24.75" customHeight="1">
      <c r="A234" s="167"/>
      <c r="B234" s="167"/>
      <c r="C234" s="28" t="s">
        <v>17</v>
      </c>
      <c r="D234" s="29"/>
      <c r="E234" s="29" t="s">
        <v>60</v>
      </c>
      <c r="F234" s="29" t="s">
        <v>60</v>
      </c>
      <c r="G234" s="29" t="s">
        <v>60</v>
      </c>
      <c r="H234" s="29" t="s">
        <v>155</v>
      </c>
      <c r="I234" s="29" t="s">
        <v>155</v>
      </c>
      <c r="J234" s="29" t="s">
        <v>155</v>
      </c>
      <c r="K234" s="29"/>
      <c r="L234" s="29" t="s">
        <v>155</v>
      </c>
      <c r="M234" s="29" t="s">
        <v>156</v>
      </c>
      <c r="N234" s="1"/>
      <c r="O234" s="1"/>
      <c r="P234" s="1"/>
      <c r="Q234" s="1"/>
      <c r="R234" s="1"/>
      <c r="S234" s="1"/>
      <c r="T234" s="1"/>
      <c r="U234" s="1"/>
    </row>
    <row r="235" spans="1:21" ht="24.75" customHeight="1">
      <c r="A235" s="167"/>
      <c r="B235" s="167"/>
      <c r="C235" s="32" t="s">
        <v>105</v>
      </c>
      <c r="D235" s="31" t="e">
        <f t="shared" ref="D235:M235" si="197">VLOOKUP(D232,$O$5:$Q$24,3,0)</f>
        <v>#N/A</v>
      </c>
      <c r="E235" s="31" t="str">
        <f t="shared" si="197"/>
        <v>김도영</v>
      </c>
      <c r="F235" s="31" t="str">
        <f t="shared" si="197"/>
        <v>김도영</v>
      </c>
      <c r="G235" s="31" t="str">
        <f t="shared" si="197"/>
        <v>김도영</v>
      </c>
      <c r="H235" s="31" t="str">
        <f t="shared" si="197"/>
        <v>김도영</v>
      </c>
      <c r="I235" s="31" t="str">
        <f t="shared" si="197"/>
        <v>김도영</v>
      </c>
      <c r="J235" s="31" t="str">
        <f t="shared" si="197"/>
        <v>김도영</v>
      </c>
      <c r="K235" s="31" t="e">
        <f t="shared" si="197"/>
        <v>#N/A</v>
      </c>
      <c r="L235" s="31" t="str">
        <f t="shared" si="197"/>
        <v>김도영</v>
      </c>
      <c r="M235" s="31" t="str">
        <f t="shared" si="197"/>
        <v>김도영</v>
      </c>
      <c r="N235" s="1"/>
      <c r="O235" s="1"/>
      <c r="P235" s="1"/>
      <c r="Q235" s="1"/>
      <c r="R235" s="1"/>
      <c r="S235" s="1"/>
      <c r="T235" s="1"/>
      <c r="U235" s="1"/>
    </row>
    <row r="236" spans="1:21" ht="24.75" customHeight="1">
      <c r="A236" s="166" t="s">
        <v>115</v>
      </c>
      <c r="B236" s="166" t="s">
        <v>116</v>
      </c>
      <c r="C236" s="18" t="s">
        <v>15</v>
      </c>
      <c r="D236" s="19"/>
      <c r="E236" s="19" t="s">
        <v>58</v>
      </c>
      <c r="F236" s="19" t="s">
        <v>58</v>
      </c>
      <c r="G236" s="19" t="s">
        <v>58</v>
      </c>
      <c r="H236" s="19" t="s">
        <v>71</v>
      </c>
      <c r="I236" s="19" t="s">
        <v>71</v>
      </c>
      <c r="J236" s="19" t="s">
        <v>71</v>
      </c>
      <c r="K236" s="19"/>
      <c r="L236" s="19" t="s">
        <v>71</v>
      </c>
      <c r="M236" s="19" t="s">
        <v>71</v>
      </c>
      <c r="N236" s="1"/>
      <c r="O236" s="1"/>
      <c r="P236" s="1"/>
      <c r="Q236" s="1"/>
      <c r="R236" s="1"/>
      <c r="S236" s="1"/>
      <c r="T236" s="1"/>
      <c r="U236" s="1"/>
    </row>
    <row r="237" spans="1:21" ht="24.75" customHeight="1">
      <c r="A237" s="167"/>
      <c r="B237" s="167"/>
      <c r="C237" s="24" t="s">
        <v>16</v>
      </c>
      <c r="D237" s="25" t="e">
        <f t="shared" ref="D237:M237" si="198">VLOOKUP(D236,$O$5:$P$24,2,FALSE)</f>
        <v>#N/A</v>
      </c>
      <c r="E237" s="25" t="str">
        <f t="shared" si="198"/>
        <v>프롬프트 엔지니어링</v>
      </c>
      <c r="F237" s="25" t="str">
        <f t="shared" si="198"/>
        <v>프롬프트 엔지니어링</v>
      </c>
      <c r="G237" s="25" t="str">
        <f t="shared" si="198"/>
        <v>프롬프트 엔지니어링</v>
      </c>
      <c r="H237" s="25" t="str">
        <f t="shared" si="198"/>
        <v>거대 언어 모델을 활용한 PERSO AI 답변 기능 구현하기</v>
      </c>
      <c r="I237" s="25" t="str">
        <f t="shared" si="198"/>
        <v>거대 언어 모델을 활용한 PERSO AI 답변 기능 구현하기</v>
      </c>
      <c r="J237" s="25" t="str">
        <f t="shared" si="198"/>
        <v>거대 언어 모델을 활용한 PERSO AI 답변 기능 구현하기</v>
      </c>
      <c r="K237" s="25" t="e">
        <f t="shared" si="198"/>
        <v>#N/A</v>
      </c>
      <c r="L237" s="25" t="str">
        <f t="shared" si="198"/>
        <v>거대 언어 모델을 활용한 PERSO AI 답변 기능 구현하기</v>
      </c>
      <c r="M237" s="25" t="str">
        <f t="shared" si="198"/>
        <v>거대 언어 모델을 활용한 PERSO AI 답변 기능 구현하기</v>
      </c>
      <c r="N237" s="1"/>
      <c r="O237" s="1"/>
      <c r="P237" s="1"/>
      <c r="Q237" s="1"/>
      <c r="R237" s="1"/>
      <c r="S237" s="1"/>
      <c r="T237" s="1"/>
      <c r="U237" s="1"/>
    </row>
    <row r="238" spans="1:21" ht="24.75" customHeight="1">
      <c r="A238" s="167"/>
      <c r="B238" s="167"/>
      <c r="C238" s="28" t="s">
        <v>17</v>
      </c>
      <c r="D238" s="29"/>
      <c r="E238" s="29" t="s">
        <v>60</v>
      </c>
      <c r="F238" s="29" t="s">
        <v>60</v>
      </c>
      <c r="G238" s="29" t="s">
        <v>60</v>
      </c>
      <c r="H238" s="29" t="s">
        <v>155</v>
      </c>
      <c r="I238" s="29" t="s">
        <v>155</v>
      </c>
      <c r="J238" s="29" t="s">
        <v>155</v>
      </c>
      <c r="K238" s="29"/>
      <c r="L238" s="29" t="s">
        <v>156</v>
      </c>
      <c r="M238" s="29" t="s">
        <v>156</v>
      </c>
      <c r="N238" s="1"/>
      <c r="O238" s="1"/>
      <c r="P238" s="1"/>
      <c r="Q238" s="1"/>
      <c r="R238" s="1"/>
      <c r="S238" s="1"/>
      <c r="T238" s="1"/>
      <c r="U238" s="1"/>
    </row>
    <row r="239" spans="1:21" ht="24.75" customHeight="1">
      <c r="A239" s="167"/>
      <c r="B239" s="167"/>
      <c r="C239" s="32" t="s">
        <v>105</v>
      </c>
      <c r="D239" s="31" t="e">
        <f t="shared" ref="D239:M239" si="199">VLOOKUP(D236,$O$5:$Q$24,3,0)</f>
        <v>#N/A</v>
      </c>
      <c r="E239" s="31" t="str">
        <f t="shared" si="199"/>
        <v>김도영</v>
      </c>
      <c r="F239" s="31" t="str">
        <f t="shared" si="199"/>
        <v>김도영</v>
      </c>
      <c r="G239" s="31" t="str">
        <f t="shared" si="199"/>
        <v>김도영</v>
      </c>
      <c r="H239" s="31" t="str">
        <f t="shared" si="199"/>
        <v>김도영</v>
      </c>
      <c r="I239" s="31" t="str">
        <f t="shared" si="199"/>
        <v>김도영</v>
      </c>
      <c r="J239" s="31" t="str">
        <f t="shared" si="199"/>
        <v>김도영</v>
      </c>
      <c r="K239" s="31" t="e">
        <f t="shared" si="199"/>
        <v>#N/A</v>
      </c>
      <c r="L239" s="31" t="str">
        <f t="shared" si="199"/>
        <v>김도영</v>
      </c>
      <c r="M239" s="31" t="str">
        <f t="shared" si="199"/>
        <v>김도영</v>
      </c>
      <c r="N239" s="1"/>
      <c r="O239" s="1"/>
      <c r="P239" s="1"/>
      <c r="Q239" s="1"/>
      <c r="R239" s="1"/>
      <c r="S239" s="1"/>
      <c r="T239" s="1"/>
      <c r="U239" s="1"/>
    </row>
    <row r="240" spans="1:21" ht="24.75" customHeight="1">
      <c r="A240" s="166" t="s">
        <v>117</v>
      </c>
      <c r="B240" s="166" t="s">
        <v>118</v>
      </c>
      <c r="C240" s="18" t="s">
        <v>15</v>
      </c>
      <c r="D240" s="19"/>
      <c r="E240" s="19" t="s">
        <v>58</v>
      </c>
      <c r="F240" s="19" t="s">
        <v>58</v>
      </c>
      <c r="G240" s="19" t="s">
        <v>58</v>
      </c>
      <c r="H240" s="19" t="s">
        <v>71</v>
      </c>
      <c r="I240" s="19" t="s">
        <v>71</v>
      </c>
      <c r="J240" s="19" t="s">
        <v>71</v>
      </c>
      <c r="K240" s="19"/>
      <c r="L240" s="19" t="s">
        <v>71</v>
      </c>
      <c r="M240" s="19" t="s">
        <v>71</v>
      </c>
      <c r="N240" s="1"/>
      <c r="O240" s="1"/>
      <c r="P240" s="1"/>
      <c r="Q240" s="1"/>
      <c r="R240" s="1"/>
      <c r="S240" s="1"/>
      <c r="T240" s="1"/>
      <c r="U240" s="1"/>
    </row>
    <row r="241" spans="1:21" ht="24.75" customHeight="1">
      <c r="A241" s="167"/>
      <c r="B241" s="167"/>
      <c r="C241" s="24" t="s">
        <v>16</v>
      </c>
      <c r="D241" s="25" t="e">
        <f t="shared" ref="D241:M241" si="200">VLOOKUP(D240,$O$5:$P$24,2,FALSE)</f>
        <v>#N/A</v>
      </c>
      <c r="E241" s="25" t="str">
        <f t="shared" si="200"/>
        <v>프롬프트 엔지니어링</v>
      </c>
      <c r="F241" s="25" t="str">
        <f t="shared" si="200"/>
        <v>프롬프트 엔지니어링</v>
      </c>
      <c r="G241" s="25" t="str">
        <f t="shared" si="200"/>
        <v>프롬프트 엔지니어링</v>
      </c>
      <c r="H241" s="25" t="str">
        <f t="shared" si="200"/>
        <v>거대 언어 모델을 활용한 PERSO AI 답변 기능 구현하기</v>
      </c>
      <c r="I241" s="25" t="str">
        <f t="shared" si="200"/>
        <v>거대 언어 모델을 활용한 PERSO AI 답변 기능 구현하기</v>
      </c>
      <c r="J241" s="25" t="str">
        <f t="shared" si="200"/>
        <v>거대 언어 모델을 활용한 PERSO AI 답변 기능 구현하기</v>
      </c>
      <c r="K241" s="25" t="e">
        <f t="shared" si="200"/>
        <v>#N/A</v>
      </c>
      <c r="L241" s="25" t="str">
        <f t="shared" si="200"/>
        <v>거대 언어 모델을 활용한 PERSO AI 답변 기능 구현하기</v>
      </c>
      <c r="M241" s="25" t="str">
        <f t="shared" si="200"/>
        <v>거대 언어 모델을 활용한 PERSO AI 답변 기능 구현하기</v>
      </c>
      <c r="N241" s="1"/>
      <c r="O241" s="1"/>
      <c r="P241" s="1"/>
      <c r="Q241" s="1"/>
      <c r="R241" s="1"/>
      <c r="S241" s="1"/>
      <c r="T241" s="1"/>
      <c r="U241" s="1"/>
    </row>
    <row r="242" spans="1:21" ht="24.75" customHeight="1">
      <c r="A242" s="167"/>
      <c r="B242" s="167"/>
      <c r="C242" s="28" t="s">
        <v>17</v>
      </c>
      <c r="D242" s="29"/>
      <c r="E242" s="29" t="s">
        <v>60</v>
      </c>
      <c r="F242" s="29" t="s">
        <v>60</v>
      </c>
      <c r="G242" s="29" t="s">
        <v>60</v>
      </c>
      <c r="H242" s="29" t="s">
        <v>155</v>
      </c>
      <c r="I242" s="29" t="s">
        <v>155</v>
      </c>
      <c r="J242" s="29" t="s">
        <v>155</v>
      </c>
      <c r="K242" s="29"/>
      <c r="L242" s="29" t="s">
        <v>156</v>
      </c>
      <c r="M242" s="29" t="s">
        <v>156</v>
      </c>
      <c r="N242" s="1"/>
      <c r="O242" s="1"/>
      <c r="P242" s="1"/>
      <c r="Q242" s="1"/>
      <c r="R242" s="1"/>
      <c r="S242" s="1"/>
      <c r="T242" s="1"/>
      <c r="U242" s="1"/>
    </row>
    <row r="243" spans="1:21" ht="24.75" customHeight="1">
      <c r="A243" s="167"/>
      <c r="B243" s="167"/>
      <c r="C243" s="32" t="s">
        <v>105</v>
      </c>
      <c r="D243" s="31" t="e">
        <f t="shared" ref="D243:M243" si="201">VLOOKUP(D240,$O$5:$Q$24,3,0)</f>
        <v>#N/A</v>
      </c>
      <c r="E243" s="31" t="str">
        <f t="shared" si="201"/>
        <v>김도영</v>
      </c>
      <c r="F243" s="31" t="str">
        <f t="shared" si="201"/>
        <v>김도영</v>
      </c>
      <c r="G243" s="31" t="str">
        <f t="shared" si="201"/>
        <v>김도영</v>
      </c>
      <c r="H243" s="31" t="str">
        <f t="shared" si="201"/>
        <v>김도영</v>
      </c>
      <c r="I243" s="31" t="str">
        <f t="shared" si="201"/>
        <v>김도영</v>
      </c>
      <c r="J243" s="31" t="str">
        <f t="shared" si="201"/>
        <v>김도영</v>
      </c>
      <c r="K243" s="31" t="e">
        <f t="shared" si="201"/>
        <v>#N/A</v>
      </c>
      <c r="L243" s="31" t="str">
        <f t="shared" si="201"/>
        <v>김도영</v>
      </c>
      <c r="M243" s="31" t="str">
        <f t="shared" si="201"/>
        <v>김도영</v>
      </c>
      <c r="N243" s="1"/>
      <c r="O243" s="1"/>
      <c r="P243" s="1"/>
      <c r="Q243" s="1"/>
      <c r="R243" s="1"/>
      <c r="S243" s="1"/>
      <c r="T243" s="1"/>
      <c r="U243" s="1"/>
    </row>
    <row r="244" spans="1:21" ht="24.75" customHeight="1">
      <c r="A244" s="166" t="s">
        <v>119</v>
      </c>
      <c r="B244" s="166" t="s">
        <v>120</v>
      </c>
      <c r="C244" s="18" t="s">
        <v>15</v>
      </c>
      <c r="D244" s="19"/>
      <c r="E244" s="19" t="s">
        <v>58</v>
      </c>
      <c r="F244" s="19" t="s">
        <v>58</v>
      </c>
      <c r="G244" s="19" t="s">
        <v>58</v>
      </c>
      <c r="H244" s="19" t="s">
        <v>71</v>
      </c>
      <c r="I244" s="19" t="s">
        <v>71</v>
      </c>
      <c r="J244" s="19" t="s">
        <v>71</v>
      </c>
      <c r="K244" s="19"/>
      <c r="L244" s="19" t="s">
        <v>71</v>
      </c>
      <c r="M244" s="19" t="s">
        <v>71</v>
      </c>
      <c r="N244" s="1"/>
      <c r="O244" s="1"/>
      <c r="P244" s="1"/>
      <c r="Q244" s="1"/>
      <c r="R244" s="1"/>
      <c r="S244" s="1"/>
      <c r="T244" s="1"/>
      <c r="U244" s="1"/>
    </row>
    <row r="245" spans="1:21" ht="24.75" customHeight="1">
      <c r="A245" s="167"/>
      <c r="B245" s="167"/>
      <c r="C245" s="24" t="s">
        <v>16</v>
      </c>
      <c r="D245" s="25" t="e">
        <f t="shared" ref="D245:M245" si="202">VLOOKUP(D244,$O$5:$P$24,2,FALSE)</f>
        <v>#N/A</v>
      </c>
      <c r="E245" s="25" t="str">
        <f t="shared" si="202"/>
        <v>프롬프트 엔지니어링</v>
      </c>
      <c r="F245" s="25" t="str">
        <f t="shared" si="202"/>
        <v>프롬프트 엔지니어링</v>
      </c>
      <c r="G245" s="25" t="str">
        <f t="shared" si="202"/>
        <v>프롬프트 엔지니어링</v>
      </c>
      <c r="H245" s="25" t="str">
        <f t="shared" si="202"/>
        <v>거대 언어 모델을 활용한 PERSO AI 답변 기능 구현하기</v>
      </c>
      <c r="I245" s="25" t="str">
        <f t="shared" si="202"/>
        <v>거대 언어 모델을 활용한 PERSO AI 답변 기능 구현하기</v>
      </c>
      <c r="J245" s="25" t="str">
        <f t="shared" si="202"/>
        <v>거대 언어 모델을 활용한 PERSO AI 답변 기능 구현하기</v>
      </c>
      <c r="K245" s="25" t="e">
        <f t="shared" si="202"/>
        <v>#N/A</v>
      </c>
      <c r="L245" s="25" t="str">
        <f t="shared" si="202"/>
        <v>거대 언어 모델을 활용한 PERSO AI 답변 기능 구현하기</v>
      </c>
      <c r="M245" s="25" t="str">
        <f t="shared" si="202"/>
        <v>거대 언어 모델을 활용한 PERSO AI 답변 기능 구현하기</v>
      </c>
      <c r="N245" s="1"/>
      <c r="O245" s="1"/>
      <c r="P245" s="1"/>
      <c r="Q245" s="1"/>
      <c r="R245" s="1"/>
      <c r="S245" s="1"/>
      <c r="T245" s="1"/>
      <c r="U245" s="1"/>
    </row>
    <row r="246" spans="1:21" ht="24.75" customHeight="1">
      <c r="A246" s="167"/>
      <c r="B246" s="167"/>
      <c r="C246" s="28" t="s">
        <v>17</v>
      </c>
      <c r="D246" s="29"/>
      <c r="E246" s="29" t="s">
        <v>60</v>
      </c>
      <c r="F246" s="29" t="s">
        <v>60</v>
      </c>
      <c r="G246" s="29" t="s">
        <v>60</v>
      </c>
      <c r="H246" s="29" t="s">
        <v>155</v>
      </c>
      <c r="I246" s="29" t="s">
        <v>155</v>
      </c>
      <c r="J246" s="29" t="s">
        <v>155</v>
      </c>
      <c r="K246" s="29"/>
      <c r="L246" s="29" t="s">
        <v>156</v>
      </c>
      <c r="M246" s="29" t="s">
        <v>156</v>
      </c>
      <c r="N246" s="1"/>
      <c r="O246" s="1"/>
      <c r="P246" s="1"/>
      <c r="Q246" s="1"/>
      <c r="R246" s="1"/>
      <c r="S246" s="1"/>
      <c r="T246" s="1"/>
      <c r="U246" s="1"/>
    </row>
    <row r="247" spans="1:21" ht="24.75" customHeight="1">
      <c r="A247" s="159"/>
      <c r="B247" s="159"/>
      <c r="C247" s="32" t="s">
        <v>105</v>
      </c>
      <c r="D247" s="31" t="e">
        <f t="shared" ref="D247:M247" si="203">VLOOKUP(D244,$O$5:$Q$24,3,0)</f>
        <v>#N/A</v>
      </c>
      <c r="E247" s="31" t="str">
        <f t="shared" si="203"/>
        <v>김도영</v>
      </c>
      <c r="F247" s="31" t="str">
        <f t="shared" si="203"/>
        <v>김도영</v>
      </c>
      <c r="G247" s="31" t="str">
        <f t="shared" si="203"/>
        <v>김도영</v>
      </c>
      <c r="H247" s="31" t="str">
        <f t="shared" si="203"/>
        <v>김도영</v>
      </c>
      <c r="I247" s="31" t="str">
        <f t="shared" si="203"/>
        <v>김도영</v>
      </c>
      <c r="J247" s="31" t="str">
        <f t="shared" si="203"/>
        <v>김도영</v>
      </c>
      <c r="K247" s="31" t="e">
        <f t="shared" si="203"/>
        <v>#N/A</v>
      </c>
      <c r="L247" s="31" t="str">
        <f t="shared" si="203"/>
        <v>김도영</v>
      </c>
      <c r="M247" s="31" t="str">
        <f t="shared" si="203"/>
        <v>김도영</v>
      </c>
      <c r="N247" s="1"/>
      <c r="O247" s="1"/>
      <c r="P247" s="1"/>
      <c r="Q247" s="1"/>
      <c r="R247" s="1"/>
      <c r="S247" s="1"/>
      <c r="T247" s="1"/>
      <c r="U247" s="1"/>
    </row>
    <row r="248" spans="1:21" ht="24.75" customHeight="1">
      <c r="A248" s="164" t="s">
        <v>94</v>
      </c>
      <c r="B248" s="164" t="s">
        <v>95</v>
      </c>
      <c r="C248" s="164" t="s">
        <v>96</v>
      </c>
      <c r="D248" s="165">
        <f>I213+1</f>
        <v>15</v>
      </c>
      <c r="E248" s="156"/>
      <c r="F248" s="156"/>
      <c r="G248" s="156"/>
      <c r="H248" s="154"/>
      <c r="I248" s="165">
        <f>D248+1</f>
        <v>16</v>
      </c>
      <c r="J248" s="156"/>
      <c r="K248" s="156"/>
      <c r="L248" s="156"/>
      <c r="M248" s="154"/>
      <c r="N248" s="1"/>
      <c r="O248" s="1"/>
      <c r="P248" s="1"/>
      <c r="Q248" s="1"/>
      <c r="R248" s="1"/>
      <c r="S248" s="1"/>
      <c r="T248" s="1"/>
      <c r="U248" s="1"/>
    </row>
    <row r="249" spans="1:21" ht="24.75" customHeight="1">
      <c r="A249" s="159"/>
      <c r="B249" s="159"/>
      <c r="C249" s="159"/>
      <c r="D249" s="14">
        <f>M214+3</f>
        <v>46209</v>
      </c>
      <c r="E249" s="14">
        <f t="shared" ref="E249:H249" si="204">D249+1</f>
        <v>46210</v>
      </c>
      <c r="F249" s="14">
        <f t="shared" si="204"/>
        <v>46211</v>
      </c>
      <c r="G249" s="14">
        <f t="shared" si="204"/>
        <v>46212</v>
      </c>
      <c r="H249" s="14">
        <f t="shared" si="204"/>
        <v>46213</v>
      </c>
      <c r="I249" s="14">
        <f>H249+3</f>
        <v>46216</v>
      </c>
      <c r="J249" s="14">
        <f t="shared" ref="J249:M249" si="205">I249+1</f>
        <v>46217</v>
      </c>
      <c r="K249" s="14">
        <f t="shared" si="205"/>
        <v>46218</v>
      </c>
      <c r="L249" s="14">
        <f t="shared" si="205"/>
        <v>46219</v>
      </c>
      <c r="M249" s="14">
        <f t="shared" si="205"/>
        <v>46220</v>
      </c>
      <c r="N249" s="1"/>
      <c r="O249" s="1"/>
      <c r="P249" s="1"/>
      <c r="Q249" s="1"/>
      <c r="R249" s="1"/>
      <c r="S249" s="1"/>
      <c r="T249" s="1"/>
      <c r="U249" s="1"/>
    </row>
    <row r="250" spans="1:21" ht="24.75" customHeight="1">
      <c r="A250" s="166" t="s">
        <v>103</v>
      </c>
      <c r="B250" s="166" t="s">
        <v>104</v>
      </c>
      <c r="C250" s="18" t="s">
        <v>15</v>
      </c>
      <c r="D250" s="19" t="s">
        <v>71</v>
      </c>
      <c r="E250" s="19" t="s">
        <v>71</v>
      </c>
      <c r="F250" s="19" t="s">
        <v>71</v>
      </c>
      <c r="G250" s="19" t="s">
        <v>71</v>
      </c>
      <c r="H250" s="19" t="s">
        <v>71</v>
      </c>
      <c r="I250" s="19" t="s">
        <v>71</v>
      </c>
      <c r="J250" s="19" t="s">
        <v>71</v>
      </c>
      <c r="K250" s="19" t="s">
        <v>71</v>
      </c>
      <c r="L250" s="19" t="s">
        <v>61</v>
      </c>
      <c r="M250" s="19"/>
      <c r="N250" s="1"/>
      <c r="O250" s="1"/>
      <c r="P250" s="1"/>
      <c r="Q250" s="1"/>
      <c r="R250" s="1"/>
      <c r="S250" s="1"/>
      <c r="T250" s="1"/>
      <c r="U250" s="1"/>
    </row>
    <row r="251" spans="1:21" ht="24.75" customHeight="1">
      <c r="A251" s="167"/>
      <c r="B251" s="167"/>
      <c r="C251" s="24" t="s">
        <v>16</v>
      </c>
      <c r="D251" s="25" t="str">
        <f t="shared" ref="D251:M251" si="206">VLOOKUP(D250,$O$5:$P$24,2,FALSE)</f>
        <v>거대 언어 모델을 활용한 PERSO AI 답변 기능 구현하기</v>
      </c>
      <c r="E251" s="25" t="str">
        <f t="shared" si="206"/>
        <v>거대 언어 모델을 활용한 PERSO AI 답변 기능 구현하기</v>
      </c>
      <c r="F251" s="25" t="str">
        <f t="shared" si="206"/>
        <v>거대 언어 모델을 활용한 PERSO AI 답변 기능 구현하기</v>
      </c>
      <c r="G251" s="25" t="str">
        <f t="shared" si="206"/>
        <v>거대 언어 모델을 활용한 PERSO AI 답변 기능 구현하기</v>
      </c>
      <c r="H251" s="25" t="str">
        <f t="shared" si="206"/>
        <v>거대 언어 모델을 활용한 PERSO AI 답변 기능 구현하기</v>
      </c>
      <c r="I251" s="25" t="str">
        <f t="shared" si="206"/>
        <v>거대 언어 모델을 활용한 PERSO AI 답변 기능 구현하기</v>
      </c>
      <c r="J251" s="25" t="str">
        <f t="shared" si="206"/>
        <v>거대 언어 모델을 활용한 PERSO AI 답변 기능 구현하기</v>
      </c>
      <c r="K251" s="25" t="str">
        <f t="shared" si="206"/>
        <v>거대 언어 모델을 활용한 PERSO AI 답변 기능 구현하기</v>
      </c>
      <c r="L251" s="25" t="str">
        <f t="shared" si="206"/>
        <v>Langchain 활용하기</v>
      </c>
      <c r="M251" s="25" t="e">
        <f t="shared" si="206"/>
        <v>#N/A</v>
      </c>
      <c r="N251" s="1"/>
      <c r="O251" s="1"/>
      <c r="P251" s="1"/>
      <c r="Q251" s="1"/>
      <c r="R251" s="1"/>
      <c r="S251" s="1"/>
      <c r="T251" s="1"/>
      <c r="U251" s="1"/>
    </row>
    <row r="252" spans="1:21" ht="24.75" customHeight="1">
      <c r="A252" s="167"/>
      <c r="B252" s="167"/>
      <c r="C252" s="28" t="s">
        <v>17</v>
      </c>
      <c r="D252" s="29" t="s">
        <v>156</v>
      </c>
      <c r="E252" s="29" t="s">
        <v>156</v>
      </c>
      <c r="F252" s="29" t="s">
        <v>157</v>
      </c>
      <c r="G252" s="29" t="s">
        <v>157</v>
      </c>
      <c r="H252" s="29" t="s">
        <v>157</v>
      </c>
      <c r="I252" s="29" t="s">
        <v>158</v>
      </c>
      <c r="J252" s="29" t="s">
        <v>158</v>
      </c>
      <c r="K252" s="29" t="s">
        <v>158</v>
      </c>
      <c r="L252" s="29" t="s">
        <v>63</v>
      </c>
      <c r="M252" s="29"/>
      <c r="N252" s="1"/>
      <c r="O252" s="1"/>
      <c r="P252" s="1"/>
      <c r="Q252" s="1"/>
      <c r="R252" s="1"/>
      <c r="S252" s="1"/>
      <c r="T252" s="1"/>
      <c r="U252" s="1"/>
    </row>
    <row r="253" spans="1:21" ht="24.75" customHeight="1">
      <c r="A253" s="167"/>
      <c r="B253" s="167"/>
      <c r="C253" s="30" t="s">
        <v>105</v>
      </c>
      <c r="D253" s="31" t="str">
        <f t="shared" ref="D253:M253" si="207">VLOOKUP(D250,$O$5:$Q$24,3,0)</f>
        <v>김도영</v>
      </c>
      <c r="E253" s="31" t="str">
        <f t="shared" si="207"/>
        <v>김도영</v>
      </c>
      <c r="F253" s="31" t="str">
        <f t="shared" si="207"/>
        <v>김도영</v>
      </c>
      <c r="G253" s="31" t="str">
        <f t="shared" si="207"/>
        <v>김도영</v>
      </c>
      <c r="H253" s="31" t="str">
        <f t="shared" si="207"/>
        <v>김도영</v>
      </c>
      <c r="I253" s="31" t="str">
        <f t="shared" si="207"/>
        <v>김도영</v>
      </c>
      <c r="J253" s="31" t="str">
        <f t="shared" si="207"/>
        <v>김도영</v>
      </c>
      <c r="K253" s="31" t="str">
        <f t="shared" si="207"/>
        <v>김도영</v>
      </c>
      <c r="L253" s="31" t="str">
        <f t="shared" si="207"/>
        <v>김도영</v>
      </c>
      <c r="M253" s="31" t="e">
        <f t="shared" si="207"/>
        <v>#N/A</v>
      </c>
      <c r="N253" s="1"/>
      <c r="O253" s="1"/>
      <c r="P253" s="1"/>
      <c r="Q253" s="1"/>
      <c r="R253" s="1"/>
      <c r="S253" s="1"/>
      <c r="T253" s="1"/>
      <c r="U253" s="1"/>
    </row>
    <row r="254" spans="1:21" ht="24.75" customHeight="1">
      <c r="A254" s="166" t="s">
        <v>106</v>
      </c>
      <c r="B254" s="166" t="s">
        <v>107</v>
      </c>
      <c r="C254" s="18" t="s">
        <v>15</v>
      </c>
      <c r="D254" s="19" t="s">
        <v>71</v>
      </c>
      <c r="E254" s="19" t="s">
        <v>71</v>
      </c>
      <c r="F254" s="19" t="s">
        <v>71</v>
      </c>
      <c r="G254" s="19" t="s">
        <v>71</v>
      </c>
      <c r="H254" s="19" t="s">
        <v>71</v>
      </c>
      <c r="I254" s="19" t="s">
        <v>71</v>
      </c>
      <c r="J254" s="19" t="s">
        <v>71</v>
      </c>
      <c r="K254" s="19" t="s">
        <v>71</v>
      </c>
      <c r="L254" s="19" t="s">
        <v>61</v>
      </c>
      <c r="M254" s="19"/>
      <c r="N254" s="1"/>
      <c r="O254" s="1"/>
      <c r="P254" s="1"/>
      <c r="Q254" s="1"/>
      <c r="R254" s="1"/>
      <c r="S254" s="1"/>
      <c r="T254" s="1"/>
      <c r="U254" s="1"/>
    </row>
    <row r="255" spans="1:21" ht="24.75" customHeight="1">
      <c r="A255" s="167"/>
      <c r="B255" s="167"/>
      <c r="C255" s="24" t="s">
        <v>16</v>
      </c>
      <c r="D255" s="25" t="str">
        <f t="shared" ref="D255:M255" si="208">VLOOKUP(D254,$O$5:$P$24,2,FALSE)</f>
        <v>거대 언어 모델을 활용한 PERSO AI 답변 기능 구현하기</v>
      </c>
      <c r="E255" s="25" t="str">
        <f t="shared" si="208"/>
        <v>거대 언어 모델을 활용한 PERSO AI 답변 기능 구현하기</v>
      </c>
      <c r="F255" s="25" t="str">
        <f t="shared" si="208"/>
        <v>거대 언어 모델을 활용한 PERSO AI 답변 기능 구현하기</v>
      </c>
      <c r="G255" s="25" t="str">
        <f t="shared" si="208"/>
        <v>거대 언어 모델을 활용한 PERSO AI 답변 기능 구현하기</v>
      </c>
      <c r="H255" s="25" t="str">
        <f t="shared" si="208"/>
        <v>거대 언어 모델을 활용한 PERSO AI 답변 기능 구현하기</v>
      </c>
      <c r="I255" s="25" t="str">
        <f t="shared" si="208"/>
        <v>거대 언어 모델을 활용한 PERSO AI 답변 기능 구현하기</v>
      </c>
      <c r="J255" s="25" t="str">
        <f t="shared" si="208"/>
        <v>거대 언어 모델을 활용한 PERSO AI 답변 기능 구현하기</v>
      </c>
      <c r="K255" s="25" t="str">
        <f t="shared" si="208"/>
        <v>거대 언어 모델을 활용한 PERSO AI 답변 기능 구현하기</v>
      </c>
      <c r="L255" s="25" t="str">
        <f t="shared" si="208"/>
        <v>Langchain 활용하기</v>
      </c>
      <c r="M255" s="25" t="e">
        <f t="shared" si="208"/>
        <v>#N/A</v>
      </c>
      <c r="N255" s="1"/>
      <c r="O255" s="1"/>
      <c r="P255" s="1"/>
      <c r="Q255" s="1"/>
      <c r="R255" s="1"/>
      <c r="S255" s="1"/>
      <c r="T255" s="1"/>
      <c r="U255" s="1"/>
    </row>
    <row r="256" spans="1:21" ht="24.75" customHeight="1">
      <c r="A256" s="167"/>
      <c r="B256" s="167"/>
      <c r="C256" s="28" t="s">
        <v>17</v>
      </c>
      <c r="D256" s="29" t="s">
        <v>156</v>
      </c>
      <c r="E256" s="29" t="s">
        <v>156</v>
      </c>
      <c r="F256" s="29" t="s">
        <v>157</v>
      </c>
      <c r="G256" s="29" t="s">
        <v>157</v>
      </c>
      <c r="H256" s="29" t="s">
        <v>157</v>
      </c>
      <c r="I256" s="29" t="s">
        <v>158</v>
      </c>
      <c r="J256" s="29" t="s">
        <v>158</v>
      </c>
      <c r="K256" s="29" t="s">
        <v>158</v>
      </c>
      <c r="L256" s="29" t="s">
        <v>63</v>
      </c>
      <c r="M256" s="29"/>
      <c r="N256" s="1"/>
      <c r="O256" s="1"/>
      <c r="P256" s="1"/>
      <c r="Q256" s="1"/>
      <c r="R256" s="1"/>
      <c r="S256" s="1"/>
      <c r="T256" s="1"/>
      <c r="U256" s="1"/>
    </row>
    <row r="257" spans="1:21" ht="24.75" customHeight="1">
      <c r="A257" s="167"/>
      <c r="B257" s="167"/>
      <c r="C257" s="32" t="s">
        <v>105</v>
      </c>
      <c r="D257" s="31" t="str">
        <f t="shared" ref="D257:M257" si="209">VLOOKUP(D254,$O$5:$Q$24,3,0)</f>
        <v>김도영</v>
      </c>
      <c r="E257" s="31" t="str">
        <f t="shared" si="209"/>
        <v>김도영</v>
      </c>
      <c r="F257" s="31" t="str">
        <f t="shared" si="209"/>
        <v>김도영</v>
      </c>
      <c r="G257" s="31" t="str">
        <f t="shared" si="209"/>
        <v>김도영</v>
      </c>
      <c r="H257" s="31" t="str">
        <f t="shared" si="209"/>
        <v>김도영</v>
      </c>
      <c r="I257" s="31" t="str">
        <f t="shared" si="209"/>
        <v>김도영</v>
      </c>
      <c r="J257" s="31" t="str">
        <f t="shared" si="209"/>
        <v>김도영</v>
      </c>
      <c r="K257" s="31" t="str">
        <f t="shared" si="209"/>
        <v>김도영</v>
      </c>
      <c r="L257" s="31" t="str">
        <f t="shared" si="209"/>
        <v>김도영</v>
      </c>
      <c r="M257" s="31" t="e">
        <f t="shared" si="209"/>
        <v>#N/A</v>
      </c>
      <c r="N257" s="1"/>
      <c r="O257" s="1"/>
      <c r="P257" s="1"/>
      <c r="Q257" s="1"/>
      <c r="R257" s="1"/>
      <c r="S257" s="1"/>
      <c r="T257" s="1"/>
      <c r="U257" s="1"/>
    </row>
    <row r="258" spans="1:21" ht="24.75" customHeight="1">
      <c r="A258" s="166" t="s">
        <v>108</v>
      </c>
      <c r="B258" s="166" t="s">
        <v>109</v>
      </c>
      <c r="C258" s="18" t="s">
        <v>15</v>
      </c>
      <c r="D258" s="19" t="s">
        <v>71</v>
      </c>
      <c r="E258" s="19" t="s">
        <v>71</v>
      </c>
      <c r="F258" s="19" t="s">
        <v>71</v>
      </c>
      <c r="G258" s="19" t="s">
        <v>71</v>
      </c>
      <c r="H258" s="19" t="s">
        <v>71</v>
      </c>
      <c r="I258" s="19" t="s">
        <v>71</v>
      </c>
      <c r="J258" s="19" t="s">
        <v>71</v>
      </c>
      <c r="K258" s="19" t="s">
        <v>71</v>
      </c>
      <c r="L258" s="19" t="s">
        <v>61</v>
      </c>
      <c r="M258" s="19"/>
      <c r="N258" s="1"/>
      <c r="O258" s="1"/>
      <c r="P258" s="1"/>
      <c r="Q258" s="1"/>
      <c r="R258" s="1"/>
      <c r="S258" s="1"/>
      <c r="T258" s="1"/>
      <c r="U258" s="1"/>
    </row>
    <row r="259" spans="1:21" ht="24.75" customHeight="1">
      <c r="A259" s="167"/>
      <c r="B259" s="167"/>
      <c r="C259" s="24" t="s">
        <v>16</v>
      </c>
      <c r="D259" s="25" t="str">
        <f t="shared" ref="D259:M259" si="210">VLOOKUP(D258,$O$5:$P$24,2,FALSE)</f>
        <v>거대 언어 모델을 활용한 PERSO AI 답변 기능 구현하기</v>
      </c>
      <c r="E259" s="25" t="str">
        <f t="shared" si="210"/>
        <v>거대 언어 모델을 활용한 PERSO AI 답변 기능 구현하기</v>
      </c>
      <c r="F259" s="25" t="str">
        <f t="shared" si="210"/>
        <v>거대 언어 모델을 활용한 PERSO AI 답변 기능 구현하기</v>
      </c>
      <c r="G259" s="25" t="str">
        <f t="shared" si="210"/>
        <v>거대 언어 모델을 활용한 PERSO AI 답변 기능 구현하기</v>
      </c>
      <c r="H259" s="25" t="str">
        <f t="shared" si="210"/>
        <v>거대 언어 모델을 활용한 PERSO AI 답변 기능 구현하기</v>
      </c>
      <c r="I259" s="25" t="str">
        <f t="shared" si="210"/>
        <v>거대 언어 모델을 활용한 PERSO AI 답변 기능 구현하기</v>
      </c>
      <c r="J259" s="25" t="str">
        <f t="shared" si="210"/>
        <v>거대 언어 모델을 활용한 PERSO AI 답변 기능 구현하기</v>
      </c>
      <c r="K259" s="25" t="str">
        <f t="shared" si="210"/>
        <v>거대 언어 모델을 활용한 PERSO AI 답변 기능 구현하기</v>
      </c>
      <c r="L259" s="25" t="str">
        <f t="shared" si="210"/>
        <v>Langchain 활용하기</v>
      </c>
      <c r="M259" s="25" t="e">
        <f t="shared" si="210"/>
        <v>#N/A</v>
      </c>
      <c r="N259" s="1"/>
      <c r="O259" s="1"/>
      <c r="P259" s="1"/>
      <c r="Q259" s="1"/>
      <c r="R259" s="1"/>
      <c r="S259" s="1"/>
      <c r="T259" s="1"/>
      <c r="U259" s="1"/>
    </row>
    <row r="260" spans="1:21" ht="24.75" customHeight="1">
      <c r="A260" s="167"/>
      <c r="B260" s="167"/>
      <c r="C260" s="28" t="s">
        <v>17</v>
      </c>
      <c r="D260" s="29" t="s">
        <v>156</v>
      </c>
      <c r="E260" s="29" t="s">
        <v>156</v>
      </c>
      <c r="F260" s="29" t="s">
        <v>157</v>
      </c>
      <c r="G260" s="29" t="s">
        <v>157</v>
      </c>
      <c r="H260" s="29" t="s">
        <v>157</v>
      </c>
      <c r="I260" s="29" t="s">
        <v>158</v>
      </c>
      <c r="J260" s="29" t="s">
        <v>158</v>
      </c>
      <c r="K260" s="29" t="s">
        <v>158</v>
      </c>
      <c r="L260" s="29" t="s">
        <v>63</v>
      </c>
      <c r="M260" s="29"/>
      <c r="N260" s="1"/>
      <c r="O260" s="1"/>
      <c r="P260" s="1"/>
      <c r="Q260" s="1"/>
      <c r="R260" s="1"/>
      <c r="S260" s="1"/>
      <c r="T260" s="1"/>
      <c r="U260" s="1"/>
    </row>
    <row r="261" spans="1:21" ht="24.75" customHeight="1">
      <c r="A261" s="167"/>
      <c r="B261" s="167"/>
      <c r="C261" s="32" t="s">
        <v>105</v>
      </c>
      <c r="D261" s="31" t="str">
        <f t="shared" ref="D261:M261" si="211">VLOOKUP(D258,$O$5:$Q$24,3,0)</f>
        <v>김도영</v>
      </c>
      <c r="E261" s="31" t="str">
        <f t="shared" si="211"/>
        <v>김도영</v>
      </c>
      <c r="F261" s="31" t="str">
        <f t="shared" si="211"/>
        <v>김도영</v>
      </c>
      <c r="G261" s="31" t="str">
        <f t="shared" si="211"/>
        <v>김도영</v>
      </c>
      <c r="H261" s="31" t="str">
        <f t="shared" si="211"/>
        <v>김도영</v>
      </c>
      <c r="I261" s="31" t="str">
        <f t="shared" si="211"/>
        <v>김도영</v>
      </c>
      <c r="J261" s="31" t="str">
        <f t="shared" si="211"/>
        <v>김도영</v>
      </c>
      <c r="K261" s="31" t="str">
        <f t="shared" si="211"/>
        <v>김도영</v>
      </c>
      <c r="L261" s="31" t="str">
        <f t="shared" si="211"/>
        <v>김도영</v>
      </c>
      <c r="M261" s="31" t="e">
        <f t="shared" si="211"/>
        <v>#N/A</v>
      </c>
      <c r="N261" s="1"/>
      <c r="O261" s="1"/>
      <c r="P261" s="1"/>
      <c r="Q261" s="1"/>
      <c r="R261" s="1"/>
      <c r="S261" s="1"/>
      <c r="T261" s="1"/>
      <c r="U261" s="1"/>
    </row>
    <row r="262" spans="1:21" ht="24.75" customHeight="1">
      <c r="A262" s="38" t="s">
        <v>28</v>
      </c>
      <c r="B262" s="38" t="s">
        <v>110</v>
      </c>
      <c r="C262" s="39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1"/>
      <c r="O262" s="1"/>
      <c r="P262" s="1"/>
      <c r="Q262" s="1"/>
      <c r="R262" s="1"/>
      <c r="S262" s="1"/>
      <c r="T262" s="1"/>
      <c r="U262" s="1"/>
    </row>
    <row r="263" spans="1:21" ht="24.75" customHeight="1">
      <c r="A263" s="166" t="s">
        <v>111</v>
      </c>
      <c r="B263" s="166" t="s">
        <v>112</v>
      </c>
      <c r="C263" s="18" t="s">
        <v>15</v>
      </c>
      <c r="D263" s="19" t="s">
        <v>71</v>
      </c>
      <c r="E263" s="19" t="s">
        <v>71</v>
      </c>
      <c r="F263" s="19" t="s">
        <v>71</v>
      </c>
      <c r="G263" s="19" t="s">
        <v>71</v>
      </c>
      <c r="H263" s="19" t="s">
        <v>71</v>
      </c>
      <c r="I263" s="19" t="s">
        <v>71</v>
      </c>
      <c r="J263" s="19" t="s">
        <v>71</v>
      </c>
      <c r="K263" s="19" t="s">
        <v>71</v>
      </c>
      <c r="L263" s="19" t="s">
        <v>61</v>
      </c>
      <c r="M263" s="19"/>
      <c r="N263" s="1"/>
      <c r="O263" s="1"/>
      <c r="P263" s="1"/>
      <c r="Q263" s="1"/>
      <c r="R263" s="1"/>
      <c r="S263" s="1"/>
      <c r="T263" s="1"/>
      <c r="U263" s="1"/>
    </row>
    <row r="264" spans="1:21" ht="24.75" customHeight="1">
      <c r="A264" s="167"/>
      <c r="B264" s="167"/>
      <c r="C264" s="24" t="s">
        <v>16</v>
      </c>
      <c r="D264" s="25" t="str">
        <f t="shared" ref="D264:M264" si="212">VLOOKUP(D263,$O$5:$P$24,2,FALSE)</f>
        <v>거대 언어 모델을 활용한 PERSO AI 답변 기능 구현하기</v>
      </c>
      <c r="E264" s="25" t="str">
        <f t="shared" si="212"/>
        <v>거대 언어 모델을 활용한 PERSO AI 답변 기능 구현하기</v>
      </c>
      <c r="F264" s="25" t="str">
        <f t="shared" si="212"/>
        <v>거대 언어 모델을 활용한 PERSO AI 답변 기능 구현하기</v>
      </c>
      <c r="G264" s="25" t="str">
        <f t="shared" si="212"/>
        <v>거대 언어 모델을 활용한 PERSO AI 답변 기능 구현하기</v>
      </c>
      <c r="H264" s="25" t="str">
        <f t="shared" si="212"/>
        <v>거대 언어 모델을 활용한 PERSO AI 답변 기능 구현하기</v>
      </c>
      <c r="I264" s="25" t="str">
        <f t="shared" si="212"/>
        <v>거대 언어 모델을 활용한 PERSO AI 답변 기능 구현하기</v>
      </c>
      <c r="J264" s="25" t="str">
        <f t="shared" si="212"/>
        <v>거대 언어 모델을 활용한 PERSO AI 답변 기능 구현하기</v>
      </c>
      <c r="K264" s="25" t="str">
        <f t="shared" si="212"/>
        <v>거대 언어 모델을 활용한 PERSO AI 답변 기능 구현하기</v>
      </c>
      <c r="L264" s="25" t="str">
        <f t="shared" si="212"/>
        <v>Langchain 활용하기</v>
      </c>
      <c r="M264" s="25" t="e">
        <f t="shared" si="212"/>
        <v>#N/A</v>
      </c>
      <c r="N264" s="1"/>
      <c r="O264" s="1"/>
      <c r="P264" s="1"/>
      <c r="Q264" s="1"/>
      <c r="R264" s="1"/>
      <c r="S264" s="1"/>
      <c r="T264" s="1"/>
      <c r="U264" s="1"/>
    </row>
    <row r="265" spans="1:21" ht="24.75" customHeight="1">
      <c r="A265" s="167"/>
      <c r="B265" s="167"/>
      <c r="C265" s="28" t="s">
        <v>17</v>
      </c>
      <c r="D265" s="29" t="s">
        <v>156</v>
      </c>
      <c r="E265" s="29" t="s">
        <v>156</v>
      </c>
      <c r="F265" s="29" t="s">
        <v>157</v>
      </c>
      <c r="G265" s="29" t="s">
        <v>157</v>
      </c>
      <c r="H265" s="29" t="s">
        <v>157</v>
      </c>
      <c r="I265" s="29" t="s">
        <v>158</v>
      </c>
      <c r="J265" s="29" t="s">
        <v>158</v>
      </c>
      <c r="K265" s="29" t="s">
        <v>158</v>
      </c>
      <c r="L265" s="29" t="s">
        <v>63</v>
      </c>
      <c r="M265" s="29"/>
      <c r="N265" s="1"/>
      <c r="O265" s="1"/>
      <c r="P265" s="1"/>
      <c r="Q265" s="1"/>
      <c r="R265" s="1"/>
      <c r="S265" s="1"/>
      <c r="T265" s="1"/>
      <c r="U265" s="1"/>
    </row>
    <row r="266" spans="1:21" ht="24.75" customHeight="1">
      <c r="A266" s="167"/>
      <c r="B266" s="167"/>
      <c r="C266" s="32" t="s">
        <v>105</v>
      </c>
      <c r="D266" s="31" t="str">
        <f t="shared" ref="D266:M266" si="213">VLOOKUP(D263,$O$5:$Q$24,3,0)</f>
        <v>김도영</v>
      </c>
      <c r="E266" s="31" t="str">
        <f t="shared" si="213"/>
        <v>김도영</v>
      </c>
      <c r="F266" s="31" t="str">
        <f t="shared" si="213"/>
        <v>김도영</v>
      </c>
      <c r="G266" s="31" t="str">
        <f t="shared" si="213"/>
        <v>김도영</v>
      </c>
      <c r="H266" s="31" t="str">
        <f t="shared" si="213"/>
        <v>김도영</v>
      </c>
      <c r="I266" s="31" t="str">
        <f t="shared" si="213"/>
        <v>김도영</v>
      </c>
      <c r="J266" s="31" t="str">
        <f t="shared" si="213"/>
        <v>김도영</v>
      </c>
      <c r="K266" s="31" t="str">
        <f t="shared" si="213"/>
        <v>김도영</v>
      </c>
      <c r="L266" s="31" t="str">
        <f t="shared" si="213"/>
        <v>김도영</v>
      </c>
      <c r="M266" s="31" t="e">
        <f t="shared" si="213"/>
        <v>#N/A</v>
      </c>
      <c r="N266" s="1"/>
      <c r="O266" s="1"/>
      <c r="P266" s="1"/>
      <c r="Q266" s="1"/>
      <c r="R266" s="1"/>
      <c r="S266" s="1"/>
      <c r="T266" s="1"/>
      <c r="U266" s="1"/>
    </row>
    <row r="267" spans="1:21" ht="24.75" customHeight="1">
      <c r="A267" s="166" t="s">
        <v>113</v>
      </c>
      <c r="B267" s="166" t="s">
        <v>114</v>
      </c>
      <c r="C267" s="18" t="s">
        <v>15</v>
      </c>
      <c r="D267" s="19" t="s">
        <v>71</v>
      </c>
      <c r="E267" s="19" t="s">
        <v>71</v>
      </c>
      <c r="F267" s="19" t="s">
        <v>71</v>
      </c>
      <c r="G267" s="19" t="s">
        <v>71</v>
      </c>
      <c r="H267" s="19" t="s">
        <v>71</v>
      </c>
      <c r="I267" s="19" t="s">
        <v>71</v>
      </c>
      <c r="J267" s="19" t="s">
        <v>71</v>
      </c>
      <c r="K267" s="19" t="s">
        <v>71</v>
      </c>
      <c r="L267" s="19" t="s">
        <v>61</v>
      </c>
      <c r="M267" s="19"/>
      <c r="N267" s="1"/>
      <c r="O267" s="1"/>
      <c r="P267" s="1"/>
      <c r="Q267" s="1"/>
      <c r="R267" s="1"/>
      <c r="S267" s="1"/>
      <c r="T267" s="1"/>
      <c r="U267" s="1"/>
    </row>
    <row r="268" spans="1:21" ht="24.75" customHeight="1">
      <c r="A268" s="167"/>
      <c r="B268" s="167"/>
      <c r="C268" s="24" t="s">
        <v>16</v>
      </c>
      <c r="D268" s="25" t="str">
        <f t="shared" ref="D268:M268" si="214">VLOOKUP(D267,$O$5:$P$24,2,FALSE)</f>
        <v>거대 언어 모델을 활용한 PERSO AI 답변 기능 구현하기</v>
      </c>
      <c r="E268" s="25" t="str">
        <f t="shared" si="214"/>
        <v>거대 언어 모델을 활용한 PERSO AI 답변 기능 구현하기</v>
      </c>
      <c r="F268" s="25" t="str">
        <f t="shared" si="214"/>
        <v>거대 언어 모델을 활용한 PERSO AI 답변 기능 구현하기</v>
      </c>
      <c r="G268" s="25" t="str">
        <f t="shared" si="214"/>
        <v>거대 언어 모델을 활용한 PERSO AI 답변 기능 구현하기</v>
      </c>
      <c r="H268" s="25" t="str">
        <f t="shared" si="214"/>
        <v>거대 언어 모델을 활용한 PERSO AI 답변 기능 구현하기</v>
      </c>
      <c r="I268" s="25" t="str">
        <f t="shared" si="214"/>
        <v>거대 언어 모델을 활용한 PERSO AI 답변 기능 구현하기</v>
      </c>
      <c r="J268" s="25" t="str">
        <f t="shared" si="214"/>
        <v>거대 언어 모델을 활용한 PERSO AI 답변 기능 구현하기</v>
      </c>
      <c r="K268" s="25" t="str">
        <f t="shared" si="214"/>
        <v>거대 언어 모델을 활용한 PERSO AI 답변 기능 구현하기</v>
      </c>
      <c r="L268" s="25" t="str">
        <f t="shared" si="214"/>
        <v>Langchain 활용하기</v>
      </c>
      <c r="M268" s="25" t="e">
        <f t="shared" si="214"/>
        <v>#N/A</v>
      </c>
      <c r="N268" s="1"/>
      <c r="O268" s="1"/>
      <c r="P268" s="1"/>
      <c r="Q268" s="1"/>
      <c r="R268" s="1"/>
      <c r="S268" s="1"/>
      <c r="T268" s="1"/>
      <c r="U268" s="1"/>
    </row>
    <row r="269" spans="1:21" ht="24.75" customHeight="1">
      <c r="A269" s="167"/>
      <c r="B269" s="167"/>
      <c r="C269" s="28" t="s">
        <v>17</v>
      </c>
      <c r="D269" s="29" t="s">
        <v>156</v>
      </c>
      <c r="E269" s="29" t="s">
        <v>156</v>
      </c>
      <c r="F269" s="29" t="s">
        <v>157</v>
      </c>
      <c r="G269" s="29" t="s">
        <v>157</v>
      </c>
      <c r="H269" s="29" t="s">
        <v>157</v>
      </c>
      <c r="I269" s="29" t="s">
        <v>158</v>
      </c>
      <c r="J269" s="29" t="s">
        <v>158</v>
      </c>
      <c r="K269" s="29" t="s">
        <v>158</v>
      </c>
      <c r="L269" s="29" t="s">
        <v>63</v>
      </c>
      <c r="M269" s="29"/>
      <c r="N269" s="1"/>
      <c r="O269" s="1"/>
      <c r="P269" s="1"/>
      <c r="Q269" s="1"/>
      <c r="R269" s="1"/>
      <c r="S269" s="1"/>
      <c r="T269" s="1"/>
      <c r="U269" s="1"/>
    </row>
    <row r="270" spans="1:21" ht="24.75" customHeight="1">
      <c r="A270" s="167"/>
      <c r="B270" s="167"/>
      <c r="C270" s="32" t="s">
        <v>105</v>
      </c>
      <c r="D270" s="31" t="str">
        <f t="shared" ref="D270:M270" si="215">VLOOKUP(D267,$O$5:$Q$24,3,0)</f>
        <v>김도영</v>
      </c>
      <c r="E270" s="31" t="str">
        <f t="shared" si="215"/>
        <v>김도영</v>
      </c>
      <c r="F270" s="31" t="str">
        <f t="shared" si="215"/>
        <v>김도영</v>
      </c>
      <c r="G270" s="31" t="str">
        <f t="shared" si="215"/>
        <v>김도영</v>
      </c>
      <c r="H270" s="31" t="str">
        <f t="shared" si="215"/>
        <v>김도영</v>
      </c>
      <c r="I270" s="31" t="str">
        <f t="shared" si="215"/>
        <v>김도영</v>
      </c>
      <c r="J270" s="31" t="str">
        <f t="shared" si="215"/>
        <v>김도영</v>
      </c>
      <c r="K270" s="31" t="str">
        <f t="shared" si="215"/>
        <v>김도영</v>
      </c>
      <c r="L270" s="31" t="str">
        <f t="shared" si="215"/>
        <v>김도영</v>
      </c>
      <c r="M270" s="31" t="e">
        <f t="shared" si="215"/>
        <v>#N/A</v>
      </c>
      <c r="N270" s="1"/>
      <c r="O270" s="1"/>
      <c r="P270" s="1"/>
      <c r="Q270" s="1"/>
      <c r="R270" s="1"/>
      <c r="S270" s="1"/>
      <c r="T270" s="1"/>
      <c r="U270" s="1"/>
    </row>
    <row r="271" spans="1:21" ht="24.75" customHeight="1">
      <c r="A271" s="166" t="s">
        <v>115</v>
      </c>
      <c r="B271" s="166" t="s">
        <v>116</v>
      </c>
      <c r="C271" s="18" t="s">
        <v>15</v>
      </c>
      <c r="D271" s="19" t="s">
        <v>71</v>
      </c>
      <c r="E271" s="19" t="s">
        <v>71</v>
      </c>
      <c r="F271" s="19" t="s">
        <v>71</v>
      </c>
      <c r="G271" s="19" t="s">
        <v>71</v>
      </c>
      <c r="H271" s="19" t="s">
        <v>71</v>
      </c>
      <c r="I271" s="19" t="s">
        <v>71</v>
      </c>
      <c r="J271" s="19" t="s">
        <v>71</v>
      </c>
      <c r="K271" s="19" t="s">
        <v>71</v>
      </c>
      <c r="L271" s="19" t="s">
        <v>61</v>
      </c>
      <c r="M271" s="19"/>
      <c r="N271" s="1"/>
      <c r="O271" s="1"/>
      <c r="P271" s="1"/>
      <c r="Q271" s="1"/>
      <c r="R271" s="1"/>
      <c r="S271" s="1"/>
      <c r="T271" s="1"/>
      <c r="U271" s="1"/>
    </row>
    <row r="272" spans="1:21" ht="24.75" customHeight="1">
      <c r="A272" s="167"/>
      <c r="B272" s="167"/>
      <c r="C272" s="24" t="s">
        <v>16</v>
      </c>
      <c r="D272" s="25" t="str">
        <f t="shared" ref="D272:M272" si="216">VLOOKUP(D271,$O$5:$P$24,2,FALSE)</f>
        <v>거대 언어 모델을 활용한 PERSO AI 답변 기능 구현하기</v>
      </c>
      <c r="E272" s="25" t="str">
        <f t="shared" si="216"/>
        <v>거대 언어 모델을 활용한 PERSO AI 답변 기능 구현하기</v>
      </c>
      <c r="F272" s="25" t="str">
        <f t="shared" si="216"/>
        <v>거대 언어 모델을 활용한 PERSO AI 답변 기능 구현하기</v>
      </c>
      <c r="G272" s="25" t="str">
        <f t="shared" si="216"/>
        <v>거대 언어 모델을 활용한 PERSO AI 답변 기능 구현하기</v>
      </c>
      <c r="H272" s="25" t="str">
        <f t="shared" si="216"/>
        <v>거대 언어 모델을 활용한 PERSO AI 답변 기능 구현하기</v>
      </c>
      <c r="I272" s="25" t="str">
        <f t="shared" si="216"/>
        <v>거대 언어 모델을 활용한 PERSO AI 답변 기능 구현하기</v>
      </c>
      <c r="J272" s="25" t="str">
        <f t="shared" si="216"/>
        <v>거대 언어 모델을 활용한 PERSO AI 답변 기능 구현하기</v>
      </c>
      <c r="K272" s="25" t="str">
        <f t="shared" si="216"/>
        <v>거대 언어 모델을 활용한 PERSO AI 답변 기능 구현하기</v>
      </c>
      <c r="L272" s="25" t="str">
        <f t="shared" si="216"/>
        <v>Langchain 활용하기</v>
      </c>
      <c r="M272" s="25" t="e">
        <f t="shared" si="216"/>
        <v>#N/A</v>
      </c>
      <c r="N272" s="1"/>
      <c r="O272" s="1"/>
      <c r="P272" s="1"/>
      <c r="Q272" s="1"/>
      <c r="R272" s="1"/>
      <c r="S272" s="1"/>
      <c r="T272" s="1"/>
      <c r="U272" s="1"/>
    </row>
    <row r="273" spans="1:21" ht="24.75" customHeight="1">
      <c r="A273" s="167"/>
      <c r="B273" s="167"/>
      <c r="C273" s="28" t="s">
        <v>17</v>
      </c>
      <c r="D273" s="29" t="s">
        <v>156</v>
      </c>
      <c r="E273" s="29" t="s">
        <v>156</v>
      </c>
      <c r="F273" s="29" t="s">
        <v>157</v>
      </c>
      <c r="G273" s="29" t="s">
        <v>157</v>
      </c>
      <c r="H273" s="29" t="s">
        <v>157</v>
      </c>
      <c r="I273" s="29" t="s">
        <v>158</v>
      </c>
      <c r="J273" s="29" t="s">
        <v>158</v>
      </c>
      <c r="K273" s="29" t="s">
        <v>158</v>
      </c>
      <c r="L273" s="29" t="s">
        <v>63</v>
      </c>
      <c r="M273" s="29"/>
      <c r="N273" s="1"/>
      <c r="O273" s="1"/>
      <c r="P273" s="1"/>
      <c r="Q273" s="1"/>
      <c r="R273" s="1"/>
      <c r="S273" s="1"/>
      <c r="T273" s="1"/>
      <c r="U273" s="1"/>
    </row>
    <row r="274" spans="1:21" ht="24.75" customHeight="1">
      <c r="A274" s="167"/>
      <c r="B274" s="167"/>
      <c r="C274" s="32" t="s">
        <v>105</v>
      </c>
      <c r="D274" s="31" t="str">
        <f t="shared" ref="D274:M274" si="217">VLOOKUP(D271,$O$5:$Q$24,3,0)</f>
        <v>김도영</v>
      </c>
      <c r="E274" s="31" t="str">
        <f t="shared" si="217"/>
        <v>김도영</v>
      </c>
      <c r="F274" s="31" t="str">
        <f t="shared" si="217"/>
        <v>김도영</v>
      </c>
      <c r="G274" s="31" t="str">
        <f t="shared" si="217"/>
        <v>김도영</v>
      </c>
      <c r="H274" s="31" t="str">
        <f t="shared" si="217"/>
        <v>김도영</v>
      </c>
      <c r="I274" s="31" t="str">
        <f t="shared" si="217"/>
        <v>김도영</v>
      </c>
      <c r="J274" s="31" t="str">
        <f t="shared" si="217"/>
        <v>김도영</v>
      </c>
      <c r="K274" s="31" t="str">
        <f t="shared" si="217"/>
        <v>김도영</v>
      </c>
      <c r="L274" s="31" t="str">
        <f t="shared" si="217"/>
        <v>김도영</v>
      </c>
      <c r="M274" s="31" t="e">
        <f t="shared" si="217"/>
        <v>#N/A</v>
      </c>
      <c r="N274" s="1"/>
      <c r="O274" s="1"/>
      <c r="P274" s="1"/>
      <c r="Q274" s="1"/>
      <c r="R274" s="1"/>
      <c r="S274" s="1"/>
      <c r="T274" s="1"/>
      <c r="U274" s="1"/>
    </row>
    <row r="275" spans="1:21" ht="24.75" customHeight="1">
      <c r="A275" s="166" t="s">
        <v>117</v>
      </c>
      <c r="B275" s="166" t="s">
        <v>118</v>
      </c>
      <c r="C275" s="18" t="s">
        <v>15</v>
      </c>
      <c r="D275" s="19" t="s">
        <v>71</v>
      </c>
      <c r="E275" s="19" t="s">
        <v>71</v>
      </c>
      <c r="F275" s="19" t="s">
        <v>71</v>
      </c>
      <c r="G275" s="19" t="s">
        <v>71</v>
      </c>
      <c r="H275" s="19" t="s">
        <v>71</v>
      </c>
      <c r="I275" s="19" t="s">
        <v>71</v>
      </c>
      <c r="J275" s="19" t="s">
        <v>71</v>
      </c>
      <c r="K275" s="19" t="s">
        <v>71</v>
      </c>
      <c r="L275" s="19" t="s">
        <v>61</v>
      </c>
      <c r="M275" s="19"/>
      <c r="N275" s="1"/>
      <c r="O275" s="1"/>
      <c r="P275" s="1"/>
      <c r="Q275" s="1"/>
      <c r="R275" s="1"/>
      <c r="S275" s="1"/>
      <c r="T275" s="1"/>
      <c r="U275" s="1"/>
    </row>
    <row r="276" spans="1:21" ht="24.75" customHeight="1">
      <c r="A276" s="167"/>
      <c r="B276" s="167"/>
      <c r="C276" s="24" t="s">
        <v>16</v>
      </c>
      <c r="D276" s="25" t="str">
        <f t="shared" ref="D276:M276" si="218">VLOOKUP(D275,$O$5:$P$24,2,FALSE)</f>
        <v>거대 언어 모델을 활용한 PERSO AI 답변 기능 구현하기</v>
      </c>
      <c r="E276" s="25" t="str">
        <f t="shared" si="218"/>
        <v>거대 언어 모델을 활용한 PERSO AI 답변 기능 구현하기</v>
      </c>
      <c r="F276" s="25" t="str">
        <f t="shared" si="218"/>
        <v>거대 언어 모델을 활용한 PERSO AI 답변 기능 구현하기</v>
      </c>
      <c r="G276" s="25" t="str">
        <f t="shared" si="218"/>
        <v>거대 언어 모델을 활용한 PERSO AI 답변 기능 구현하기</v>
      </c>
      <c r="H276" s="25" t="str">
        <f t="shared" si="218"/>
        <v>거대 언어 모델을 활용한 PERSO AI 답변 기능 구현하기</v>
      </c>
      <c r="I276" s="25" t="str">
        <f t="shared" si="218"/>
        <v>거대 언어 모델을 활용한 PERSO AI 답변 기능 구현하기</v>
      </c>
      <c r="J276" s="25" t="str">
        <f t="shared" si="218"/>
        <v>거대 언어 모델을 활용한 PERSO AI 답변 기능 구현하기</v>
      </c>
      <c r="K276" s="25" t="str">
        <f t="shared" si="218"/>
        <v>거대 언어 모델을 활용한 PERSO AI 답변 기능 구현하기</v>
      </c>
      <c r="L276" s="25" t="str">
        <f t="shared" si="218"/>
        <v>Langchain 활용하기</v>
      </c>
      <c r="M276" s="25" t="e">
        <f t="shared" si="218"/>
        <v>#N/A</v>
      </c>
      <c r="N276" s="1"/>
      <c r="O276" s="1"/>
      <c r="P276" s="1"/>
      <c r="Q276" s="1"/>
      <c r="R276" s="1"/>
      <c r="S276" s="1"/>
      <c r="T276" s="1"/>
      <c r="U276" s="1"/>
    </row>
    <row r="277" spans="1:21" ht="24.75" customHeight="1">
      <c r="A277" s="167"/>
      <c r="B277" s="167"/>
      <c r="C277" s="28" t="s">
        <v>17</v>
      </c>
      <c r="D277" s="29" t="s">
        <v>156</v>
      </c>
      <c r="E277" s="29" t="s">
        <v>157</v>
      </c>
      <c r="F277" s="29" t="s">
        <v>157</v>
      </c>
      <c r="G277" s="29" t="s">
        <v>157</v>
      </c>
      <c r="H277" s="29" t="s">
        <v>157</v>
      </c>
      <c r="I277" s="29" t="s">
        <v>158</v>
      </c>
      <c r="J277" s="29" t="s">
        <v>158</v>
      </c>
      <c r="K277" s="29" t="s">
        <v>158</v>
      </c>
      <c r="L277" s="29" t="s">
        <v>63</v>
      </c>
      <c r="M277" s="29"/>
      <c r="N277" s="1"/>
      <c r="O277" s="1"/>
      <c r="P277" s="1"/>
      <c r="Q277" s="1"/>
      <c r="R277" s="1"/>
      <c r="S277" s="1"/>
      <c r="T277" s="1"/>
      <c r="U277" s="1"/>
    </row>
    <row r="278" spans="1:21" ht="24.75" customHeight="1">
      <c r="A278" s="167"/>
      <c r="B278" s="167"/>
      <c r="C278" s="32" t="s">
        <v>105</v>
      </c>
      <c r="D278" s="31" t="str">
        <f t="shared" ref="D278:M278" si="219">VLOOKUP(D275,$O$5:$Q$24,3,0)</f>
        <v>김도영</v>
      </c>
      <c r="E278" s="31" t="str">
        <f t="shared" si="219"/>
        <v>김도영</v>
      </c>
      <c r="F278" s="31" t="str">
        <f t="shared" si="219"/>
        <v>김도영</v>
      </c>
      <c r="G278" s="31" t="str">
        <f t="shared" si="219"/>
        <v>김도영</v>
      </c>
      <c r="H278" s="31" t="str">
        <f t="shared" si="219"/>
        <v>김도영</v>
      </c>
      <c r="I278" s="31" t="str">
        <f t="shared" si="219"/>
        <v>김도영</v>
      </c>
      <c r="J278" s="31" t="str">
        <f t="shared" si="219"/>
        <v>김도영</v>
      </c>
      <c r="K278" s="31" t="str">
        <f t="shared" si="219"/>
        <v>김도영</v>
      </c>
      <c r="L278" s="31" t="str">
        <f t="shared" si="219"/>
        <v>김도영</v>
      </c>
      <c r="M278" s="31" t="e">
        <f t="shared" si="219"/>
        <v>#N/A</v>
      </c>
      <c r="N278" s="1"/>
      <c r="O278" s="1"/>
      <c r="P278" s="1"/>
      <c r="Q278" s="1"/>
      <c r="R278" s="1"/>
      <c r="S278" s="1"/>
      <c r="T278" s="1"/>
      <c r="U278" s="1"/>
    </row>
    <row r="279" spans="1:21" ht="24.75" customHeight="1">
      <c r="A279" s="166" t="s">
        <v>119</v>
      </c>
      <c r="B279" s="166" t="s">
        <v>120</v>
      </c>
      <c r="C279" s="18" t="s">
        <v>15</v>
      </c>
      <c r="D279" s="19" t="s">
        <v>71</v>
      </c>
      <c r="E279" s="19" t="s">
        <v>71</v>
      </c>
      <c r="F279" s="19" t="s">
        <v>71</v>
      </c>
      <c r="G279" s="19" t="s">
        <v>71</v>
      </c>
      <c r="H279" s="19" t="s">
        <v>71</v>
      </c>
      <c r="I279" s="19" t="s">
        <v>71</v>
      </c>
      <c r="J279" s="19" t="s">
        <v>71</v>
      </c>
      <c r="K279" s="19" t="s">
        <v>71</v>
      </c>
      <c r="L279" s="19" t="s">
        <v>61</v>
      </c>
      <c r="M279" s="19"/>
      <c r="N279" s="1"/>
      <c r="O279" s="1"/>
      <c r="P279" s="1"/>
      <c r="Q279" s="1"/>
      <c r="R279" s="1"/>
      <c r="S279" s="1"/>
      <c r="T279" s="1"/>
      <c r="U279" s="1"/>
    </row>
    <row r="280" spans="1:21" ht="24.75" customHeight="1">
      <c r="A280" s="167"/>
      <c r="B280" s="167"/>
      <c r="C280" s="24" t="s">
        <v>16</v>
      </c>
      <c r="D280" s="25" t="str">
        <f t="shared" ref="D280:M280" si="220">VLOOKUP(D279,$O$5:$P$24,2,FALSE)</f>
        <v>거대 언어 모델을 활용한 PERSO AI 답변 기능 구현하기</v>
      </c>
      <c r="E280" s="25" t="str">
        <f t="shared" si="220"/>
        <v>거대 언어 모델을 활용한 PERSO AI 답변 기능 구현하기</v>
      </c>
      <c r="F280" s="25" t="str">
        <f t="shared" si="220"/>
        <v>거대 언어 모델을 활용한 PERSO AI 답변 기능 구현하기</v>
      </c>
      <c r="G280" s="25" t="str">
        <f t="shared" si="220"/>
        <v>거대 언어 모델을 활용한 PERSO AI 답변 기능 구현하기</v>
      </c>
      <c r="H280" s="25" t="str">
        <f t="shared" si="220"/>
        <v>거대 언어 모델을 활용한 PERSO AI 답변 기능 구현하기</v>
      </c>
      <c r="I280" s="25" t="str">
        <f t="shared" si="220"/>
        <v>거대 언어 모델을 활용한 PERSO AI 답변 기능 구현하기</v>
      </c>
      <c r="J280" s="25" t="str">
        <f t="shared" si="220"/>
        <v>거대 언어 모델을 활용한 PERSO AI 답변 기능 구현하기</v>
      </c>
      <c r="K280" s="25" t="str">
        <f t="shared" si="220"/>
        <v>거대 언어 모델을 활용한 PERSO AI 답변 기능 구현하기</v>
      </c>
      <c r="L280" s="25" t="str">
        <f t="shared" si="220"/>
        <v>Langchain 활용하기</v>
      </c>
      <c r="M280" s="25" t="e">
        <f t="shared" si="220"/>
        <v>#N/A</v>
      </c>
      <c r="N280" s="1"/>
      <c r="O280" s="1"/>
      <c r="P280" s="1"/>
      <c r="Q280" s="1"/>
      <c r="R280" s="1"/>
      <c r="S280" s="1"/>
      <c r="T280" s="1"/>
      <c r="U280" s="1"/>
    </row>
    <row r="281" spans="1:21" ht="24.75" customHeight="1">
      <c r="A281" s="167"/>
      <c r="B281" s="167"/>
      <c r="C281" s="28" t="s">
        <v>17</v>
      </c>
      <c r="D281" s="29" t="s">
        <v>156</v>
      </c>
      <c r="E281" s="29" t="s">
        <v>157</v>
      </c>
      <c r="F281" s="29" t="s">
        <v>157</v>
      </c>
      <c r="G281" s="29" t="s">
        <v>157</v>
      </c>
      <c r="H281" s="29" t="s">
        <v>158</v>
      </c>
      <c r="I281" s="29" t="s">
        <v>158</v>
      </c>
      <c r="J281" s="29" t="s">
        <v>158</v>
      </c>
      <c r="K281" s="29" t="s">
        <v>158</v>
      </c>
      <c r="L281" s="29" t="s">
        <v>63</v>
      </c>
      <c r="M281" s="29"/>
      <c r="N281" s="1"/>
      <c r="O281" s="1"/>
      <c r="P281" s="1"/>
      <c r="Q281" s="1"/>
      <c r="R281" s="1"/>
      <c r="S281" s="1"/>
      <c r="T281" s="1"/>
      <c r="U281" s="1"/>
    </row>
    <row r="282" spans="1:21" ht="24.75" customHeight="1">
      <c r="A282" s="159"/>
      <c r="B282" s="159"/>
      <c r="C282" s="32" t="s">
        <v>105</v>
      </c>
      <c r="D282" s="31" t="str">
        <f t="shared" ref="D282:M282" si="221">VLOOKUP(D279,$O$5:$Q$24,3,0)</f>
        <v>김도영</v>
      </c>
      <c r="E282" s="31" t="str">
        <f t="shared" si="221"/>
        <v>김도영</v>
      </c>
      <c r="F282" s="31" t="str">
        <f t="shared" si="221"/>
        <v>김도영</v>
      </c>
      <c r="G282" s="31" t="str">
        <f t="shared" si="221"/>
        <v>김도영</v>
      </c>
      <c r="H282" s="31" t="str">
        <f t="shared" si="221"/>
        <v>김도영</v>
      </c>
      <c r="I282" s="31" t="str">
        <f t="shared" si="221"/>
        <v>김도영</v>
      </c>
      <c r="J282" s="31" t="str">
        <f t="shared" si="221"/>
        <v>김도영</v>
      </c>
      <c r="K282" s="31" t="str">
        <f t="shared" si="221"/>
        <v>김도영</v>
      </c>
      <c r="L282" s="31" t="str">
        <f t="shared" si="221"/>
        <v>김도영</v>
      </c>
      <c r="M282" s="31" t="e">
        <f t="shared" si="221"/>
        <v>#N/A</v>
      </c>
      <c r="N282" s="1"/>
      <c r="O282" s="1"/>
      <c r="P282" s="1"/>
      <c r="Q282" s="1"/>
      <c r="R282" s="1"/>
      <c r="S282" s="1"/>
      <c r="T282" s="1"/>
      <c r="U282" s="1"/>
    </row>
    <row r="283" spans="1:21" ht="24.75" customHeight="1">
      <c r="A283" s="164" t="s">
        <v>94</v>
      </c>
      <c r="B283" s="164" t="s">
        <v>95</v>
      </c>
      <c r="C283" s="164" t="s">
        <v>96</v>
      </c>
      <c r="D283" s="165">
        <f>I248+1</f>
        <v>17</v>
      </c>
      <c r="E283" s="156"/>
      <c r="F283" s="156"/>
      <c r="G283" s="156"/>
      <c r="H283" s="154"/>
      <c r="I283" s="165">
        <f>D283+1</f>
        <v>18</v>
      </c>
      <c r="J283" s="156"/>
      <c r="K283" s="156"/>
      <c r="L283" s="156"/>
      <c r="M283" s="154"/>
      <c r="N283" s="1"/>
      <c r="O283" s="1"/>
      <c r="P283" s="1"/>
      <c r="Q283" s="1"/>
      <c r="R283" s="1"/>
      <c r="S283" s="1"/>
      <c r="T283" s="1"/>
      <c r="U283" s="1"/>
    </row>
    <row r="284" spans="1:21" ht="24.75" customHeight="1">
      <c r="A284" s="159"/>
      <c r="B284" s="159"/>
      <c r="C284" s="159"/>
      <c r="D284" s="14">
        <f>M249+3</f>
        <v>46223</v>
      </c>
      <c r="E284" s="14">
        <f t="shared" ref="E284:H284" si="222">D284+1</f>
        <v>46224</v>
      </c>
      <c r="F284" s="14">
        <f t="shared" si="222"/>
        <v>46225</v>
      </c>
      <c r="G284" s="14">
        <f t="shared" si="222"/>
        <v>46226</v>
      </c>
      <c r="H284" s="14">
        <f t="shared" si="222"/>
        <v>46227</v>
      </c>
      <c r="I284" s="14">
        <f>H284+3</f>
        <v>46230</v>
      </c>
      <c r="J284" s="14">
        <f t="shared" ref="J284:M284" si="223">I284+1</f>
        <v>46231</v>
      </c>
      <c r="K284" s="14">
        <f t="shared" si="223"/>
        <v>46232</v>
      </c>
      <c r="L284" s="14">
        <f t="shared" si="223"/>
        <v>46233</v>
      </c>
      <c r="M284" s="14">
        <f t="shared" si="223"/>
        <v>46234</v>
      </c>
      <c r="N284" s="1"/>
      <c r="O284" s="1"/>
      <c r="P284" s="1"/>
      <c r="Q284" s="1"/>
      <c r="R284" s="1"/>
      <c r="S284" s="1"/>
      <c r="T284" s="1"/>
      <c r="U284" s="1"/>
    </row>
    <row r="285" spans="1:21" ht="24.75" customHeight="1">
      <c r="A285" s="166" t="s">
        <v>103</v>
      </c>
      <c r="B285" s="166" t="s">
        <v>104</v>
      </c>
      <c r="C285" s="18" t="s">
        <v>15</v>
      </c>
      <c r="D285" s="19" t="s">
        <v>61</v>
      </c>
      <c r="E285" s="19" t="s">
        <v>61</v>
      </c>
      <c r="F285" s="19" t="s">
        <v>61</v>
      </c>
      <c r="G285" s="19" t="s">
        <v>61</v>
      </c>
      <c r="H285" s="19" t="s">
        <v>61</v>
      </c>
      <c r="I285" s="19" t="s">
        <v>61</v>
      </c>
      <c r="J285" s="19" t="s">
        <v>65</v>
      </c>
      <c r="K285" s="19" t="s">
        <v>65</v>
      </c>
      <c r="L285" s="19" t="s">
        <v>65</v>
      </c>
      <c r="M285" s="19" t="s">
        <v>65</v>
      </c>
      <c r="N285" s="1"/>
      <c r="O285" s="1"/>
      <c r="P285" s="1"/>
      <c r="Q285" s="1"/>
      <c r="R285" s="1"/>
      <c r="S285" s="1"/>
      <c r="T285" s="1"/>
      <c r="U285" s="1"/>
    </row>
    <row r="286" spans="1:21" ht="24.75" customHeight="1">
      <c r="A286" s="167"/>
      <c r="B286" s="167"/>
      <c r="C286" s="24" t="s">
        <v>16</v>
      </c>
      <c r="D286" s="25" t="str">
        <f t="shared" ref="D286:M286" si="224">VLOOKUP(D285,$O$5:$P$24,2,FALSE)</f>
        <v>Langchain 활용하기</v>
      </c>
      <c r="E286" s="25" t="str">
        <f t="shared" si="224"/>
        <v>Langchain 활용하기</v>
      </c>
      <c r="F286" s="25" t="str">
        <f t="shared" si="224"/>
        <v>Langchain 활용하기</v>
      </c>
      <c r="G286" s="25" t="str">
        <f t="shared" si="224"/>
        <v>Langchain 활용하기</v>
      </c>
      <c r="H286" s="25" t="str">
        <f t="shared" si="224"/>
        <v>Langchain 활용하기</v>
      </c>
      <c r="I286" s="25" t="str">
        <f t="shared" si="224"/>
        <v>Langchain 활용하기</v>
      </c>
      <c r="J286" s="25" t="str">
        <f t="shared" si="224"/>
        <v>RAG(Retrieval-Augmented Generation)</v>
      </c>
      <c r="K286" s="25" t="str">
        <f t="shared" si="224"/>
        <v>RAG(Retrieval-Augmented Generation)</v>
      </c>
      <c r="L286" s="25" t="str">
        <f t="shared" si="224"/>
        <v>RAG(Retrieval-Augmented Generation)</v>
      </c>
      <c r="M286" s="25" t="str">
        <f t="shared" si="224"/>
        <v>RAG(Retrieval-Augmented Generation)</v>
      </c>
      <c r="N286" s="1"/>
      <c r="O286" s="1"/>
      <c r="P286" s="1"/>
      <c r="Q286" s="1"/>
      <c r="R286" s="1"/>
      <c r="S286" s="1"/>
      <c r="T286" s="1"/>
      <c r="U286" s="1"/>
    </row>
    <row r="287" spans="1:21" ht="24.75" customHeight="1">
      <c r="A287" s="167"/>
      <c r="B287" s="167"/>
      <c r="C287" s="28" t="s">
        <v>17</v>
      </c>
      <c r="D287" s="29" t="s">
        <v>63</v>
      </c>
      <c r="E287" s="29" t="s">
        <v>63</v>
      </c>
      <c r="F287" s="29" t="s">
        <v>63</v>
      </c>
      <c r="G287" s="29" t="s">
        <v>64</v>
      </c>
      <c r="H287" s="29" t="s">
        <v>64</v>
      </c>
      <c r="I287" s="29" t="s">
        <v>64</v>
      </c>
      <c r="J287" s="29" t="s">
        <v>159</v>
      </c>
      <c r="K287" s="29" t="s">
        <v>159</v>
      </c>
      <c r="L287" s="29" t="s">
        <v>159</v>
      </c>
      <c r="M287" s="29" t="s">
        <v>159</v>
      </c>
      <c r="N287" s="1"/>
      <c r="O287" s="1"/>
      <c r="P287" s="1"/>
      <c r="Q287" s="1"/>
      <c r="R287" s="1"/>
      <c r="S287" s="1"/>
      <c r="T287" s="1"/>
      <c r="U287" s="1"/>
    </row>
    <row r="288" spans="1:21" ht="24.75" customHeight="1">
      <c r="A288" s="167"/>
      <c r="B288" s="167"/>
      <c r="C288" s="30" t="s">
        <v>105</v>
      </c>
      <c r="D288" s="31" t="str">
        <f t="shared" ref="D288:M288" si="225">VLOOKUP(D285,$O$5:$Q$24,3,0)</f>
        <v>김도영</v>
      </c>
      <c r="E288" s="31" t="str">
        <f t="shared" si="225"/>
        <v>김도영</v>
      </c>
      <c r="F288" s="31" t="str">
        <f t="shared" si="225"/>
        <v>김도영</v>
      </c>
      <c r="G288" s="31" t="str">
        <f t="shared" si="225"/>
        <v>김도영</v>
      </c>
      <c r="H288" s="31" t="str">
        <f t="shared" si="225"/>
        <v>김도영</v>
      </c>
      <c r="I288" s="31" t="str">
        <f t="shared" si="225"/>
        <v>김도영</v>
      </c>
      <c r="J288" s="31" t="str">
        <f t="shared" si="225"/>
        <v>김도영</v>
      </c>
      <c r="K288" s="31" t="str">
        <f t="shared" si="225"/>
        <v>김도영</v>
      </c>
      <c r="L288" s="31" t="str">
        <f t="shared" si="225"/>
        <v>김도영</v>
      </c>
      <c r="M288" s="31" t="str">
        <f t="shared" si="225"/>
        <v>김도영</v>
      </c>
      <c r="N288" s="1"/>
      <c r="O288" s="1"/>
      <c r="P288" s="1"/>
      <c r="Q288" s="1"/>
      <c r="R288" s="1"/>
      <c r="S288" s="1"/>
      <c r="T288" s="1"/>
      <c r="U288" s="1"/>
    </row>
    <row r="289" spans="1:21" ht="24.75" customHeight="1">
      <c r="A289" s="166" t="s">
        <v>106</v>
      </c>
      <c r="B289" s="166" t="s">
        <v>107</v>
      </c>
      <c r="C289" s="18" t="s">
        <v>15</v>
      </c>
      <c r="D289" s="19" t="s">
        <v>61</v>
      </c>
      <c r="E289" s="19" t="s">
        <v>61</v>
      </c>
      <c r="F289" s="19" t="s">
        <v>61</v>
      </c>
      <c r="G289" s="19" t="s">
        <v>61</v>
      </c>
      <c r="H289" s="19" t="s">
        <v>61</v>
      </c>
      <c r="I289" s="19" t="s">
        <v>61</v>
      </c>
      <c r="J289" s="19" t="s">
        <v>65</v>
      </c>
      <c r="K289" s="19" t="s">
        <v>65</v>
      </c>
      <c r="L289" s="19" t="s">
        <v>65</v>
      </c>
      <c r="M289" s="19" t="s">
        <v>65</v>
      </c>
      <c r="N289" s="1"/>
      <c r="O289" s="1"/>
      <c r="P289" s="1"/>
      <c r="Q289" s="1"/>
      <c r="R289" s="1"/>
      <c r="S289" s="1"/>
      <c r="T289" s="1"/>
      <c r="U289" s="1"/>
    </row>
    <row r="290" spans="1:21" ht="24.75" customHeight="1">
      <c r="A290" s="167"/>
      <c r="B290" s="167"/>
      <c r="C290" s="24" t="s">
        <v>16</v>
      </c>
      <c r="D290" s="25" t="str">
        <f t="shared" ref="D290:M290" si="226">VLOOKUP(D289,$O$5:$P$24,2,FALSE)</f>
        <v>Langchain 활용하기</v>
      </c>
      <c r="E290" s="25" t="str">
        <f t="shared" si="226"/>
        <v>Langchain 활용하기</v>
      </c>
      <c r="F290" s="25" t="str">
        <f t="shared" si="226"/>
        <v>Langchain 활용하기</v>
      </c>
      <c r="G290" s="25" t="str">
        <f t="shared" si="226"/>
        <v>Langchain 활용하기</v>
      </c>
      <c r="H290" s="25" t="str">
        <f t="shared" si="226"/>
        <v>Langchain 활용하기</v>
      </c>
      <c r="I290" s="25" t="str">
        <f t="shared" si="226"/>
        <v>Langchain 활용하기</v>
      </c>
      <c r="J290" s="25" t="str">
        <f t="shared" si="226"/>
        <v>RAG(Retrieval-Augmented Generation)</v>
      </c>
      <c r="K290" s="25" t="str">
        <f t="shared" si="226"/>
        <v>RAG(Retrieval-Augmented Generation)</v>
      </c>
      <c r="L290" s="25" t="str">
        <f t="shared" si="226"/>
        <v>RAG(Retrieval-Augmented Generation)</v>
      </c>
      <c r="M290" s="25" t="str">
        <f t="shared" si="226"/>
        <v>RAG(Retrieval-Augmented Generation)</v>
      </c>
      <c r="N290" s="1"/>
      <c r="O290" s="1"/>
      <c r="P290" s="1"/>
      <c r="Q290" s="1"/>
      <c r="R290" s="1"/>
      <c r="S290" s="1"/>
      <c r="T290" s="1"/>
      <c r="U290" s="1"/>
    </row>
    <row r="291" spans="1:21" ht="24.75" customHeight="1">
      <c r="A291" s="167"/>
      <c r="B291" s="167"/>
      <c r="C291" s="28" t="s">
        <v>17</v>
      </c>
      <c r="D291" s="29" t="s">
        <v>63</v>
      </c>
      <c r="E291" s="29" t="s">
        <v>63</v>
      </c>
      <c r="F291" s="29" t="s">
        <v>63</v>
      </c>
      <c r="G291" s="29" t="s">
        <v>64</v>
      </c>
      <c r="H291" s="29" t="s">
        <v>64</v>
      </c>
      <c r="I291" s="29" t="s">
        <v>64</v>
      </c>
      <c r="J291" s="29" t="s">
        <v>159</v>
      </c>
      <c r="K291" s="29" t="s">
        <v>159</v>
      </c>
      <c r="L291" s="29" t="s">
        <v>159</v>
      </c>
      <c r="M291" s="29" t="s">
        <v>159</v>
      </c>
      <c r="N291" s="1"/>
      <c r="O291" s="1"/>
      <c r="P291" s="1"/>
      <c r="Q291" s="1"/>
      <c r="R291" s="1"/>
      <c r="S291" s="1"/>
      <c r="T291" s="1"/>
      <c r="U291" s="1"/>
    </row>
    <row r="292" spans="1:21" ht="24.75" customHeight="1">
      <c r="A292" s="167"/>
      <c r="B292" s="167"/>
      <c r="C292" s="32" t="s">
        <v>105</v>
      </c>
      <c r="D292" s="31" t="str">
        <f t="shared" ref="D292:M292" si="227">VLOOKUP(D289,$O$5:$Q$24,3,0)</f>
        <v>김도영</v>
      </c>
      <c r="E292" s="31" t="str">
        <f t="shared" si="227"/>
        <v>김도영</v>
      </c>
      <c r="F292" s="31" t="str">
        <f t="shared" si="227"/>
        <v>김도영</v>
      </c>
      <c r="G292" s="31" t="str">
        <f t="shared" si="227"/>
        <v>김도영</v>
      </c>
      <c r="H292" s="31" t="str">
        <f t="shared" si="227"/>
        <v>김도영</v>
      </c>
      <c r="I292" s="31" t="str">
        <f t="shared" si="227"/>
        <v>김도영</v>
      </c>
      <c r="J292" s="31" t="str">
        <f t="shared" si="227"/>
        <v>김도영</v>
      </c>
      <c r="K292" s="31" t="str">
        <f t="shared" si="227"/>
        <v>김도영</v>
      </c>
      <c r="L292" s="31" t="str">
        <f t="shared" si="227"/>
        <v>김도영</v>
      </c>
      <c r="M292" s="31" t="str">
        <f t="shared" si="227"/>
        <v>김도영</v>
      </c>
      <c r="N292" s="1"/>
      <c r="O292" s="1"/>
      <c r="P292" s="1"/>
      <c r="Q292" s="1"/>
      <c r="R292" s="1"/>
      <c r="S292" s="1"/>
      <c r="T292" s="1"/>
      <c r="U292" s="1"/>
    </row>
    <row r="293" spans="1:21" ht="24.75" customHeight="1">
      <c r="A293" s="166" t="s">
        <v>108</v>
      </c>
      <c r="B293" s="166" t="s">
        <v>109</v>
      </c>
      <c r="C293" s="18" t="s">
        <v>15</v>
      </c>
      <c r="D293" s="19" t="s">
        <v>61</v>
      </c>
      <c r="E293" s="19" t="s">
        <v>61</v>
      </c>
      <c r="F293" s="19" t="s">
        <v>61</v>
      </c>
      <c r="G293" s="19" t="s">
        <v>61</v>
      </c>
      <c r="H293" s="19" t="s">
        <v>61</v>
      </c>
      <c r="I293" s="19" t="s">
        <v>61</v>
      </c>
      <c r="J293" s="19" t="s">
        <v>65</v>
      </c>
      <c r="K293" s="19" t="s">
        <v>65</v>
      </c>
      <c r="L293" s="19" t="s">
        <v>65</v>
      </c>
      <c r="M293" s="19" t="s">
        <v>65</v>
      </c>
      <c r="N293" s="1"/>
      <c r="O293" s="1"/>
      <c r="P293" s="1"/>
      <c r="Q293" s="1"/>
      <c r="R293" s="1"/>
      <c r="S293" s="1"/>
      <c r="T293" s="1"/>
      <c r="U293" s="1"/>
    </row>
    <row r="294" spans="1:21" ht="24.75" customHeight="1">
      <c r="A294" s="167"/>
      <c r="B294" s="167"/>
      <c r="C294" s="24" t="s">
        <v>16</v>
      </c>
      <c r="D294" s="25" t="str">
        <f t="shared" ref="D294:M294" si="228">VLOOKUP(D293,$O$5:$P$24,2,FALSE)</f>
        <v>Langchain 활용하기</v>
      </c>
      <c r="E294" s="25" t="str">
        <f t="shared" si="228"/>
        <v>Langchain 활용하기</v>
      </c>
      <c r="F294" s="25" t="str">
        <f t="shared" si="228"/>
        <v>Langchain 활용하기</v>
      </c>
      <c r="G294" s="25" t="str">
        <f t="shared" si="228"/>
        <v>Langchain 활용하기</v>
      </c>
      <c r="H294" s="25" t="str">
        <f t="shared" si="228"/>
        <v>Langchain 활용하기</v>
      </c>
      <c r="I294" s="25" t="str">
        <f t="shared" si="228"/>
        <v>Langchain 활용하기</v>
      </c>
      <c r="J294" s="25" t="str">
        <f t="shared" si="228"/>
        <v>RAG(Retrieval-Augmented Generation)</v>
      </c>
      <c r="K294" s="25" t="str">
        <f t="shared" si="228"/>
        <v>RAG(Retrieval-Augmented Generation)</v>
      </c>
      <c r="L294" s="25" t="str">
        <f t="shared" si="228"/>
        <v>RAG(Retrieval-Augmented Generation)</v>
      </c>
      <c r="M294" s="25" t="str">
        <f t="shared" si="228"/>
        <v>RAG(Retrieval-Augmented Generation)</v>
      </c>
      <c r="N294" s="1"/>
      <c r="O294" s="1"/>
      <c r="P294" s="1"/>
      <c r="Q294" s="1"/>
      <c r="R294" s="1"/>
      <c r="S294" s="1"/>
      <c r="T294" s="1"/>
      <c r="U294" s="1"/>
    </row>
    <row r="295" spans="1:21" ht="24.75" customHeight="1">
      <c r="A295" s="167"/>
      <c r="B295" s="167"/>
      <c r="C295" s="28" t="s">
        <v>17</v>
      </c>
      <c r="D295" s="29" t="s">
        <v>63</v>
      </c>
      <c r="E295" s="29" t="s">
        <v>63</v>
      </c>
      <c r="F295" s="29" t="s">
        <v>63</v>
      </c>
      <c r="G295" s="29" t="s">
        <v>64</v>
      </c>
      <c r="H295" s="29" t="s">
        <v>64</v>
      </c>
      <c r="I295" s="29" t="s">
        <v>64</v>
      </c>
      <c r="J295" s="29" t="s">
        <v>159</v>
      </c>
      <c r="K295" s="29" t="s">
        <v>159</v>
      </c>
      <c r="L295" s="29" t="s">
        <v>159</v>
      </c>
      <c r="M295" s="29" t="s">
        <v>160</v>
      </c>
      <c r="N295" s="1"/>
      <c r="O295" s="1"/>
      <c r="P295" s="1"/>
      <c r="Q295" s="1"/>
      <c r="R295" s="1"/>
      <c r="S295" s="1"/>
      <c r="T295" s="1"/>
      <c r="U295" s="1"/>
    </row>
    <row r="296" spans="1:21" ht="24.75" customHeight="1">
      <c r="A296" s="167"/>
      <c r="B296" s="167"/>
      <c r="C296" s="32" t="s">
        <v>105</v>
      </c>
      <c r="D296" s="31" t="str">
        <f t="shared" ref="D296:M296" si="229">VLOOKUP(D293,$O$5:$Q$24,3,0)</f>
        <v>김도영</v>
      </c>
      <c r="E296" s="31" t="str">
        <f t="shared" si="229"/>
        <v>김도영</v>
      </c>
      <c r="F296" s="31" t="str">
        <f t="shared" si="229"/>
        <v>김도영</v>
      </c>
      <c r="G296" s="31" t="str">
        <f t="shared" si="229"/>
        <v>김도영</v>
      </c>
      <c r="H296" s="31" t="str">
        <f t="shared" si="229"/>
        <v>김도영</v>
      </c>
      <c r="I296" s="31" t="str">
        <f t="shared" si="229"/>
        <v>김도영</v>
      </c>
      <c r="J296" s="31" t="str">
        <f t="shared" si="229"/>
        <v>김도영</v>
      </c>
      <c r="K296" s="31" t="str">
        <f t="shared" si="229"/>
        <v>김도영</v>
      </c>
      <c r="L296" s="31" t="str">
        <f t="shared" si="229"/>
        <v>김도영</v>
      </c>
      <c r="M296" s="31" t="str">
        <f t="shared" si="229"/>
        <v>김도영</v>
      </c>
      <c r="N296" s="1"/>
      <c r="O296" s="1"/>
      <c r="P296" s="1"/>
      <c r="Q296" s="1"/>
      <c r="R296" s="1"/>
      <c r="S296" s="1"/>
      <c r="T296" s="1"/>
      <c r="U296" s="1"/>
    </row>
    <row r="297" spans="1:21" ht="24.75" customHeight="1">
      <c r="A297" s="38" t="s">
        <v>28</v>
      </c>
      <c r="B297" s="38" t="s">
        <v>110</v>
      </c>
      <c r="C297" s="39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1"/>
      <c r="O297" s="1"/>
      <c r="P297" s="1"/>
      <c r="Q297" s="1"/>
      <c r="R297" s="1"/>
      <c r="S297" s="1"/>
      <c r="T297" s="1"/>
      <c r="U297" s="1"/>
    </row>
    <row r="298" spans="1:21" ht="24.75" customHeight="1">
      <c r="A298" s="166" t="s">
        <v>111</v>
      </c>
      <c r="B298" s="166" t="s">
        <v>112</v>
      </c>
      <c r="C298" s="18" t="s">
        <v>15</v>
      </c>
      <c r="D298" s="19" t="s">
        <v>61</v>
      </c>
      <c r="E298" s="19" t="s">
        <v>61</v>
      </c>
      <c r="F298" s="19" t="s">
        <v>61</v>
      </c>
      <c r="G298" s="19" t="s">
        <v>61</v>
      </c>
      <c r="H298" s="19" t="s">
        <v>61</v>
      </c>
      <c r="I298" s="19" t="s">
        <v>61</v>
      </c>
      <c r="J298" s="19" t="s">
        <v>65</v>
      </c>
      <c r="K298" s="19" t="s">
        <v>65</v>
      </c>
      <c r="L298" s="19" t="s">
        <v>65</v>
      </c>
      <c r="M298" s="19" t="s">
        <v>65</v>
      </c>
      <c r="N298" s="1"/>
      <c r="O298" s="1"/>
      <c r="P298" s="1"/>
      <c r="Q298" s="1"/>
      <c r="R298" s="1"/>
      <c r="S298" s="1"/>
      <c r="T298" s="1"/>
      <c r="U298" s="1"/>
    </row>
    <row r="299" spans="1:21" ht="24.75" customHeight="1">
      <c r="A299" s="167"/>
      <c r="B299" s="167"/>
      <c r="C299" s="24" t="s">
        <v>16</v>
      </c>
      <c r="D299" s="25" t="str">
        <f t="shared" ref="D299:M299" si="230">VLOOKUP(D298,$O$5:$P$24,2,FALSE)</f>
        <v>Langchain 활용하기</v>
      </c>
      <c r="E299" s="25" t="str">
        <f t="shared" si="230"/>
        <v>Langchain 활용하기</v>
      </c>
      <c r="F299" s="25" t="str">
        <f t="shared" si="230"/>
        <v>Langchain 활용하기</v>
      </c>
      <c r="G299" s="25" t="str">
        <f t="shared" si="230"/>
        <v>Langchain 활용하기</v>
      </c>
      <c r="H299" s="25" t="str">
        <f t="shared" si="230"/>
        <v>Langchain 활용하기</v>
      </c>
      <c r="I299" s="25" t="str">
        <f t="shared" si="230"/>
        <v>Langchain 활용하기</v>
      </c>
      <c r="J299" s="25" t="str">
        <f t="shared" si="230"/>
        <v>RAG(Retrieval-Augmented Generation)</v>
      </c>
      <c r="K299" s="25" t="str">
        <f t="shared" si="230"/>
        <v>RAG(Retrieval-Augmented Generation)</v>
      </c>
      <c r="L299" s="25" t="str">
        <f t="shared" si="230"/>
        <v>RAG(Retrieval-Augmented Generation)</v>
      </c>
      <c r="M299" s="25" t="str">
        <f t="shared" si="230"/>
        <v>RAG(Retrieval-Augmented Generation)</v>
      </c>
      <c r="N299" s="1"/>
      <c r="O299" s="1"/>
      <c r="P299" s="1"/>
      <c r="Q299" s="1"/>
      <c r="R299" s="1"/>
      <c r="S299" s="1"/>
      <c r="T299" s="1"/>
      <c r="U299" s="1"/>
    </row>
    <row r="300" spans="1:21" ht="24.75" customHeight="1">
      <c r="A300" s="167"/>
      <c r="B300" s="167"/>
      <c r="C300" s="28" t="s">
        <v>17</v>
      </c>
      <c r="D300" s="29" t="s">
        <v>63</v>
      </c>
      <c r="E300" s="29" t="s">
        <v>63</v>
      </c>
      <c r="F300" s="29" t="s">
        <v>63</v>
      </c>
      <c r="G300" s="29" t="s">
        <v>64</v>
      </c>
      <c r="H300" s="29" t="s">
        <v>64</v>
      </c>
      <c r="I300" s="29" t="s">
        <v>64</v>
      </c>
      <c r="J300" s="29" t="s">
        <v>159</v>
      </c>
      <c r="K300" s="29" t="s">
        <v>159</v>
      </c>
      <c r="L300" s="29" t="s">
        <v>159</v>
      </c>
      <c r="M300" s="29" t="s">
        <v>160</v>
      </c>
      <c r="N300" s="1"/>
      <c r="O300" s="1"/>
      <c r="P300" s="1"/>
      <c r="Q300" s="1"/>
      <c r="R300" s="1"/>
      <c r="S300" s="1"/>
      <c r="T300" s="1"/>
      <c r="U300" s="1"/>
    </row>
    <row r="301" spans="1:21" ht="24.75" customHeight="1">
      <c r="A301" s="167"/>
      <c r="B301" s="167"/>
      <c r="C301" s="32" t="s">
        <v>105</v>
      </c>
      <c r="D301" s="31" t="str">
        <f t="shared" ref="D301:M301" si="231">VLOOKUP(D298,$O$5:$Q$24,3,0)</f>
        <v>김도영</v>
      </c>
      <c r="E301" s="31" t="str">
        <f t="shared" si="231"/>
        <v>김도영</v>
      </c>
      <c r="F301" s="31" t="str">
        <f t="shared" si="231"/>
        <v>김도영</v>
      </c>
      <c r="G301" s="31" t="str">
        <f t="shared" si="231"/>
        <v>김도영</v>
      </c>
      <c r="H301" s="31" t="str">
        <f t="shared" si="231"/>
        <v>김도영</v>
      </c>
      <c r="I301" s="31" t="str">
        <f t="shared" si="231"/>
        <v>김도영</v>
      </c>
      <c r="J301" s="31" t="str">
        <f t="shared" si="231"/>
        <v>김도영</v>
      </c>
      <c r="K301" s="31" t="str">
        <f t="shared" si="231"/>
        <v>김도영</v>
      </c>
      <c r="L301" s="31" t="str">
        <f t="shared" si="231"/>
        <v>김도영</v>
      </c>
      <c r="M301" s="31" t="str">
        <f t="shared" si="231"/>
        <v>김도영</v>
      </c>
      <c r="N301" s="1"/>
      <c r="O301" s="1"/>
      <c r="P301" s="1"/>
      <c r="Q301" s="1"/>
      <c r="R301" s="1"/>
      <c r="S301" s="1"/>
      <c r="T301" s="1"/>
      <c r="U301" s="1"/>
    </row>
    <row r="302" spans="1:21" ht="24.75" customHeight="1">
      <c r="A302" s="166" t="s">
        <v>113</v>
      </c>
      <c r="B302" s="166" t="s">
        <v>114</v>
      </c>
      <c r="C302" s="18" t="s">
        <v>15</v>
      </c>
      <c r="D302" s="19" t="s">
        <v>61</v>
      </c>
      <c r="E302" s="19" t="s">
        <v>61</v>
      </c>
      <c r="F302" s="19" t="s">
        <v>61</v>
      </c>
      <c r="G302" s="19" t="s">
        <v>61</v>
      </c>
      <c r="H302" s="19" t="s">
        <v>61</v>
      </c>
      <c r="I302" s="19" t="s">
        <v>61</v>
      </c>
      <c r="J302" s="19" t="s">
        <v>65</v>
      </c>
      <c r="K302" s="19" t="s">
        <v>65</v>
      </c>
      <c r="L302" s="19" t="s">
        <v>65</v>
      </c>
      <c r="M302" s="19" t="s">
        <v>65</v>
      </c>
      <c r="N302" s="1"/>
      <c r="O302" s="1"/>
      <c r="P302" s="1"/>
      <c r="Q302" s="1"/>
      <c r="R302" s="1"/>
      <c r="S302" s="1"/>
      <c r="T302" s="1"/>
      <c r="U302" s="1"/>
    </row>
    <row r="303" spans="1:21" ht="24.75" customHeight="1">
      <c r="A303" s="167"/>
      <c r="B303" s="167"/>
      <c r="C303" s="24" t="s">
        <v>16</v>
      </c>
      <c r="D303" s="25" t="str">
        <f t="shared" ref="D303:M303" si="232">VLOOKUP(D302,$O$5:$P$24,2,FALSE)</f>
        <v>Langchain 활용하기</v>
      </c>
      <c r="E303" s="25" t="str">
        <f t="shared" si="232"/>
        <v>Langchain 활용하기</v>
      </c>
      <c r="F303" s="25" t="str">
        <f t="shared" si="232"/>
        <v>Langchain 활용하기</v>
      </c>
      <c r="G303" s="25" t="str">
        <f t="shared" si="232"/>
        <v>Langchain 활용하기</v>
      </c>
      <c r="H303" s="25" t="str">
        <f t="shared" si="232"/>
        <v>Langchain 활용하기</v>
      </c>
      <c r="I303" s="25" t="str">
        <f t="shared" si="232"/>
        <v>Langchain 활용하기</v>
      </c>
      <c r="J303" s="25" t="str">
        <f t="shared" si="232"/>
        <v>RAG(Retrieval-Augmented Generation)</v>
      </c>
      <c r="K303" s="25" t="str">
        <f t="shared" si="232"/>
        <v>RAG(Retrieval-Augmented Generation)</v>
      </c>
      <c r="L303" s="25" t="str">
        <f t="shared" si="232"/>
        <v>RAG(Retrieval-Augmented Generation)</v>
      </c>
      <c r="M303" s="25" t="str">
        <f t="shared" si="232"/>
        <v>RAG(Retrieval-Augmented Generation)</v>
      </c>
      <c r="N303" s="1"/>
      <c r="O303" s="1"/>
      <c r="P303" s="1"/>
      <c r="Q303" s="1"/>
      <c r="R303" s="1"/>
      <c r="S303" s="1"/>
      <c r="T303" s="1"/>
      <c r="U303" s="1"/>
    </row>
    <row r="304" spans="1:21" ht="24.75" customHeight="1">
      <c r="A304" s="167"/>
      <c r="B304" s="167"/>
      <c r="C304" s="28" t="s">
        <v>17</v>
      </c>
      <c r="D304" s="29" t="s">
        <v>63</v>
      </c>
      <c r="E304" s="29" t="s">
        <v>63</v>
      </c>
      <c r="F304" s="29" t="s">
        <v>64</v>
      </c>
      <c r="G304" s="29" t="s">
        <v>64</v>
      </c>
      <c r="H304" s="29" t="s">
        <v>64</v>
      </c>
      <c r="I304" s="29" t="s">
        <v>64</v>
      </c>
      <c r="J304" s="29" t="s">
        <v>159</v>
      </c>
      <c r="K304" s="29" t="s">
        <v>159</v>
      </c>
      <c r="L304" s="29" t="s">
        <v>159</v>
      </c>
      <c r="M304" s="29" t="s">
        <v>160</v>
      </c>
      <c r="N304" s="1"/>
      <c r="O304" s="1"/>
      <c r="P304" s="1"/>
      <c r="Q304" s="1"/>
      <c r="R304" s="1"/>
      <c r="S304" s="1"/>
      <c r="T304" s="1"/>
      <c r="U304" s="1"/>
    </row>
    <row r="305" spans="1:21" ht="24.75" customHeight="1">
      <c r="A305" s="167"/>
      <c r="B305" s="167"/>
      <c r="C305" s="32" t="s">
        <v>105</v>
      </c>
      <c r="D305" s="31" t="str">
        <f t="shared" ref="D305:M305" si="233">VLOOKUP(D302,$O$5:$Q$24,3,0)</f>
        <v>김도영</v>
      </c>
      <c r="E305" s="31" t="str">
        <f t="shared" si="233"/>
        <v>김도영</v>
      </c>
      <c r="F305" s="31" t="str">
        <f t="shared" si="233"/>
        <v>김도영</v>
      </c>
      <c r="G305" s="31" t="str">
        <f t="shared" si="233"/>
        <v>김도영</v>
      </c>
      <c r="H305" s="31" t="str">
        <f t="shared" si="233"/>
        <v>김도영</v>
      </c>
      <c r="I305" s="31" t="str">
        <f t="shared" si="233"/>
        <v>김도영</v>
      </c>
      <c r="J305" s="31" t="str">
        <f t="shared" si="233"/>
        <v>김도영</v>
      </c>
      <c r="K305" s="31" t="str">
        <f t="shared" si="233"/>
        <v>김도영</v>
      </c>
      <c r="L305" s="31" t="str">
        <f t="shared" si="233"/>
        <v>김도영</v>
      </c>
      <c r="M305" s="31" t="str">
        <f t="shared" si="233"/>
        <v>김도영</v>
      </c>
      <c r="N305" s="1"/>
      <c r="O305" s="1"/>
      <c r="P305" s="1"/>
      <c r="Q305" s="1"/>
      <c r="R305" s="1"/>
      <c r="S305" s="1"/>
      <c r="T305" s="1"/>
      <c r="U305" s="1"/>
    </row>
    <row r="306" spans="1:21" ht="24.75" customHeight="1">
      <c r="A306" s="166" t="s">
        <v>115</v>
      </c>
      <c r="B306" s="166" t="s">
        <v>116</v>
      </c>
      <c r="C306" s="18" t="s">
        <v>15</v>
      </c>
      <c r="D306" s="19" t="s">
        <v>61</v>
      </c>
      <c r="E306" s="19" t="s">
        <v>61</v>
      </c>
      <c r="F306" s="19" t="s">
        <v>61</v>
      </c>
      <c r="G306" s="19" t="s">
        <v>61</v>
      </c>
      <c r="H306" s="19" t="s">
        <v>61</v>
      </c>
      <c r="I306" s="19" t="s">
        <v>61</v>
      </c>
      <c r="J306" s="19" t="s">
        <v>65</v>
      </c>
      <c r="K306" s="19" t="s">
        <v>65</v>
      </c>
      <c r="L306" s="19" t="s">
        <v>65</v>
      </c>
      <c r="M306" s="19" t="s">
        <v>65</v>
      </c>
      <c r="N306" s="1"/>
      <c r="O306" s="1"/>
      <c r="P306" s="1"/>
      <c r="Q306" s="1"/>
      <c r="R306" s="1"/>
      <c r="S306" s="1"/>
      <c r="T306" s="1"/>
      <c r="U306" s="1"/>
    </row>
    <row r="307" spans="1:21" ht="24.75" customHeight="1">
      <c r="A307" s="167"/>
      <c r="B307" s="167"/>
      <c r="C307" s="24" t="s">
        <v>16</v>
      </c>
      <c r="D307" s="25" t="str">
        <f t="shared" ref="D307:M307" si="234">VLOOKUP(D306,$O$5:$P$24,2,FALSE)</f>
        <v>Langchain 활용하기</v>
      </c>
      <c r="E307" s="25" t="str">
        <f t="shared" si="234"/>
        <v>Langchain 활용하기</v>
      </c>
      <c r="F307" s="25" t="str">
        <f t="shared" si="234"/>
        <v>Langchain 활용하기</v>
      </c>
      <c r="G307" s="25" t="str">
        <f t="shared" si="234"/>
        <v>Langchain 활용하기</v>
      </c>
      <c r="H307" s="25" t="str">
        <f t="shared" si="234"/>
        <v>Langchain 활용하기</v>
      </c>
      <c r="I307" s="25" t="str">
        <f t="shared" si="234"/>
        <v>Langchain 활용하기</v>
      </c>
      <c r="J307" s="25" t="str">
        <f t="shared" si="234"/>
        <v>RAG(Retrieval-Augmented Generation)</v>
      </c>
      <c r="K307" s="25" t="str">
        <f t="shared" si="234"/>
        <v>RAG(Retrieval-Augmented Generation)</v>
      </c>
      <c r="L307" s="25" t="str">
        <f t="shared" si="234"/>
        <v>RAG(Retrieval-Augmented Generation)</v>
      </c>
      <c r="M307" s="25" t="str">
        <f t="shared" si="234"/>
        <v>RAG(Retrieval-Augmented Generation)</v>
      </c>
      <c r="N307" s="1"/>
      <c r="O307" s="1"/>
      <c r="P307" s="1"/>
      <c r="Q307" s="1"/>
      <c r="R307" s="1"/>
      <c r="S307" s="1"/>
      <c r="T307" s="1"/>
      <c r="U307" s="1"/>
    </row>
    <row r="308" spans="1:21" ht="24.75" customHeight="1">
      <c r="A308" s="167"/>
      <c r="B308" s="167"/>
      <c r="C308" s="28" t="s">
        <v>17</v>
      </c>
      <c r="D308" s="29" t="s">
        <v>63</v>
      </c>
      <c r="E308" s="29" t="s">
        <v>63</v>
      </c>
      <c r="F308" s="29" t="s">
        <v>64</v>
      </c>
      <c r="G308" s="29" t="s">
        <v>64</v>
      </c>
      <c r="H308" s="29" t="s">
        <v>64</v>
      </c>
      <c r="I308" s="29" t="s">
        <v>64</v>
      </c>
      <c r="J308" s="29" t="s">
        <v>159</v>
      </c>
      <c r="K308" s="29" t="s">
        <v>159</v>
      </c>
      <c r="L308" s="29" t="s">
        <v>159</v>
      </c>
      <c r="M308" s="29" t="s">
        <v>160</v>
      </c>
      <c r="N308" s="1"/>
      <c r="O308" s="1"/>
      <c r="P308" s="1"/>
      <c r="Q308" s="1"/>
      <c r="R308" s="1"/>
      <c r="S308" s="1"/>
      <c r="T308" s="1"/>
      <c r="U308" s="1"/>
    </row>
    <row r="309" spans="1:21" ht="24.75" customHeight="1">
      <c r="A309" s="167"/>
      <c r="B309" s="167"/>
      <c r="C309" s="32" t="s">
        <v>105</v>
      </c>
      <c r="D309" s="31" t="str">
        <f t="shared" ref="D309:M309" si="235">VLOOKUP(D306,$O$5:$Q$24,3,0)</f>
        <v>김도영</v>
      </c>
      <c r="E309" s="31" t="str">
        <f t="shared" si="235"/>
        <v>김도영</v>
      </c>
      <c r="F309" s="31" t="str">
        <f t="shared" si="235"/>
        <v>김도영</v>
      </c>
      <c r="G309" s="31" t="str">
        <f t="shared" si="235"/>
        <v>김도영</v>
      </c>
      <c r="H309" s="31" t="str">
        <f t="shared" si="235"/>
        <v>김도영</v>
      </c>
      <c r="I309" s="31" t="str">
        <f t="shared" si="235"/>
        <v>김도영</v>
      </c>
      <c r="J309" s="31" t="str">
        <f t="shared" si="235"/>
        <v>김도영</v>
      </c>
      <c r="K309" s="31" t="str">
        <f t="shared" si="235"/>
        <v>김도영</v>
      </c>
      <c r="L309" s="31" t="str">
        <f t="shared" si="235"/>
        <v>김도영</v>
      </c>
      <c r="M309" s="31" t="str">
        <f t="shared" si="235"/>
        <v>김도영</v>
      </c>
      <c r="N309" s="1"/>
      <c r="O309" s="1"/>
      <c r="P309" s="1"/>
      <c r="Q309" s="1"/>
      <c r="R309" s="1"/>
      <c r="S309" s="1"/>
      <c r="T309" s="1"/>
      <c r="U309" s="1"/>
    </row>
    <row r="310" spans="1:21" ht="24.75" customHeight="1">
      <c r="A310" s="166" t="s">
        <v>117</v>
      </c>
      <c r="B310" s="166" t="s">
        <v>118</v>
      </c>
      <c r="C310" s="18" t="s">
        <v>15</v>
      </c>
      <c r="D310" s="19" t="s">
        <v>61</v>
      </c>
      <c r="E310" s="19" t="s">
        <v>61</v>
      </c>
      <c r="F310" s="19" t="s">
        <v>61</v>
      </c>
      <c r="G310" s="19" t="s">
        <v>61</v>
      </c>
      <c r="H310" s="19" t="s">
        <v>61</v>
      </c>
      <c r="I310" s="19" t="s">
        <v>61</v>
      </c>
      <c r="J310" s="19" t="s">
        <v>65</v>
      </c>
      <c r="K310" s="19" t="s">
        <v>65</v>
      </c>
      <c r="L310" s="19" t="s">
        <v>65</v>
      </c>
      <c r="M310" s="19" t="s">
        <v>65</v>
      </c>
      <c r="N310" s="1"/>
      <c r="O310" s="1"/>
      <c r="P310" s="1"/>
      <c r="Q310" s="1"/>
      <c r="R310" s="1"/>
      <c r="S310" s="1"/>
      <c r="T310" s="1"/>
      <c r="U310" s="1"/>
    </row>
    <row r="311" spans="1:21" ht="24.75" customHeight="1">
      <c r="A311" s="167"/>
      <c r="B311" s="167"/>
      <c r="C311" s="24" t="s">
        <v>16</v>
      </c>
      <c r="D311" s="25" t="str">
        <f t="shared" ref="D311:M311" si="236">VLOOKUP(D310,$O$5:$P$24,2,FALSE)</f>
        <v>Langchain 활용하기</v>
      </c>
      <c r="E311" s="25" t="str">
        <f t="shared" si="236"/>
        <v>Langchain 활용하기</v>
      </c>
      <c r="F311" s="25" t="str">
        <f t="shared" si="236"/>
        <v>Langchain 활용하기</v>
      </c>
      <c r="G311" s="25" t="str">
        <f t="shared" si="236"/>
        <v>Langchain 활용하기</v>
      </c>
      <c r="H311" s="25" t="str">
        <f t="shared" si="236"/>
        <v>Langchain 활용하기</v>
      </c>
      <c r="I311" s="25" t="str">
        <f t="shared" si="236"/>
        <v>Langchain 활용하기</v>
      </c>
      <c r="J311" s="25" t="str">
        <f t="shared" si="236"/>
        <v>RAG(Retrieval-Augmented Generation)</v>
      </c>
      <c r="K311" s="25" t="str">
        <f t="shared" si="236"/>
        <v>RAG(Retrieval-Augmented Generation)</v>
      </c>
      <c r="L311" s="25" t="str">
        <f t="shared" si="236"/>
        <v>RAG(Retrieval-Augmented Generation)</v>
      </c>
      <c r="M311" s="25" t="str">
        <f t="shared" si="236"/>
        <v>RAG(Retrieval-Augmented Generation)</v>
      </c>
      <c r="N311" s="1"/>
      <c r="O311" s="1"/>
      <c r="P311" s="1"/>
      <c r="Q311" s="1"/>
      <c r="R311" s="1"/>
      <c r="S311" s="1"/>
      <c r="T311" s="1"/>
      <c r="U311" s="1"/>
    </row>
    <row r="312" spans="1:21" ht="24.75" customHeight="1">
      <c r="A312" s="167"/>
      <c r="B312" s="167"/>
      <c r="C312" s="28" t="s">
        <v>17</v>
      </c>
      <c r="D312" s="29" t="s">
        <v>63</v>
      </c>
      <c r="E312" s="29" t="s">
        <v>63</v>
      </c>
      <c r="F312" s="29" t="s">
        <v>64</v>
      </c>
      <c r="G312" s="29" t="s">
        <v>64</v>
      </c>
      <c r="H312" s="29" t="s">
        <v>64</v>
      </c>
      <c r="I312" s="29" t="s">
        <v>64</v>
      </c>
      <c r="J312" s="29" t="s">
        <v>159</v>
      </c>
      <c r="K312" s="29" t="s">
        <v>159</v>
      </c>
      <c r="L312" s="29" t="s">
        <v>159</v>
      </c>
      <c r="M312" s="29" t="s">
        <v>160</v>
      </c>
      <c r="N312" s="1"/>
      <c r="O312" s="1"/>
      <c r="P312" s="1"/>
      <c r="Q312" s="1"/>
      <c r="R312" s="1"/>
      <c r="S312" s="1"/>
      <c r="T312" s="1"/>
      <c r="U312" s="1"/>
    </row>
    <row r="313" spans="1:21" ht="24.75" customHeight="1">
      <c r="A313" s="167"/>
      <c r="B313" s="167"/>
      <c r="C313" s="32" t="s">
        <v>105</v>
      </c>
      <c r="D313" s="31" t="str">
        <f t="shared" ref="D313:M313" si="237">VLOOKUP(D310,$O$5:$Q$24,3,0)</f>
        <v>김도영</v>
      </c>
      <c r="E313" s="31" t="str">
        <f t="shared" si="237"/>
        <v>김도영</v>
      </c>
      <c r="F313" s="31" t="str">
        <f t="shared" si="237"/>
        <v>김도영</v>
      </c>
      <c r="G313" s="31" t="str">
        <f t="shared" si="237"/>
        <v>김도영</v>
      </c>
      <c r="H313" s="31" t="str">
        <f t="shared" si="237"/>
        <v>김도영</v>
      </c>
      <c r="I313" s="31" t="str">
        <f t="shared" si="237"/>
        <v>김도영</v>
      </c>
      <c r="J313" s="31" t="str">
        <f t="shared" si="237"/>
        <v>김도영</v>
      </c>
      <c r="K313" s="31" t="str">
        <f t="shared" si="237"/>
        <v>김도영</v>
      </c>
      <c r="L313" s="31" t="str">
        <f t="shared" si="237"/>
        <v>김도영</v>
      </c>
      <c r="M313" s="31" t="str">
        <f t="shared" si="237"/>
        <v>김도영</v>
      </c>
      <c r="N313" s="1"/>
      <c r="O313" s="1"/>
      <c r="P313" s="1"/>
      <c r="Q313" s="1"/>
      <c r="R313" s="1"/>
      <c r="S313" s="1"/>
      <c r="T313" s="1"/>
      <c r="U313" s="1"/>
    </row>
    <row r="314" spans="1:21" ht="24.75" customHeight="1">
      <c r="A314" s="166" t="s">
        <v>119</v>
      </c>
      <c r="B314" s="166" t="s">
        <v>120</v>
      </c>
      <c r="C314" s="18" t="s">
        <v>15</v>
      </c>
      <c r="D314" s="19" t="s">
        <v>61</v>
      </c>
      <c r="E314" s="19" t="s">
        <v>61</v>
      </c>
      <c r="F314" s="19" t="s">
        <v>61</v>
      </c>
      <c r="G314" s="19" t="s">
        <v>61</v>
      </c>
      <c r="H314" s="19" t="s">
        <v>61</v>
      </c>
      <c r="I314" s="19" t="s">
        <v>61</v>
      </c>
      <c r="J314" s="19" t="s">
        <v>65</v>
      </c>
      <c r="K314" s="19" t="s">
        <v>65</v>
      </c>
      <c r="L314" s="19" t="s">
        <v>65</v>
      </c>
      <c r="M314" s="19" t="s">
        <v>65</v>
      </c>
      <c r="N314" s="1"/>
      <c r="O314" s="1"/>
      <c r="P314" s="1"/>
      <c r="Q314" s="1"/>
      <c r="R314" s="1"/>
      <c r="S314" s="1"/>
      <c r="T314" s="1"/>
      <c r="U314" s="1"/>
    </row>
    <row r="315" spans="1:21" ht="24.75" customHeight="1">
      <c r="A315" s="167"/>
      <c r="B315" s="167"/>
      <c r="C315" s="24" t="s">
        <v>16</v>
      </c>
      <c r="D315" s="25" t="str">
        <f t="shared" ref="D315:M315" si="238">VLOOKUP(D314,$O$5:$P$24,2,FALSE)</f>
        <v>Langchain 활용하기</v>
      </c>
      <c r="E315" s="25" t="str">
        <f t="shared" si="238"/>
        <v>Langchain 활용하기</v>
      </c>
      <c r="F315" s="25" t="str">
        <f t="shared" si="238"/>
        <v>Langchain 활용하기</v>
      </c>
      <c r="G315" s="25" t="str">
        <f t="shared" si="238"/>
        <v>Langchain 활용하기</v>
      </c>
      <c r="H315" s="25" t="str">
        <f t="shared" si="238"/>
        <v>Langchain 활용하기</v>
      </c>
      <c r="I315" s="25" t="str">
        <f t="shared" si="238"/>
        <v>Langchain 활용하기</v>
      </c>
      <c r="J315" s="25" t="str">
        <f t="shared" si="238"/>
        <v>RAG(Retrieval-Augmented Generation)</v>
      </c>
      <c r="K315" s="25" t="str">
        <f t="shared" si="238"/>
        <v>RAG(Retrieval-Augmented Generation)</v>
      </c>
      <c r="L315" s="25" t="str">
        <f t="shared" si="238"/>
        <v>RAG(Retrieval-Augmented Generation)</v>
      </c>
      <c r="M315" s="25" t="str">
        <f t="shared" si="238"/>
        <v>RAG(Retrieval-Augmented Generation)</v>
      </c>
      <c r="N315" s="1"/>
      <c r="O315" s="1"/>
      <c r="P315" s="1"/>
      <c r="Q315" s="1"/>
      <c r="R315" s="1"/>
      <c r="S315" s="1"/>
      <c r="T315" s="1"/>
      <c r="U315" s="1"/>
    </row>
    <row r="316" spans="1:21" ht="24.75" customHeight="1">
      <c r="A316" s="167"/>
      <c r="B316" s="167"/>
      <c r="C316" s="28" t="s">
        <v>17</v>
      </c>
      <c r="D316" s="29" t="s">
        <v>63</v>
      </c>
      <c r="E316" s="29" t="s">
        <v>63</v>
      </c>
      <c r="F316" s="29" t="s">
        <v>64</v>
      </c>
      <c r="G316" s="29" t="s">
        <v>64</v>
      </c>
      <c r="H316" s="29" t="s">
        <v>64</v>
      </c>
      <c r="I316" s="29" t="s">
        <v>64</v>
      </c>
      <c r="J316" s="29" t="s">
        <v>159</v>
      </c>
      <c r="K316" s="29" t="s">
        <v>159</v>
      </c>
      <c r="L316" s="29" t="s">
        <v>159</v>
      </c>
      <c r="M316" s="29" t="s">
        <v>160</v>
      </c>
      <c r="N316" s="1"/>
      <c r="O316" s="1"/>
      <c r="P316" s="1"/>
      <c r="Q316" s="1"/>
      <c r="R316" s="1"/>
      <c r="S316" s="1"/>
      <c r="T316" s="1"/>
      <c r="U316" s="1"/>
    </row>
    <row r="317" spans="1:21" ht="24.75" customHeight="1">
      <c r="A317" s="159"/>
      <c r="B317" s="159"/>
      <c r="C317" s="32" t="s">
        <v>105</v>
      </c>
      <c r="D317" s="31" t="str">
        <f t="shared" ref="D317:M317" si="239">VLOOKUP(D314,$O$5:$Q$24,3,0)</f>
        <v>김도영</v>
      </c>
      <c r="E317" s="31" t="str">
        <f t="shared" si="239"/>
        <v>김도영</v>
      </c>
      <c r="F317" s="31" t="str">
        <f t="shared" si="239"/>
        <v>김도영</v>
      </c>
      <c r="G317" s="31" t="str">
        <f t="shared" si="239"/>
        <v>김도영</v>
      </c>
      <c r="H317" s="31" t="str">
        <f t="shared" si="239"/>
        <v>김도영</v>
      </c>
      <c r="I317" s="31" t="str">
        <f t="shared" si="239"/>
        <v>김도영</v>
      </c>
      <c r="J317" s="31" t="str">
        <f t="shared" si="239"/>
        <v>김도영</v>
      </c>
      <c r="K317" s="31" t="str">
        <f t="shared" si="239"/>
        <v>김도영</v>
      </c>
      <c r="L317" s="31" t="str">
        <f t="shared" si="239"/>
        <v>김도영</v>
      </c>
      <c r="M317" s="31" t="str">
        <f t="shared" si="239"/>
        <v>김도영</v>
      </c>
      <c r="N317" s="1"/>
      <c r="O317" s="1"/>
      <c r="P317" s="1"/>
      <c r="Q317" s="1"/>
      <c r="R317" s="1"/>
      <c r="S317" s="1"/>
      <c r="T317" s="1"/>
      <c r="U317" s="1"/>
    </row>
    <row r="318" spans="1:21" ht="24.75" customHeight="1">
      <c r="A318" s="164" t="s">
        <v>94</v>
      </c>
      <c r="B318" s="164" t="s">
        <v>95</v>
      </c>
      <c r="C318" s="164" t="s">
        <v>96</v>
      </c>
      <c r="D318" s="165">
        <f>I283+1</f>
        <v>19</v>
      </c>
      <c r="E318" s="156"/>
      <c r="F318" s="156"/>
      <c r="G318" s="156"/>
      <c r="H318" s="154"/>
      <c r="I318" s="165">
        <f>D318+1</f>
        <v>20</v>
      </c>
      <c r="J318" s="156"/>
      <c r="K318" s="156"/>
      <c r="L318" s="156"/>
      <c r="M318" s="154"/>
      <c r="N318" s="1"/>
      <c r="O318" s="1"/>
      <c r="P318" s="1"/>
      <c r="Q318" s="1"/>
      <c r="R318" s="1"/>
      <c r="S318" s="1"/>
      <c r="T318" s="1"/>
      <c r="U318" s="1"/>
    </row>
    <row r="319" spans="1:21" ht="24.75" customHeight="1">
      <c r="A319" s="159"/>
      <c r="B319" s="159"/>
      <c r="C319" s="159"/>
      <c r="D319" s="14">
        <f>M284+3</f>
        <v>46237</v>
      </c>
      <c r="E319" s="14">
        <f t="shared" ref="E319:H319" si="240">D319+1</f>
        <v>46238</v>
      </c>
      <c r="F319" s="14">
        <f t="shared" si="240"/>
        <v>46239</v>
      </c>
      <c r="G319" s="14">
        <f t="shared" si="240"/>
        <v>46240</v>
      </c>
      <c r="H319" s="14">
        <f t="shared" si="240"/>
        <v>46241</v>
      </c>
      <c r="I319" s="14">
        <f>H319+3</f>
        <v>46244</v>
      </c>
      <c r="J319" s="14">
        <f t="shared" ref="J319:M319" si="241">I319+1</f>
        <v>46245</v>
      </c>
      <c r="K319" s="14">
        <f t="shared" si="241"/>
        <v>46246</v>
      </c>
      <c r="L319" s="14">
        <f t="shared" si="241"/>
        <v>46247</v>
      </c>
      <c r="M319" s="14">
        <f t="shared" si="241"/>
        <v>46248</v>
      </c>
      <c r="N319" s="1"/>
      <c r="O319" s="1"/>
      <c r="P319" s="1"/>
      <c r="Q319" s="1"/>
      <c r="R319" s="1"/>
      <c r="S319" s="1"/>
      <c r="T319" s="1"/>
      <c r="U319" s="1"/>
    </row>
    <row r="320" spans="1:21" ht="24.75" customHeight="1">
      <c r="A320" s="166" t="s">
        <v>103</v>
      </c>
      <c r="B320" s="166" t="s">
        <v>104</v>
      </c>
      <c r="C320" s="18" t="s">
        <v>15</v>
      </c>
      <c r="D320" s="19" t="s">
        <v>65</v>
      </c>
      <c r="E320" s="19" t="s">
        <v>65</v>
      </c>
      <c r="F320" s="19" t="s">
        <v>65</v>
      </c>
      <c r="G320" s="19" t="s">
        <v>74</v>
      </c>
      <c r="H320" s="19" t="s">
        <v>74</v>
      </c>
      <c r="I320" s="19" t="s">
        <v>74</v>
      </c>
      <c r="J320" s="19" t="s">
        <v>74</v>
      </c>
      <c r="K320" s="19" t="s">
        <v>74</v>
      </c>
      <c r="L320" s="19" t="s">
        <v>74</v>
      </c>
      <c r="M320" s="19"/>
      <c r="N320" s="1"/>
      <c r="O320" s="1"/>
      <c r="P320" s="1"/>
      <c r="Q320" s="1"/>
      <c r="R320" s="1"/>
      <c r="S320" s="1"/>
      <c r="T320" s="1"/>
      <c r="U320" s="1"/>
    </row>
    <row r="321" spans="1:21" ht="24.75" customHeight="1">
      <c r="A321" s="167"/>
      <c r="B321" s="167"/>
      <c r="C321" s="24" t="s">
        <v>16</v>
      </c>
      <c r="D321" s="25" t="str">
        <f t="shared" ref="D321:M321" si="242">VLOOKUP(D320,$O$5:$P$24,2,FALSE)</f>
        <v>RAG(Retrieval-Augmented Generation)</v>
      </c>
      <c r="E321" s="25" t="str">
        <f t="shared" si="242"/>
        <v>RAG(Retrieval-Augmented Generation)</v>
      </c>
      <c r="F321" s="25" t="str">
        <f t="shared" si="242"/>
        <v>RAG(Retrieval-Augmented Generation)</v>
      </c>
      <c r="G321" s="25" t="str">
        <f t="shared" si="242"/>
        <v>사전 데이터 기반 PERSO AI의 답변 커스텀하기</v>
      </c>
      <c r="H321" s="25" t="str">
        <f t="shared" si="242"/>
        <v>사전 데이터 기반 PERSO AI의 답변 커스텀하기</v>
      </c>
      <c r="I321" s="25" t="str">
        <f t="shared" si="242"/>
        <v>사전 데이터 기반 PERSO AI의 답변 커스텀하기</v>
      </c>
      <c r="J321" s="25" t="str">
        <f t="shared" si="242"/>
        <v>사전 데이터 기반 PERSO AI의 답변 커스텀하기</v>
      </c>
      <c r="K321" s="25" t="str">
        <f t="shared" si="242"/>
        <v>사전 데이터 기반 PERSO AI의 답변 커스텀하기</v>
      </c>
      <c r="L321" s="25" t="str">
        <f t="shared" si="242"/>
        <v>사전 데이터 기반 PERSO AI의 답변 커스텀하기</v>
      </c>
      <c r="M321" s="25" t="e">
        <f t="shared" si="242"/>
        <v>#N/A</v>
      </c>
      <c r="N321" s="1"/>
      <c r="O321" s="1"/>
      <c r="P321" s="1"/>
      <c r="Q321" s="1"/>
      <c r="R321" s="1"/>
      <c r="S321" s="1"/>
      <c r="T321" s="1"/>
      <c r="U321" s="1"/>
    </row>
    <row r="322" spans="1:21" ht="24.75" customHeight="1">
      <c r="A322" s="167"/>
      <c r="B322" s="167"/>
      <c r="C322" s="28" t="s">
        <v>17</v>
      </c>
      <c r="D322" s="29" t="s">
        <v>160</v>
      </c>
      <c r="E322" s="29" t="s">
        <v>160</v>
      </c>
      <c r="F322" s="29" t="s">
        <v>160</v>
      </c>
      <c r="G322" s="29" t="s">
        <v>161</v>
      </c>
      <c r="H322" s="29" t="s">
        <v>161</v>
      </c>
      <c r="I322" s="29" t="s">
        <v>161</v>
      </c>
      <c r="J322" s="29" t="s">
        <v>161</v>
      </c>
      <c r="K322" s="29" t="s">
        <v>162</v>
      </c>
      <c r="L322" s="29" t="s">
        <v>162</v>
      </c>
      <c r="M322" s="29"/>
      <c r="N322" s="1"/>
      <c r="O322" s="1"/>
      <c r="P322" s="1"/>
      <c r="Q322" s="1"/>
      <c r="R322" s="1"/>
      <c r="S322" s="1"/>
      <c r="T322" s="1"/>
      <c r="U322" s="1"/>
    </row>
    <row r="323" spans="1:21" ht="24.75" customHeight="1">
      <c r="A323" s="167"/>
      <c r="B323" s="167"/>
      <c r="C323" s="30" t="s">
        <v>105</v>
      </c>
      <c r="D323" s="31" t="str">
        <f t="shared" ref="D323:M323" si="243">VLOOKUP(D320,$O$5:$Q$24,3,0)</f>
        <v>김도영</v>
      </c>
      <c r="E323" s="31" t="str">
        <f t="shared" si="243"/>
        <v>김도영</v>
      </c>
      <c r="F323" s="31" t="str">
        <f t="shared" si="243"/>
        <v>김도영</v>
      </c>
      <c r="G323" s="31" t="str">
        <f t="shared" si="243"/>
        <v>김도영</v>
      </c>
      <c r="H323" s="31" t="str">
        <f t="shared" si="243"/>
        <v>김도영</v>
      </c>
      <c r="I323" s="31" t="str">
        <f t="shared" si="243"/>
        <v>김도영</v>
      </c>
      <c r="J323" s="31" t="str">
        <f t="shared" si="243"/>
        <v>김도영</v>
      </c>
      <c r="K323" s="31" t="str">
        <f t="shared" si="243"/>
        <v>김도영</v>
      </c>
      <c r="L323" s="31" t="str">
        <f t="shared" si="243"/>
        <v>김도영</v>
      </c>
      <c r="M323" s="31" t="e">
        <f t="shared" si="243"/>
        <v>#N/A</v>
      </c>
      <c r="N323" s="1"/>
      <c r="O323" s="1"/>
      <c r="P323" s="1"/>
      <c r="Q323" s="1"/>
      <c r="R323" s="1"/>
      <c r="S323" s="1"/>
      <c r="T323" s="1"/>
      <c r="U323" s="1"/>
    </row>
    <row r="324" spans="1:21" ht="24.75" customHeight="1">
      <c r="A324" s="166" t="s">
        <v>106</v>
      </c>
      <c r="B324" s="166" t="s">
        <v>107</v>
      </c>
      <c r="C324" s="18" t="s">
        <v>15</v>
      </c>
      <c r="D324" s="19" t="s">
        <v>65</v>
      </c>
      <c r="E324" s="19" t="s">
        <v>65</v>
      </c>
      <c r="F324" s="19" t="s">
        <v>65</v>
      </c>
      <c r="G324" s="19" t="s">
        <v>74</v>
      </c>
      <c r="H324" s="19" t="s">
        <v>74</v>
      </c>
      <c r="I324" s="19" t="s">
        <v>74</v>
      </c>
      <c r="J324" s="19" t="s">
        <v>74</v>
      </c>
      <c r="K324" s="19" t="s">
        <v>74</v>
      </c>
      <c r="L324" s="19" t="s">
        <v>74</v>
      </c>
      <c r="M324" s="19"/>
      <c r="N324" s="1"/>
      <c r="O324" s="1"/>
      <c r="P324" s="1"/>
      <c r="Q324" s="1"/>
      <c r="R324" s="1"/>
      <c r="S324" s="1"/>
      <c r="T324" s="1"/>
      <c r="U324" s="1"/>
    </row>
    <row r="325" spans="1:21" ht="24.75" customHeight="1">
      <c r="A325" s="167"/>
      <c r="B325" s="167"/>
      <c r="C325" s="24" t="s">
        <v>16</v>
      </c>
      <c r="D325" s="25" t="str">
        <f t="shared" ref="D325:M325" si="244">VLOOKUP(D324,$O$5:$P$24,2,FALSE)</f>
        <v>RAG(Retrieval-Augmented Generation)</v>
      </c>
      <c r="E325" s="25" t="str">
        <f t="shared" si="244"/>
        <v>RAG(Retrieval-Augmented Generation)</v>
      </c>
      <c r="F325" s="25" t="str">
        <f t="shared" si="244"/>
        <v>RAG(Retrieval-Augmented Generation)</v>
      </c>
      <c r="G325" s="25" t="str">
        <f t="shared" si="244"/>
        <v>사전 데이터 기반 PERSO AI의 답변 커스텀하기</v>
      </c>
      <c r="H325" s="25" t="str">
        <f t="shared" si="244"/>
        <v>사전 데이터 기반 PERSO AI의 답변 커스텀하기</v>
      </c>
      <c r="I325" s="25" t="str">
        <f t="shared" si="244"/>
        <v>사전 데이터 기반 PERSO AI의 답변 커스텀하기</v>
      </c>
      <c r="J325" s="25" t="str">
        <f t="shared" si="244"/>
        <v>사전 데이터 기반 PERSO AI의 답변 커스텀하기</v>
      </c>
      <c r="K325" s="25" t="str">
        <f t="shared" si="244"/>
        <v>사전 데이터 기반 PERSO AI의 답변 커스텀하기</v>
      </c>
      <c r="L325" s="25" t="str">
        <f t="shared" si="244"/>
        <v>사전 데이터 기반 PERSO AI의 답변 커스텀하기</v>
      </c>
      <c r="M325" s="25" t="e">
        <f t="shared" si="244"/>
        <v>#N/A</v>
      </c>
      <c r="N325" s="1"/>
      <c r="O325" s="1"/>
      <c r="P325" s="1"/>
      <c r="Q325" s="1"/>
      <c r="R325" s="1"/>
      <c r="S325" s="1"/>
      <c r="T325" s="1"/>
      <c r="U325" s="1"/>
    </row>
    <row r="326" spans="1:21" ht="24.75" customHeight="1">
      <c r="A326" s="167"/>
      <c r="B326" s="167"/>
      <c r="C326" s="28" t="s">
        <v>17</v>
      </c>
      <c r="D326" s="29" t="s">
        <v>160</v>
      </c>
      <c r="E326" s="29" t="s">
        <v>160</v>
      </c>
      <c r="F326" s="29" t="s">
        <v>160</v>
      </c>
      <c r="G326" s="29" t="s">
        <v>161</v>
      </c>
      <c r="H326" s="29" t="s">
        <v>161</v>
      </c>
      <c r="I326" s="29" t="s">
        <v>161</v>
      </c>
      <c r="J326" s="29" t="s">
        <v>161</v>
      </c>
      <c r="K326" s="29" t="s">
        <v>162</v>
      </c>
      <c r="L326" s="29" t="s">
        <v>162</v>
      </c>
      <c r="M326" s="29"/>
      <c r="N326" s="1"/>
      <c r="O326" s="1"/>
      <c r="P326" s="1"/>
      <c r="Q326" s="1"/>
      <c r="R326" s="1"/>
      <c r="S326" s="1"/>
      <c r="T326" s="1"/>
      <c r="U326" s="1"/>
    </row>
    <row r="327" spans="1:21" ht="24.75" customHeight="1">
      <c r="A327" s="167"/>
      <c r="B327" s="167"/>
      <c r="C327" s="32" t="s">
        <v>105</v>
      </c>
      <c r="D327" s="31" t="str">
        <f t="shared" ref="D327:M327" si="245">VLOOKUP(D324,$O$5:$Q$24,3,0)</f>
        <v>김도영</v>
      </c>
      <c r="E327" s="31" t="str">
        <f t="shared" si="245"/>
        <v>김도영</v>
      </c>
      <c r="F327" s="31" t="str">
        <f t="shared" si="245"/>
        <v>김도영</v>
      </c>
      <c r="G327" s="31" t="str">
        <f t="shared" si="245"/>
        <v>김도영</v>
      </c>
      <c r="H327" s="31" t="str">
        <f t="shared" si="245"/>
        <v>김도영</v>
      </c>
      <c r="I327" s="31" t="str">
        <f t="shared" si="245"/>
        <v>김도영</v>
      </c>
      <c r="J327" s="31" t="str">
        <f t="shared" si="245"/>
        <v>김도영</v>
      </c>
      <c r="K327" s="31" t="str">
        <f t="shared" si="245"/>
        <v>김도영</v>
      </c>
      <c r="L327" s="31" t="str">
        <f t="shared" si="245"/>
        <v>김도영</v>
      </c>
      <c r="M327" s="31" t="e">
        <f t="shared" si="245"/>
        <v>#N/A</v>
      </c>
      <c r="N327" s="1"/>
      <c r="O327" s="1"/>
      <c r="P327" s="1"/>
      <c r="Q327" s="1"/>
      <c r="R327" s="1"/>
      <c r="S327" s="1"/>
      <c r="T327" s="1"/>
      <c r="U327" s="1"/>
    </row>
    <row r="328" spans="1:21" ht="24.75" customHeight="1">
      <c r="A328" s="166" t="s">
        <v>108</v>
      </c>
      <c r="B328" s="166" t="s">
        <v>109</v>
      </c>
      <c r="C328" s="18" t="s">
        <v>15</v>
      </c>
      <c r="D328" s="19" t="s">
        <v>65</v>
      </c>
      <c r="E328" s="19" t="s">
        <v>65</v>
      </c>
      <c r="F328" s="19" t="s">
        <v>65</v>
      </c>
      <c r="G328" s="19" t="s">
        <v>74</v>
      </c>
      <c r="H328" s="19" t="s">
        <v>74</v>
      </c>
      <c r="I328" s="19" t="s">
        <v>74</v>
      </c>
      <c r="J328" s="19" t="s">
        <v>74</v>
      </c>
      <c r="K328" s="19" t="s">
        <v>74</v>
      </c>
      <c r="L328" s="19" t="s">
        <v>74</v>
      </c>
      <c r="M328" s="19"/>
      <c r="N328" s="1"/>
      <c r="O328" s="1"/>
      <c r="P328" s="1"/>
      <c r="Q328" s="1"/>
      <c r="R328" s="1"/>
      <c r="S328" s="1"/>
      <c r="T328" s="1"/>
      <c r="U328" s="1"/>
    </row>
    <row r="329" spans="1:21" ht="24.75" customHeight="1">
      <c r="A329" s="167"/>
      <c r="B329" s="167"/>
      <c r="C329" s="24" t="s">
        <v>16</v>
      </c>
      <c r="D329" s="25" t="str">
        <f t="shared" ref="D329:M329" si="246">VLOOKUP(D328,$O$5:$P$24,2,FALSE)</f>
        <v>RAG(Retrieval-Augmented Generation)</v>
      </c>
      <c r="E329" s="25" t="str">
        <f t="shared" si="246"/>
        <v>RAG(Retrieval-Augmented Generation)</v>
      </c>
      <c r="F329" s="25" t="str">
        <f t="shared" si="246"/>
        <v>RAG(Retrieval-Augmented Generation)</v>
      </c>
      <c r="G329" s="25" t="str">
        <f t="shared" si="246"/>
        <v>사전 데이터 기반 PERSO AI의 답변 커스텀하기</v>
      </c>
      <c r="H329" s="25" t="str">
        <f t="shared" si="246"/>
        <v>사전 데이터 기반 PERSO AI의 답변 커스텀하기</v>
      </c>
      <c r="I329" s="25" t="str">
        <f t="shared" si="246"/>
        <v>사전 데이터 기반 PERSO AI의 답변 커스텀하기</v>
      </c>
      <c r="J329" s="25" t="str">
        <f t="shared" si="246"/>
        <v>사전 데이터 기반 PERSO AI의 답변 커스텀하기</v>
      </c>
      <c r="K329" s="25" t="str">
        <f t="shared" si="246"/>
        <v>사전 데이터 기반 PERSO AI의 답변 커스텀하기</v>
      </c>
      <c r="L329" s="25" t="str">
        <f t="shared" si="246"/>
        <v>사전 데이터 기반 PERSO AI의 답변 커스텀하기</v>
      </c>
      <c r="M329" s="25" t="e">
        <f t="shared" si="246"/>
        <v>#N/A</v>
      </c>
      <c r="N329" s="1"/>
      <c r="O329" s="1"/>
      <c r="P329" s="1"/>
      <c r="Q329" s="1"/>
      <c r="R329" s="1"/>
      <c r="S329" s="1"/>
      <c r="T329" s="1"/>
      <c r="U329" s="1"/>
    </row>
    <row r="330" spans="1:21" ht="24.75" customHeight="1">
      <c r="A330" s="167"/>
      <c r="B330" s="167"/>
      <c r="C330" s="28" t="s">
        <v>17</v>
      </c>
      <c r="D330" s="29" t="s">
        <v>160</v>
      </c>
      <c r="E330" s="29" t="s">
        <v>160</v>
      </c>
      <c r="F330" s="29" t="s">
        <v>160</v>
      </c>
      <c r="G330" s="29" t="s">
        <v>161</v>
      </c>
      <c r="H330" s="29" t="s">
        <v>161</v>
      </c>
      <c r="I330" s="29" t="s">
        <v>161</v>
      </c>
      <c r="J330" s="29" t="s">
        <v>161</v>
      </c>
      <c r="K330" s="29" t="s">
        <v>162</v>
      </c>
      <c r="L330" s="29" t="s">
        <v>162</v>
      </c>
      <c r="M330" s="29"/>
      <c r="N330" s="1"/>
      <c r="O330" s="1"/>
      <c r="P330" s="1"/>
      <c r="Q330" s="1"/>
      <c r="R330" s="1"/>
      <c r="S330" s="1"/>
      <c r="T330" s="1"/>
      <c r="U330" s="1"/>
    </row>
    <row r="331" spans="1:21" ht="24.75" customHeight="1">
      <c r="A331" s="167"/>
      <c r="B331" s="167"/>
      <c r="C331" s="32" t="s">
        <v>105</v>
      </c>
      <c r="D331" s="31" t="str">
        <f t="shared" ref="D331:M331" si="247">VLOOKUP(D328,$O$5:$Q$24,3,0)</f>
        <v>김도영</v>
      </c>
      <c r="E331" s="31" t="str">
        <f t="shared" si="247"/>
        <v>김도영</v>
      </c>
      <c r="F331" s="31" t="str">
        <f t="shared" si="247"/>
        <v>김도영</v>
      </c>
      <c r="G331" s="31" t="str">
        <f t="shared" si="247"/>
        <v>김도영</v>
      </c>
      <c r="H331" s="31" t="str">
        <f t="shared" si="247"/>
        <v>김도영</v>
      </c>
      <c r="I331" s="31" t="str">
        <f t="shared" si="247"/>
        <v>김도영</v>
      </c>
      <c r="J331" s="31" t="str">
        <f t="shared" si="247"/>
        <v>김도영</v>
      </c>
      <c r="K331" s="31" t="str">
        <f t="shared" si="247"/>
        <v>김도영</v>
      </c>
      <c r="L331" s="31" t="str">
        <f t="shared" si="247"/>
        <v>김도영</v>
      </c>
      <c r="M331" s="31" t="e">
        <f t="shared" si="247"/>
        <v>#N/A</v>
      </c>
      <c r="N331" s="1"/>
      <c r="O331" s="1"/>
      <c r="P331" s="1"/>
      <c r="Q331" s="1"/>
      <c r="R331" s="1"/>
      <c r="S331" s="1"/>
      <c r="T331" s="1"/>
      <c r="U331" s="1"/>
    </row>
    <row r="332" spans="1:21" ht="24.75" customHeight="1">
      <c r="A332" s="38" t="s">
        <v>28</v>
      </c>
      <c r="B332" s="38" t="s">
        <v>110</v>
      </c>
      <c r="C332" s="39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1"/>
      <c r="O332" s="1"/>
      <c r="P332" s="1"/>
      <c r="Q332" s="1"/>
      <c r="R332" s="1"/>
      <c r="S332" s="1"/>
      <c r="T332" s="1"/>
      <c r="U332" s="1"/>
    </row>
    <row r="333" spans="1:21" ht="24.75" customHeight="1">
      <c r="A333" s="166" t="s">
        <v>111</v>
      </c>
      <c r="B333" s="166" t="s">
        <v>112</v>
      </c>
      <c r="C333" s="18" t="s">
        <v>15</v>
      </c>
      <c r="D333" s="19" t="s">
        <v>65</v>
      </c>
      <c r="E333" s="19" t="s">
        <v>65</v>
      </c>
      <c r="F333" s="19" t="s">
        <v>65</v>
      </c>
      <c r="G333" s="19" t="s">
        <v>74</v>
      </c>
      <c r="H333" s="19" t="s">
        <v>74</v>
      </c>
      <c r="I333" s="19" t="s">
        <v>74</v>
      </c>
      <c r="J333" s="19" t="s">
        <v>74</v>
      </c>
      <c r="K333" s="19" t="s">
        <v>74</v>
      </c>
      <c r="L333" s="19" t="s">
        <v>74</v>
      </c>
      <c r="M333" s="19"/>
      <c r="N333" s="1"/>
      <c r="O333" s="1"/>
      <c r="P333" s="1"/>
      <c r="Q333" s="1"/>
      <c r="R333" s="1"/>
      <c r="S333" s="1"/>
      <c r="T333" s="1"/>
      <c r="U333" s="1"/>
    </row>
    <row r="334" spans="1:21" ht="24.75" customHeight="1">
      <c r="A334" s="167"/>
      <c r="B334" s="167"/>
      <c r="C334" s="24" t="s">
        <v>16</v>
      </c>
      <c r="D334" s="25" t="str">
        <f t="shared" ref="D334:M334" si="248">VLOOKUP(D333,$O$5:$P$24,2,FALSE)</f>
        <v>RAG(Retrieval-Augmented Generation)</v>
      </c>
      <c r="E334" s="25" t="str">
        <f t="shared" si="248"/>
        <v>RAG(Retrieval-Augmented Generation)</v>
      </c>
      <c r="F334" s="25" t="str">
        <f t="shared" si="248"/>
        <v>RAG(Retrieval-Augmented Generation)</v>
      </c>
      <c r="G334" s="25" t="str">
        <f t="shared" si="248"/>
        <v>사전 데이터 기반 PERSO AI의 답변 커스텀하기</v>
      </c>
      <c r="H334" s="25" t="str">
        <f t="shared" si="248"/>
        <v>사전 데이터 기반 PERSO AI의 답변 커스텀하기</v>
      </c>
      <c r="I334" s="25" t="str">
        <f t="shared" si="248"/>
        <v>사전 데이터 기반 PERSO AI의 답변 커스텀하기</v>
      </c>
      <c r="J334" s="25" t="str">
        <f t="shared" si="248"/>
        <v>사전 데이터 기반 PERSO AI의 답변 커스텀하기</v>
      </c>
      <c r="K334" s="25" t="str">
        <f t="shared" si="248"/>
        <v>사전 데이터 기반 PERSO AI의 답변 커스텀하기</v>
      </c>
      <c r="L334" s="25" t="str">
        <f t="shared" si="248"/>
        <v>사전 데이터 기반 PERSO AI의 답변 커스텀하기</v>
      </c>
      <c r="M334" s="25" t="e">
        <f t="shared" si="248"/>
        <v>#N/A</v>
      </c>
      <c r="N334" s="1"/>
      <c r="O334" s="1"/>
      <c r="P334" s="1"/>
      <c r="Q334" s="1"/>
      <c r="R334" s="1"/>
      <c r="S334" s="1"/>
      <c r="T334" s="1"/>
      <c r="U334" s="1"/>
    </row>
    <row r="335" spans="1:21" ht="24.75" customHeight="1">
      <c r="A335" s="167"/>
      <c r="B335" s="167"/>
      <c r="C335" s="28" t="s">
        <v>17</v>
      </c>
      <c r="D335" s="29" t="s">
        <v>160</v>
      </c>
      <c r="E335" s="29" t="s">
        <v>160</v>
      </c>
      <c r="F335" s="29" t="s">
        <v>160</v>
      </c>
      <c r="G335" s="29" t="s">
        <v>161</v>
      </c>
      <c r="H335" s="29" t="s">
        <v>161</v>
      </c>
      <c r="I335" s="29" t="s">
        <v>161</v>
      </c>
      <c r="J335" s="29" t="s">
        <v>161</v>
      </c>
      <c r="K335" s="29" t="s">
        <v>162</v>
      </c>
      <c r="L335" s="29" t="s">
        <v>162</v>
      </c>
      <c r="M335" s="29"/>
      <c r="N335" s="1"/>
      <c r="O335" s="1"/>
      <c r="P335" s="1"/>
      <c r="Q335" s="1"/>
      <c r="R335" s="1"/>
      <c r="S335" s="1"/>
      <c r="T335" s="1"/>
      <c r="U335" s="1"/>
    </row>
    <row r="336" spans="1:21" ht="24.75" customHeight="1">
      <c r="A336" s="167"/>
      <c r="B336" s="167"/>
      <c r="C336" s="32" t="s">
        <v>105</v>
      </c>
      <c r="D336" s="31" t="str">
        <f t="shared" ref="D336:M336" si="249">VLOOKUP(D333,$O$5:$Q$24,3,0)</f>
        <v>김도영</v>
      </c>
      <c r="E336" s="31" t="str">
        <f t="shared" si="249"/>
        <v>김도영</v>
      </c>
      <c r="F336" s="31" t="str">
        <f t="shared" si="249"/>
        <v>김도영</v>
      </c>
      <c r="G336" s="31" t="str">
        <f t="shared" si="249"/>
        <v>김도영</v>
      </c>
      <c r="H336" s="31" t="str">
        <f t="shared" si="249"/>
        <v>김도영</v>
      </c>
      <c r="I336" s="31" t="str">
        <f t="shared" si="249"/>
        <v>김도영</v>
      </c>
      <c r="J336" s="31" t="str">
        <f t="shared" si="249"/>
        <v>김도영</v>
      </c>
      <c r="K336" s="31" t="str">
        <f t="shared" si="249"/>
        <v>김도영</v>
      </c>
      <c r="L336" s="31" t="str">
        <f t="shared" si="249"/>
        <v>김도영</v>
      </c>
      <c r="M336" s="31" t="e">
        <f t="shared" si="249"/>
        <v>#N/A</v>
      </c>
      <c r="N336" s="1"/>
      <c r="O336" s="1"/>
      <c r="P336" s="1"/>
      <c r="Q336" s="1"/>
      <c r="R336" s="1"/>
      <c r="S336" s="1"/>
      <c r="T336" s="1"/>
      <c r="U336" s="1"/>
    </row>
    <row r="337" spans="1:21" ht="24.75" customHeight="1">
      <c r="A337" s="166" t="s">
        <v>113</v>
      </c>
      <c r="B337" s="166" t="s">
        <v>114</v>
      </c>
      <c r="C337" s="18" t="s">
        <v>15</v>
      </c>
      <c r="D337" s="19" t="s">
        <v>65</v>
      </c>
      <c r="E337" s="19" t="s">
        <v>65</v>
      </c>
      <c r="F337" s="19" t="s">
        <v>74</v>
      </c>
      <c r="G337" s="19" t="s">
        <v>74</v>
      </c>
      <c r="H337" s="19" t="s">
        <v>74</v>
      </c>
      <c r="I337" s="19" t="s">
        <v>74</v>
      </c>
      <c r="J337" s="19" t="s">
        <v>74</v>
      </c>
      <c r="K337" s="19" t="s">
        <v>74</v>
      </c>
      <c r="L337" s="19" t="s">
        <v>74</v>
      </c>
      <c r="M337" s="19"/>
      <c r="N337" s="1"/>
      <c r="O337" s="1"/>
      <c r="P337" s="1"/>
      <c r="Q337" s="1"/>
      <c r="R337" s="1"/>
      <c r="S337" s="1"/>
      <c r="T337" s="1"/>
      <c r="U337" s="1"/>
    </row>
    <row r="338" spans="1:21" ht="24.75" customHeight="1">
      <c r="A338" s="167"/>
      <c r="B338" s="167"/>
      <c r="C338" s="24" t="s">
        <v>16</v>
      </c>
      <c r="D338" s="25" t="str">
        <f t="shared" ref="D338:M338" si="250">VLOOKUP(D337,$O$5:$P$24,2,FALSE)</f>
        <v>RAG(Retrieval-Augmented Generation)</v>
      </c>
      <c r="E338" s="25" t="str">
        <f t="shared" si="250"/>
        <v>RAG(Retrieval-Augmented Generation)</v>
      </c>
      <c r="F338" s="25" t="str">
        <f t="shared" si="250"/>
        <v>사전 데이터 기반 PERSO AI의 답변 커스텀하기</v>
      </c>
      <c r="G338" s="25" t="str">
        <f t="shared" si="250"/>
        <v>사전 데이터 기반 PERSO AI의 답변 커스텀하기</v>
      </c>
      <c r="H338" s="25" t="str">
        <f t="shared" si="250"/>
        <v>사전 데이터 기반 PERSO AI의 답변 커스텀하기</v>
      </c>
      <c r="I338" s="25" t="str">
        <f t="shared" si="250"/>
        <v>사전 데이터 기반 PERSO AI의 답변 커스텀하기</v>
      </c>
      <c r="J338" s="25" t="str">
        <f t="shared" si="250"/>
        <v>사전 데이터 기반 PERSO AI의 답변 커스텀하기</v>
      </c>
      <c r="K338" s="25" t="str">
        <f t="shared" si="250"/>
        <v>사전 데이터 기반 PERSO AI의 답변 커스텀하기</v>
      </c>
      <c r="L338" s="25" t="str">
        <f t="shared" si="250"/>
        <v>사전 데이터 기반 PERSO AI의 답변 커스텀하기</v>
      </c>
      <c r="M338" s="25" t="e">
        <f t="shared" si="250"/>
        <v>#N/A</v>
      </c>
      <c r="N338" s="1"/>
      <c r="O338" s="1"/>
      <c r="P338" s="1"/>
      <c r="Q338" s="1"/>
      <c r="R338" s="1"/>
      <c r="S338" s="1"/>
      <c r="T338" s="1"/>
      <c r="U338" s="1"/>
    </row>
    <row r="339" spans="1:21" ht="24.75" customHeight="1">
      <c r="A339" s="167"/>
      <c r="B339" s="167"/>
      <c r="C339" s="28" t="s">
        <v>17</v>
      </c>
      <c r="D339" s="29" t="s">
        <v>160</v>
      </c>
      <c r="E339" s="29" t="s">
        <v>160</v>
      </c>
      <c r="F339" s="29" t="s">
        <v>161</v>
      </c>
      <c r="G339" s="29" t="s">
        <v>161</v>
      </c>
      <c r="H339" s="29" t="s">
        <v>161</v>
      </c>
      <c r="I339" s="29" t="s">
        <v>161</v>
      </c>
      <c r="J339" s="29" t="s">
        <v>161</v>
      </c>
      <c r="K339" s="29" t="s">
        <v>162</v>
      </c>
      <c r="L339" s="29" t="s">
        <v>162</v>
      </c>
      <c r="M339" s="29"/>
      <c r="N339" s="1"/>
      <c r="O339" s="1"/>
      <c r="P339" s="1"/>
      <c r="Q339" s="1"/>
      <c r="R339" s="1"/>
      <c r="S339" s="1"/>
      <c r="T339" s="1"/>
      <c r="U339" s="1"/>
    </row>
    <row r="340" spans="1:21" ht="24.75" customHeight="1">
      <c r="A340" s="167"/>
      <c r="B340" s="167"/>
      <c r="C340" s="32" t="s">
        <v>105</v>
      </c>
      <c r="D340" s="31" t="str">
        <f t="shared" ref="D340:M340" si="251">VLOOKUP(D337,$O$5:$Q$24,3,0)</f>
        <v>김도영</v>
      </c>
      <c r="E340" s="31" t="str">
        <f t="shared" si="251"/>
        <v>김도영</v>
      </c>
      <c r="F340" s="31" t="str">
        <f t="shared" si="251"/>
        <v>김도영</v>
      </c>
      <c r="G340" s="31" t="str">
        <f t="shared" si="251"/>
        <v>김도영</v>
      </c>
      <c r="H340" s="31" t="str">
        <f t="shared" si="251"/>
        <v>김도영</v>
      </c>
      <c r="I340" s="31" t="str">
        <f t="shared" si="251"/>
        <v>김도영</v>
      </c>
      <c r="J340" s="31" t="str">
        <f t="shared" si="251"/>
        <v>김도영</v>
      </c>
      <c r="K340" s="31" t="str">
        <f t="shared" si="251"/>
        <v>김도영</v>
      </c>
      <c r="L340" s="31" t="str">
        <f t="shared" si="251"/>
        <v>김도영</v>
      </c>
      <c r="M340" s="31" t="e">
        <f t="shared" si="251"/>
        <v>#N/A</v>
      </c>
      <c r="N340" s="1"/>
      <c r="O340" s="1"/>
      <c r="P340" s="1"/>
      <c r="Q340" s="1"/>
      <c r="R340" s="1"/>
      <c r="S340" s="1"/>
      <c r="T340" s="1"/>
      <c r="U340" s="1"/>
    </row>
    <row r="341" spans="1:21" ht="24.75" customHeight="1">
      <c r="A341" s="166" t="s">
        <v>115</v>
      </c>
      <c r="B341" s="166" t="s">
        <v>116</v>
      </c>
      <c r="C341" s="18" t="s">
        <v>15</v>
      </c>
      <c r="D341" s="19" t="s">
        <v>65</v>
      </c>
      <c r="E341" s="19" t="s">
        <v>65</v>
      </c>
      <c r="F341" s="19" t="s">
        <v>74</v>
      </c>
      <c r="G341" s="19" t="s">
        <v>74</v>
      </c>
      <c r="H341" s="19" t="s">
        <v>74</v>
      </c>
      <c r="I341" s="19" t="s">
        <v>74</v>
      </c>
      <c r="J341" s="19" t="s">
        <v>74</v>
      </c>
      <c r="K341" s="19" t="s">
        <v>74</v>
      </c>
      <c r="L341" s="19" t="s">
        <v>74</v>
      </c>
      <c r="M341" s="19"/>
      <c r="N341" s="1"/>
      <c r="O341" s="1"/>
      <c r="P341" s="1"/>
      <c r="Q341" s="1"/>
      <c r="R341" s="1"/>
      <c r="S341" s="1"/>
      <c r="T341" s="1"/>
      <c r="U341" s="1"/>
    </row>
    <row r="342" spans="1:21" ht="24.75" customHeight="1">
      <c r="A342" s="167"/>
      <c r="B342" s="167"/>
      <c r="C342" s="24" t="s">
        <v>16</v>
      </c>
      <c r="D342" s="25" t="str">
        <f t="shared" ref="D342:M342" si="252">VLOOKUP(D341,$O$5:$P$24,2,FALSE)</f>
        <v>RAG(Retrieval-Augmented Generation)</v>
      </c>
      <c r="E342" s="25" t="str">
        <f t="shared" si="252"/>
        <v>RAG(Retrieval-Augmented Generation)</v>
      </c>
      <c r="F342" s="25" t="str">
        <f t="shared" si="252"/>
        <v>사전 데이터 기반 PERSO AI의 답변 커스텀하기</v>
      </c>
      <c r="G342" s="25" t="str">
        <f t="shared" si="252"/>
        <v>사전 데이터 기반 PERSO AI의 답변 커스텀하기</v>
      </c>
      <c r="H342" s="25" t="str">
        <f t="shared" si="252"/>
        <v>사전 데이터 기반 PERSO AI의 답변 커스텀하기</v>
      </c>
      <c r="I342" s="25" t="str">
        <f t="shared" si="252"/>
        <v>사전 데이터 기반 PERSO AI의 답변 커스텀하기</v>
      </c>
      <c r="J342" s="25" t="str">
        <f t="shared" si="252"/>
        <v>사전 데이터 기반 PERSO AI의 답변 커스텀하기</v>
      </c>
      <c r="K342" s="25" t="str">
        <f t="shared" si="252"/>
        <v>사전 데이터 기반 PERSO AI의 답변 커스텀하기</v>
      </c>
      <c r="L342" s="25" t="str">
        <f t="shared" si="252"/>
        <v>사전 데이터 기반 PERSO AI의 답변 커스텀하기</v>
      </c>
      <c r="M342" s="25" t="e">
        <f t="shared" si="252"/>
        <v>#N/A</v>
      </c>
      <c r="N342" s="1"/>
      <c r="O342" s="1"/>
      <c r="P342" s="1"/>
      <c r="Q342" s="1"/>
      <c r="R342" s="1"/>
      <c r="S342" s="1"/>
      <c r="T342" s="1"/>
      <c r="U342" s="1"/>
    </row>
    <row r="343" spans="1:21" ht="24.75" customHeight="1">
      <c r="A343" s="167"/>
      <c r="B343" s="167"/>
      <c r="C343" s="28" t="s">
        <v>17</v>
      </c>
      <c r="D343" s="29" t="s">
        <v>160</v>
      </c>
      <c r="E343" s="29" t="s">
        <v>160</v>
      </c>
      <c r="F343" s="29" t="s">
        <v>161</v>
      </c>
      <c r="G343" s="29" t="s">
        <v>161</v>
      </c>
      <c r="H343" s="29" t="s">
        <v>161</v>
      </c>
      <c r="I343" s="29" t="s">
        <v>161</v>
      </c>
      <c r="J343" s="29" t="s">
        <v>161</v>
      </c>
      <c r="K343" s="29" t="s">
        <v>162</v>
      </c>
      <c r="L343" s="29" t="s">
        <v>162</v>
      </c>
      <c r="M343" s="29"/>
      <c r="N343" s="1"/>
      <c r="O343" s="1"/>
      <c r="P343" s="1"/>
      <c r="Q343" s="1"/>
      <c r="R343" s="1"/>
      <c r="S343" s="1"/>
      <c r="T343" s="1"/>
      <c r="U343" s="1"/>
    </row>
    <row r="344" spans="1:21" ht="24.75" customHeight="1">
      <c r="A344" s="167"/>
      <c r="B344" s="167"/>
      <c r="C344" s="32" t="s">
        <v>105</v>
      </c>
      <c r="D344" s="31" t="str">
        <f t="shared" ref="D344:M344" si="253">VLOOKUP(D341,$O$5:$Q$24,3,0)</f>
        <v>김도영</v>
      </c>
      <c r="E344" s="31" t="str">
        <f t="shared" si="253"/>
        <v>김도영</v>
      </c>
      <c r="F344" s="31" t="str">
        <f t="shared" si="253"/>
        <v>김도영</v>
      </c>
      <c r="G344" s="31" t="str">
        <f t="shared" si="253"/>
        <v>김도영</v>
      </c>
      <c r="H344" s="31" t="str">
        <f t="shared" si="253"/>
        <v>김도영</v>
      </c>
      <c r="I344" s="31" t="str">
        <f t="shared" si="253"/>
        <v>김도영</v>
      </c>
      <c r="J344" s="31" t="str">
        <f t="shared" si="253"/>
        <v>김도영</v>
      </c>
      <c r="K344" s="31" t="str">
        <f t="shared" si="253"/>
        <v>김도영</v>
      </c>
      <c r="L344" s="31" t="str">
        <f t="shared" si="253"/>
        <v>김도영</v>
      </c>
      <c r="M344" s="31" t="e">
        <f t="shared" si="253"/>
        <v>#N/A</v>
      </c>
      <c r="N344" s="1"/>
      <c r="O344" s="1"/>
      <c r="P344" s="1"/>
      <c r="Q344" s="1"/>
      <c r="R344" s="1"/>
      <c r="S344" s="1"/>
      <c r="T344" s="1"/>
      <c r="U344" s="1"/>
    </row>
    <row r="345" spans="1:21" ht="24.75" customHeight="1">
      <c r="A345" s="166" t="s">
        <v>117</v>
      </c>
      <c r="B345" s="166" t="s">
        <v>118</v>
      </c>
      <c r="C345" s="18" t="s">
        <v>15</v>
      </c>
      <c r="D345" s="19" t="s">
        <v>65</v>
      </c>
      <c r="E345" s="19" t="s">
        <v>65</v>
      </c>
      <c r="F345" s="19" t="s">
        <v>74</v>
      </c>
      <c r="G345" s="19" t="s">
        <v>74</v>
      </c>
      <c r="H345" s="19" t="s">
        <v>74</v>
      </c>
      <c r="I345" s="19" t="s">
        <v>74</v>
      </c>
      <c r="J345" s="19" t="s">
        <v>74</v>
      </c>
      <c r="K345" s="19" t="s">
        <v>74</v>
      </c>
      <c r="L345" s="19" t="s">
        <v>74</v>
      </c>
      <c r="M345" s="19"/>
      <c r="N345" s="1"/>
      <c r="O345" s="1"/>
      <c r="P345" s="1"/>
      <c r="Q345" s="1"/>
      <c r="R345" s="1"/>
      <c r="S345" s="1"/>
      <c r="T345" s="1"/>
      <c r="U345" s="1"/>
    </row>
    <row r="346" spans="1:21" ht="24.75" customHeight="1">
      <c r="A346" s="167"/>
      <c r="B346" s="167"/>
      <c r="C346" s="24" t="s">
        <v>16</v>
      </c>
      <c r="D346" s="25" t="str">
        <f t="shared" ref="D346:M346" si="254">VLOOKUP(D345,$O$5:$P$24,2,FALSE)</f>
        <v>RAG(Retrieval-Augmented Generation)</v>
      </c>
      <c r="E346" s="25" t="str">
        <f t="shared" si="254"/>
        <v>RAG(Retrieval-Augmented Generation)</v>
      </c>
      <c r="F346" s="25" t="str">
        <f t="shared" si="254"/>
        <v>사전 데이터 기반 PERSO AI의 답변 커스텀하기</v>
      </c>
      <c r="G346" s="25" t="str">
        <f t="shared" si="254"/>
        <v>사전 데이터 기반 PERSO AI의 답변 커스텀하기</v>
      </c>
      <c r="H346" s="25" t="str">
        <f t="shared" si="254"/>
        <v>사전 데이터 기반 PERSO AI의 답변 커스텀하기</v>
      </c>
      <c r="I346" s="25" t="str">
        <f t="shared" si="254"/>
        <v>사전 데이터 기반 PERSO AI의 답변 커스텀하기</v>
      </c>
      <c r="J346" s="25" t="str">
        <f t="shared" si="254"/>
        <v>사전 데이터 기반 PERSO AI의 답변 커스텀하기</v>
      </c>
      <c r="K346" s="25" t="str">
        <f t="shared" si="254"/>
        <v>사전 데이터 기반 PERSO AI의 답변 커스텀하기</v>
      </c>
      <c r="L346" s="25" t="str">
        <f t="shared" si="254"/>
        <v>사전 데이터 기반 PERSO AI의 답변 커스텀하기</v>
      </c>
      <c r="M346" s="25" t="e">
        <f t="shared" si="254"/>
        <v>#N/A</v>
      </c>
      <c r="N346" s="1"/>
      <c r="O346" s="1"/>
      <c r="P346" s="1"/>
      <c r="Q346" s="1"/>
      <c r="R346" s="1"/>
      <c r="S346" s="1"/>
      <c r="T346" s="1"/>
      <c r="U346" s="1"/>
    </row>
    <row r="347" spans="1:21" ht="24.75" customHeight="1">
      <c r="A347" s="167"/>
      <c r="B347" s="167"/>
      <c r="C347" s="28" t="s">
        <v>17</v>
      </c>
      <c r="D347" s="29" t="s">
        <v>160</v>
      </c>
      <c r="E347" s="29" t="s">
        <v>160</v>
      </c>
      <c r="F347" s="29" t="s">
        <v>161</v>
      </c>
      <c r="G347" s="29" t="s">
        <v>161</v>
      </c>
      <c r="H347" s="29" t="s">
        <v>161</v>
      </c>
      <c r="I347" s="29" t="s">
        <v>161</v>
      </c>
      <c r="J347" s="29" t="s">
        <v>162</v>
      </c>
      <c r="K347" s="29" t="s">
        <v>162</v>
      </c>
      <c r="L347" s="29" t="s">
        <v>162</v>
      </c>
      <c r="M347" s="29"/>
      <c r="N347" s="1"/>
      <c r="O347" s="1"/>
      <c r="P347" s="1"/>
      <c r="Q347" s="1"/>
      <c r="R347" s="1"/>
      <c r="S347" s="1"/>
      <c r="T347" s="1"/>
      <c r="U347" s="1"/>
    </row>
    <row r="348" spans="1:21" ht="24.75" customHeight="1">
      <c r="A348" s="167"/>
      <c r="B348" s="167"/>
      <c r="C348" s="32" t="s">
        <v>105</v>
      </c>
      <c r="D348" s="31" t="str">
        <f t="shared" ref="D348:M348" si="255">VLOOKUP(D345,$O$5:$Q$24,3,0)</f>
        <v>김도영</v>
      </c>
      <c r="E348" s="31" t="str">
        <f t="shared" si="255"/>
        <v>김도영</v>
      </c>
      <c r="F348" s="31" t="str">
        <f t="shared" si="255"/>
        <v>김도영</v>
      </c>
      <c r="G348" s="31" t="str">
        <f t="shared" si="255"/>
        <v>김도영</v>
      </c>
      <c r="H348" s="31" t="str">
        <f t="shared" si="255"/>
        <v>김도영</v>
      </c>
      <c r="I348" s="31" t="str">
        <f t="shared" si="255"/>
        <v>김도영</v>
      </c>
      <c r="J348" s="31" t="str">
        <f t="shared" si="255"/>
        <v>김도영</v>
      </c>
      <c r="K348" s="31" t="str">
        <f t="shared" si="255"/>
        <v>김도영</v>
      </c>
      <c r="L348" s="31" t="str">
        <f t="shared" si="255"/>
        <v>김도영</v>
      </c>
      <c r="M348" s="31" t="e">
        <f t="shared" si="255"/>
        <v>#N/A</v>
      </c>
      <c r="N348" s="1"/>
      <c r="O348" s="1"/>
      <c r="P348" s="1"/>
      <c r="Q348" s="1"/>
      <c r="R348" s="1"/>
      <c r="S348" s="1"/>
      <c r="T348" s="1"/>
      <c r="U348" s="1"/>
    </row>
    <row r="349" spans="1:21" ht="24.75" customHeight="1">
      <c r="A349" s="166" t="s">
        <v>119</v>
      </c>
      <c r="B349" s="166" t="s">
        <v>120</v>
      </c>
      <c r="C349" s="18" t="s">
        <v>15</v>
      </c>
      <c r="D349" s="19" t="s">
        <v>65</v>
      </c>
      <c r="E349" s="19" t="s">
        <v>65</v>
      </c>
      <c r="F349" s="19" t="s">
        <v>74</v>
      </c>
      <c r="G349" s="19" t="s">
        <v>74</v>
      </c>
      <c r="H349" s="19" t="s">
        <v>74</v>
      </c>
      <c r="I349" s="19" t="s">
        <v>74</v>
      </c>
      <c r="J349" s="19" t="s">
        <v>74</v>
      </c>
      <c r="K349" s="19" t="s">
        <v>74</v>
      </c>
      <c r="L349" s="19" t="s">
        <v>74</v>
      </c>
      <c r="M349" s="19"/>
      <c r="N349" s="1"/>
      <c r="O349" s="1"/>
      <c r="P349" s="1"/>
      <c r="Q349" s="1"/>
      <c r="R349" s="1"/>
      <c r="S349" s="1"/>
      <c r="T349" s="1"/>
      <c r="U349" s="1"/>
    </row>
    <row r="350" spans="1:21" ht="24.75" customHeight="1">
      <c r="A350" s="167"/>
      <c r="B350" s="167"/>
      <c r="C350" s="24" t="s">
        <v>16</v>
      </c>
      <c r="D350" s="25" t="str">
        <f t="shared" ref="D350:M350" si="256">VLOOKUP(D349,$O$5:$P$24,2,FALSE)</f>
        <v>RAG(Retrieval-Augmented Generation)</v>
      </c>
      <c r="E350" s="25" t="str">
        <f t="shared" si="256"/>
        <v>RAG(Retrieval-Augmented Generation)</v>
      </c>
      <c r="F350" s="25" t="str">
        <f t="shared" si="256"/>
        <v>사전 데이터 기반 PERSO AI의 답변 커스텀하기</v>
      </c>
      <c r="G350" s="25" t="str">
        <f t="shared" si="256"/>
        <v>사전 데이터 기반 PERSO AI의 답변 커스텀하기</v>
      </c>
      <c r="H350" s="25" t="str">
        <f t="shared" si="256"/>
        <v>사전 데이터 기반 PERSO AI의 답변 커스텀하기</v>
      </c>
      <c r="I350" s="25" t="str">
        <f t="shared" si="256"/>
        <v>사전 데이터 기반 PERSO AI의 답변 커스텀하기</v>
      </c>
      <c r="J350" s="25" t="str">
        <f t="shared" si="256"/>
        <v>사전 데이터 기반 PERSO AI의 답변 커스텀하기</v>
      </c>
      <c r="K350" s="25" t="str">
        <f t="shared" si="256"/>
        <v>사전 데이터 기반 PERSO AI의 답변 커스텀하기</v>
      </c>
      <c r="L350" s="25" t="str">
        <f t="shared" si="256"/>
        <v>사전 데이터 기반 PERSO AI의 답변 커스텀하기</v>
      </c>
      <c r="M350" s="25" t="e">
        <f t="shared" si="256"/>
        <v>#N/A</v>
      </c>
      <c r="N350" s="1"/>
      <c r="O350" s="1"/>
      <c r="P350" s="1"/>
      <c r="Q350" s="1"/>
      <c r="R350" s="1"/>
      <c r="S350" s="1"/>
      <c r="T350" s="1"/>
      <c r="U350" s="1"/>
    </row>
    <row r="351" spans="1:21" ht="24.75" customHeight="1">
      <c r="A351" s="167"/>
      <c r="B351" s="167"/>
      <c r="C351" s="28" t="s">
        <v>17</v>
      </c>
      <c r="D351" s="29" t="s">
        <v>160</v>
      </c>
      <c r="E351" s="29" t="s">
        <v>160</v>
      </c>
      <c r="F351" s="29" t="s">
        <v>161</v>
      </c>
      <c r="G351" s="29" t="s">
        <v>161</v>
      </c>
      <c r="H351" s="29" t="s">
        <v>161</v>
      </c>
      <c r="I351" s="29" t="s">
        <v>161</v>
      </c>
      <c r="J351" s="29" t="s">
        <v>162</v>
      </c>
      <c r="K351" s="29" t="s">
        <v>162</v>
      </c>
      <c r="L351" s="29" t="s">
        <v>162</v>
      </c>
      <c r="M351" s="29"/>
      <c r="N351" s="1"/>
      <c r="O351" s="1"/>
      <c r="P351" s="1"/>
      <c r="Q351" s="1"/>
      <c r="R351" s="1"/>
      <c r="S351" s="1"/>
      <c r="T351" s="1"/>
      <c r="U351" s="1"/>
    </row>
    <row r="352" spans="1:21" ht="24.75" customHeight="1">
      <c r="A352" s="159"/>
      <c r="B352" s="159"/>
      <c r="C352" s="32" t="s">
        <v>105</v>
      </c>
      <c r="D352" s="31" t="str">
        <f t="shared" ref="D352:M352" si="257">VLOOKUP(D349,$O$5:$Q$24,3,0)</f>
        <v>김도영</v>
      </c>
      <c r="E352" s="31" t="str">
        <f t="shared" si="257"/>
        <v>김도영</v>
      </c>
      <c r="F352" s="31" t="str">
        <f t="shared" si="257"/>
        <v>김도영</v>
      </c>
      <c r="G352" s="31" t="str">
        <f t="shared" si="257"/>
        <v>김도영</v>
      </c>
      <c r="H352" s="31" t="str">
        <f t="shared" si="257"/>
        <v>김도영</v>
      </c>
      <c r="I352" s="31" t="str">
        <f t="shared" si="257"/>
        <v>김도영</v>
      </c>
      <c r="J352" s="31" t="str">
        <f t="shared" si="257"/>
        <v>김도영</v>
      </c>
      <c r="K352" s="31" t="str">
        <f t="shared" si="257"/>
        <v>김도영</v>
      </c>
      <c r="L352" s="31" t="str">
        <f t="shared" si="257"/>
        <v>김도영</v>
      </c>
      <c r="M352" s="31" t="e">
        <f t="shared" si="257"/>
        <v>#N/A</v>
      </c>
      <c r="N352" s="1"/>
      <c r="O352" s="1"/>
      <c r="P352" s="1"/>
      <c r="Q352" s="1"/>
      <c r="R352" s="1"/>
      <c r="S352" s="1"/>
      <c r="T352" s="1"/>
      <c r="U352" s="1"/>
    </row>
    <row r="353" spans="1:21" ht="24.75" customHeight="1">
      <c r="A353" s="164" t="s">
        <v>94</v>
      </c>
      <c r="B353" s="164" t="s">
        <v>95</v>
      </c>
      <c r="C353" s="164" t="s">
        <v>96</v>
      </c>
      <c r="D353" s="165">
        <f>I318+1</f>
        <v>21</v>
      </c>
      <c r="E353" s="156"/>
      <c r="F353" s="156"/>
      <c r="G353" s="156"/>
      <c r="H353" s="154"/>
      <c r="I353" s="165">
        <f>D353+1</f>
        <v>22</v>
      </c>
      <c r="J353" s="156"/>
      <c r="K353" s="156"/>
      <c r="L353" s="156"/>
      <c r="M353" s="154"/>
      <c r="N353" s="1"/>
      <c r="O353" s="1"/>
      <c r="P353" s="1"/>
      <c r="Q353" s="1"/>
      <c r="R353" s="1"/>
      <c r="S353" s="1"/>
      <c r="T353" s="1"/>
      <c r="U353" s="1"/>
    </row>
    <row r="354" spans="1:21" ht="24.75" customHeight="1">
      <c r="A354" s="159"/>
      <c r="B354" s="159"/>
      <c r="C354" s="159"/>
      <c r="D354" s="14">
        <f>M319+3</f>
        <v>46251</v>
      </c>
      <c r="E354" s="14">
        <f t="shared" ref="E354" si="258">D354+1</f>
        <v>46252</v>
      </c>
      <c r="F354" s="14">
        <f t="shared" ref="F354" si="259">E354+1</f>
        <v>46253</v>
      </c>
      <c r="G354" s="14">
        <f t="shared" ref="G354" si="260">F354+1</f>
        <v>46254</v>
      </c>
      <c r="H354" s="14">
        <f t="shared" ref="H354" si="261">G354+1</f>
        <v>46255</v>
      </c>
      <c r="I354" s="14">
        <f>H354+3</f>
        <v>46258</v>
      </c>
      <c r="J354" s="14">
        <f t="shared" ref="J354" si="262">I354+1</f>
        <v>46259</v>
      </c>
      <c r="K354" s="14">
        <f t="shared" ref="K354" si="263">J354+1</f>
        <v>46260</v>
      </c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 spans="1:21" ht="24.75" customHeight="1">
      <c r="A355" s="166" t="s">
        <v>103</v>
      </c>
      <c r="B355" s="166" t="s">
        <v>104</v>
      </c>
      <c r="C355" s="18" t="s">
        <v>15</v>
      </c>
      <c r="D355" s="19" t="s">
        <v>74</v>
      </c>
      <c r="E355" s="19" t="s">
        <v>74</v>
      </c>
      <c r="F355" s="19" t="s">
        <v>74</v>
      </c>
      <c r="G355" s="19" t="s">
        <v>74</v>
      </c>
      <c r="H355" s="19" t="s">
        <v>74</v>
      </c>
      <c r="I355" s="19" t="s">
        <v>74</v>
      </c>
      <c r="J355" s="19" t="s">
        <v>81</v>
      </c>
      <c r="K355" s="19" t="s">
        <v>84</v>
      </c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 spans="1:21" ht="24.75" customHeight="1">
      <c r="A356" s="167"/>
      <c r="B356" s="167"/>
      <c r="C356" s="24" t="s">
        <v>16</v>
      </c>
      <c r="D356" s="25" t="str">
        <f t="shared" ref="D356:K356" si="264">VLOOKUP(D355,$O$5:$P$24,2,FALSE)</f>
        <v>사전 데이터 기반 PERSO AI의 답변 커스텀하기</v>
      </c>
      <c r="E356" s="25" t="str">
        <f t="shared" si="264"/>
        <v>사전 데이터 기반 PERSO AI의 답변 커스텀하기</v>
      </c>
      <c r="F356" s="25" t="str">
        <f t="shared" si="264"/>
        <v>사전 데이터 기반 PERSO AI의 답변 커스텀하기</v>
      </c>
      <c r="G356" s="25" t="str">
        <f t="shared" si="264"/>
        <v>사전 데이터 기반 PERSO AI의 답변 커스텀하기</v>
      </c>
      <c r="H356" s="25" t="str">
        <f t="shared" si="264"/>
        <v>사전 데이터 기반 PERSO AI의 답변 커스텀하기</v>
      </c>
      <c r="I356" s="25" t="str">
        <f t="shared" si="264"/>
        <v>사전 데이터 기반 PERSO AI의 답변 커스텀하기</v>
      </c>
      <c r="J356" s="25" t="str">
        <f t="shared" si="264"/>
        <v>커리어 특강 및 인성 교육</v>
      </c>
      <c r="K356" s="25" t="str">
        <f t="shared" si="264"/>
        <v>프로젝트 발표 및 수료식</v>
      </c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 spans="1:21" ht="24.75" customHeight="1">
      <c r="A357" s="167"/>
      <c r="B357" s="167"/>
      <c r="C357" s="28" t="s">
        <v>17</v>
      </c>
      <c r="D357" s="29" t="s">
        <v>162</v>
      </c>
      <c r="E357" s="29" t="s">
        <v>162</v>
      </c>
      <c r="F357" s="29" t="s">
        <v>163</v>
      </c>
      <c r="G357" s="29" t="s">
        <v>163</v>
      </c>
      <c r="H357" s="29" t="s">
        <v>163</v>
      </c>
      <c r="I357" s="29" t="s">
        <v>163</v>
      </c>
      <c r="J357" s="29" t="s">
        <v>164</v>
      </c>
      <c r="K357" s="29" t="s">
        <v>166</v>
      </c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 spans="1:21" ht="24.75" customHeight="1">
      <c r="A358" s="167"/>
      <c r="B358" s="167"/>
      <c r="C358" s="30" t="s">
        <v>105</v>
      </c>
      <c r="D358" s="31" t="str">
        <f t="shared" ref="D358:K358" si="265">VLOOKUP(D355,$O$5:$Q$24,3,0)</f>
        <v>김도영</v>
      </c>
      <c r="E358" s="31" t="str">
        <f t="shared" si="265"/>
        <v>김도영</v>
      </c>
      <c r="F358" s="31" t="str">
        <f t="shared" si="265"/>
        <v>김도영</v>
      </c>
      <c r="G358" s="31" t="str">
        <f t="shared" si="265"/>
        <v>김도영</v>
      </c>
      <c r="H358" s="31" t="str">
        <f t="shared" si="265"/>
        <v>김도영</v>
      </c>
      <c r="I358" s="31" t="str">
        <f t="shared" si="265"/>
        <v>김도영</v>
      </c>
      <c r="J358" s="31" t="str">
        <f t="shared" si="265"/>
        <v>정동형</v>
      </c>
      <c r="K358" s="31" t="str">
        <f t="shared" si="265"/>
        <v>김도영</v>
      </c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 spans="1:21" ht="24.75" customHeight="1">
      <c r="A359" s="166" t="s">
        <v>106</v>
      </c>
      <c r="B359" s="166" t="s">
        <v>107</v>
      </c>
      <c r="C359" s="18" t="s">
        <v>15</v>
      </c>
      <c r="D359" s="19" t="s">
        <v>74</v>
      </c>
      <c r="E359" s="19" t="s">
        <v>74</v>
      </c>
      <c r="F359" s="19" t="s">
        <v>74</v>
      </c>
      <c r="G359" s="19" t="s">
        <v>74</v>
      </c>
      <c r="H359" s="19" t="s">
        <v>74</v>
      </c>
      <c r="I359" s="19" t="s">
        <v>74</v>
      </c>
      <c r="J359" s="19" t="s">
        <v>81</v>
      </c>
      <c r="K359" s="19" t="s">
        <v>84</v>
      </c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 spans="1:21" ht="24.75" customHeight="1">
      <c r="A360" s="167"/>
      <c r="B360" s="167"/>
      <c r="C360" s="24" t="s">
        <v>16</v>
      </c>
      <c r="D360" s="25" t="str">
        <f t="shared" ref="D360:K360" si="266">VLOOKUP(D359,$O$5:$P$24,2,FALSE)</f>
        <v>사전 데이터 기반 PERSO AI의 답변 커스텀하기</v>
      </c>
      <c r="E360" s="25" t="str">
        <f t="shared" si="266"/>
        <v>사전 데이터 기반 PERSO AI의 답변 커스텀하기</v>
      </c>
      <c r="F360" s="25" t="str">
        <f t="shared" si="266"/>
        <v>사전 데이터 기반 PERSO AI의 답변 커스텀하기</v>
      </c>
      <c r="G360" s="25" t="str">
        <f t="shared" si="266"/>
        <v>사전 데이터 기반 PERSO AI의 답변 커스텀하기</v>
      </c>
      <c r="H360" s="25" t="str">
        <f t="shared" si="266"/>
        <v>사전 데이터 기반 PERSO AI의 답변 커스텀하기</v>
      </c>
      <c r="I360" s="25" t="str">
        <f t="shared" si="266"/>
        <v>사전 데이터 기반 PERSO AI의 답변 커스텀하기</v>
      </c>
      <c r="J360" s="25" t="str">
        <f t="shared" si="266"/>
        <v>커리어 특강 및 인성 교육</v>
      </c>
      <c r="K360" s="25" t="str">
        <f t="shared" si="266"/>
        <v>프로젝트 발표 및 수료식</v>
      </c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 spans="1:21" ht="24.75" customHeight="1">
      <c r="A361" s="167"/>
      <c r="B361" s="167"/>
      <c r="C361" s="28" t="s">
        <v>17</v>
      </c>
      <c r="D361" s="29" t="s">
        <v>162</v>
      </c>
      <c r="E361" s="29" t="s">
        <v>162</v>
      </c>
      <c r="F361" s="29" t="s">
        <v>163</v>
      </c>
      <c r="G361" s="29" t="s">
        <v>163</v>
      </c>
      <c r="H361" s="29" t="s">
        <v>163</v>
      </c>
      <c r="I361" s="29" t="s">
        <v>163</v>
      </c>
      <c r="J361" s="29" t="s">
        <v>164</v>
      </c>
      <c r="K361" s="29" t="s">
        <v>166</v>
      </c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 spans="1:21" ht="24.75" customHeight="1">
      <c r="A362" s="167"/>
      <c r="B362" s="167"/>
      <c r="C362" s="32" t="s">
        <v>105</v>
      </c>
      <c r="D362" s="31" t="str">
        <f t="shared" ref="D362:K362" si="267">VLOOKUP(D359,$O$5:$Q$24,3,0)</f>
        <v>김도영</v>
      </c>
      <c r="E362" s="31" t="str">
        <f t="shared" si="267"/>
        <v>김도영</v>
      </c>
      <c r="F362" s="31" t="str">
        <f t="shared" si="267"/>
        <v>김도영</v>
      </c>
      <c r="G362" s="31" t="str">
        <f t="shared" si="267"/>
        <v>김도영</v>
      </c>
      <c r="H362" s="31" t="str">
        <f t="shared" si="267"/>
        <v>김도영</v>
      </c>
      <c r="I362" s="31" t="str">
        <f t="shared" si="267"/>
        <v>김도영</v>
      </c>
      <c r="J362" s="31" t="str">
        <f t="shared" si="267"/>
        <v>정동형</v>
      </c>
      <c r="K362" s="31" t="str">
        <f t="shared" si="267"/>
        <v>김도영</v>
      </c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 spans="1:21" ht="24.75" customHeight="1">
      <c r="A363" s="166" t="s">
        <v>108</v>
      </c>
      <c r="B363" s="166" t="s">
        <v>109</v>
      </c>
      <c r="C363" s="18" t="s">
        <v>15</v>
      </c>
      <c r="D363" s="19" t="s">
        <v>74</v>
      </c>
      <c r="E363" s="19" t="s">
        <v>74</v>
      </c>
      <c r="F363" s="19" t="s">
        <v>74</v>
      </c>
      <c r="G363" s="19" t="s">
        <v>74</v>
      </c>
      <c r="H363" s="19" t="s">
        <v>74</v>
      </c>
      <c r="I363" s="19" t="s">
        <v>74</v>
      </c>
      <c r="J363" s="19" t="s">
        <v>81</v>
      </c>
      <c r="K363" s="19" t="s">
        <v>84</v>
      </c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 spans="1:21" ht="24.75" customHeight="1">
      <c r="A364" s="167"/>
      <c r="B364" s="167"/>
      <c r="C364" s="24" t="s">
        <v>16</v>
      </c>
      <c r="D364" s="25" t="str">
        <f t="shared" ref="D364:K364" si="268">VLOOKUP(D363,$O$5:$P$24,2,FALSE)</f>
        <v>사전 데이터 기반 PERSO AI의 답변 커스텀하기</v>
      </c>
      <c r="E364" s="25" t="str">
        <f t="shared" si="268"/>
        <v>사전 데이터 기반 PERSO AI의 답변 커스텀하기</v>
      </c>
      <c r="F364" s="25" t="str">
        <f t="shared" si="268"/>
        <v>사전 데이터 기반 PERSO AI의 답변 커스텀하기</v>
      </c>
      <c r="G364" s="25" t="str">
        <f t="shared" si="268"/>
        <v>사전 데이터 기반 PERSO AI의 답변 커스텀하기</v>
      </c>
      <c r="H364" s="25" t="str">
        <f t="shared" si="268"/>
        <v>사전 데이터 기반 PERSO AI의 답변 커스텀하기</v>
      </c>
      <c r="I364" s="25" t="str">
        <f t="shared" si="268"/>
        <v>사전 데이터 기반 PERSO AI의 답변 커스텀하기</v>
      </c>
      <c r="J364" s="25" t="str">
        <f t="shared" si="268"/>
        <v>커리어 특강 및 인성 교육</v>
      </c>
      <c r="K364" s="25" t="str">
        <f t="shared" si="268"/>
        <v>프로젝트 발표 및 수료식</v>
      </c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 spans="1:21" ht="24.75" customHeight="1">
      <c r="A365" s="167"/>
      <c r="B365" s="167"/>
      <c r="C365" s="28" t="s">
        <v>17</v>
      </c>
      <c r="D365" s="29" t="s">
        <v>162</v>
      </c>
      <c r="E365" s="29" t="s">
        <v>162</v>
      </c>
      <c r="F365" s="29" t="s">
        <v>163</v>
      </c>
      <c r="G365" s="29" t="s">
        <v>163</v>
      </c>
      <c r="H365" s="29" t="s">
        <v>163</v>
      </c>
      <c r="I365" s="29" t="s">
        <v>163</v>
      </c>
      <c r="J365" s="29" t="s">
        <v>164</v>
      </c>
      <c r="K365" s="29" t="s">
        <v>166</v>
      </c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 spans="1:21" ht="24.75" customHeight="1">
      <c r="A366" s="167"/>
      <c r="B366" s="167"/>
      <c r="C366" s="32" t="s">
        <v>105</v>
      </c>
      <c r="D366" s="31" t="str">
        <f t="shared" ref="D366:K366" si="269">VLOOKUP(D363,$O$5:$Q$24,3,0)</f>
        <v>김도영</v>
      </c>
      <c r="E366" s="31" t="str">
        <f t="shared" si="269"/>
        <v>김도영</v>
      </c>
      <c r="F366" s="31" t="str">
        <f t="shared" si="269"/>
        <v>김도영</v>
      </c>
      <c r="G366" s="31" t="str">
        <f t="shared" si="269"/>
        <v>김도영</v>
      </c>
      <c r="H366" s="31" t="str">
        <f t="shared" si="269"/>
        <v>김도영</v>
      </c>
      <c r="I366" s="31" t="str">
        <f t="shared" si="269"/>
        <v>김도영</v>
      </c>
      <c r="J366" s="31" t="str">
        <f t="shared" si="269"/>
        <v>정동형</v>
      </c>
      <c r="K366" s="31" t="str">
        <f t="shared" si="269"/>
        <v>김도영</v>
      </c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 spans="1:21" ht="24.75" customHeight="1">
      <c r="A367" s="38" t="s">
        <v>28</v>
      </c>
      <c r="B367" s="38" t="s">
        <v>110</v>
      </c>
      <c r="C367" s="39"/>
      <c r="D367" s="40"/>
      <c r="E367" s="40"/>
      <c r="F367" s="40"/>
      <c r="G367" s="40"/>
      <c r="H367" s="40"/>
      <c r="I367" s="40"/>
      <c r="J367" s="40"/>
      <c r="K367" s="40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 spans="1:21" ht="24.75" customHeight="1">
      <c r="A368" s="166" t="s">
        <v>111</v>
      </c>
      <c r="B368" s="166" t="s">
        <v>112</v>
      </c>
      <c r="C368" s="18" t="s">
        <v>15</v>
      </c>
      <c r="D368" s="19" t="s">
        <v>74</v>
      </c>
      <c r="E368" s="19" t="s">
        <v>74</v>
      </c>
      <c r="F368" s="19" t="s">
        <v>74</v>
      </c>
      <c r="G368" s="19" t="s">
        <v>74</v>
      </c>
      <c r="H368" s="19" t="s">
        <v>74</v>
      </c>
      <c r="I368" s="19" t="s">
        <v>74</v>
      </c>
      <c r="J368" s="19" t="s">
        <v>81</v>
      </c>
      <c r="K368" s="19" t="s">
        <v>84</v>
      </c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 spans="1:21" ht="24.75" customHeight="1">
      <c r="A369" s="167"/>
      <c r="B369" s="167"/>
      <c r="C369" s="24" t="s">
        <v>16</v>
      </c>
      <c r="D369" s="25" t="str">
        <f t="shared" ref="D369:K369" si="270">VLOOKUP(D368,$O$5:$P$24,2,FALSE)</f>
        <v>사전 데이터 기반 PERSO AI의 답변 커스텀하기</v>
      </c>
      <c r="E369" s="25" t="str">
        <f t="shared" si="270"/>
        <v>사전 데이터 기반 PERSO AI의 답변 커스텀하기</v>
      </c>
      <c r="F369" s="25" t="str">
        <f t="shared" si="270"/>
        <v>사전 데이터 기반 PERSO AI의 답변 커스텀하기</v>
      </c>
      <c r="G369" s="25" t="str">
        <f t="shared" si="270"/>
        <v>사전 데이터 기반 PERSO AI의 답변 커스텀하기</v>
      </c>
      <c r="H369" s="25" t="str">
        <f t="shared" si="270"/>
        <v>사전 데이터 기반 PERSO AI의 답변 커스텀하기</v>
      </c>
      <c r="I369" s="25" t="str">
        <f t="shared" si="270"/>
        <v>사전 데이터 기반 PERSO AI의 답변 커스텀하기</v>
      </c>
      <c r="J369" s="25" t="str">
        <f t="shared" si="270"/>
        <v>커리어 특강 및 인성 교육</v>
      </c>
      <c r="K369" s="25" t="str">
        <f t="shared" si="270"/>
        <v>프로젝트 발표 및 수료식</v>
      </c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 spans="1:21" ht="24.75" customHeight="1">
      <c r="A370" s="167"/>
      <c r="B370" s="167"/>
      <c r="C370" s="28" t="s">
        <v>17</v>
      </c>
      <c r="D370" s="29" t="s">
        <v>162</v>
      </c>
      <c r="E370" s="29" t="s">
        <v>162</v>
      </c>
      <c r="F370" s="29" t="s">
        <v>163</v>
      </c>
      <c r="G370" s="29" t="s">
        <v>163</v>
      </c>
      <c r="H370" s="29" t="s">
        <v>163</v>
      </c>
      <c r="I370" s="29" t="s">
        <v>163</v>
      </c>
      <c r="J370" s="29" t="s">
        <v>164</v>
      </c>
      <c r="K370" s="29" t="s">
        <v>166</v>
      </c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 spans="1:21" ht="24.75" customHeight="1">
      <c r="A371" s="167"/>
      <c r="B371" s="167"/>
      <c r="C371" s="32" t="s">
        <v>105</v>
      </c>
      <c r="D371" s="31" t="str">
        <f t="shared" ref="D371:K371" si="271">VLOOKUP(D368,$O$5:$Q$24,3,0)</f>
        <v>김도영</v>
      </c>
      <c r="E371" s="31" t="str">
        <f t="shared" si="271"/>
        <v>김도영</v>
      </c>
      <c r="F371" s="31" t="str">
        <f t="shared" si="271"/>
        <v>김도영</v>
      </c>
      <c r="G371" s="31" t="str">
        <f t="shared" si="271"/>
        <v>김도영</v>
      </c>
      <c r="H371" s="31" t="str">
        <f t="shared" si="271"/>
        <v>김도영</v>
      </c>
      <c r="I371" s="31" t="str">
        <f t="shared" si="271"/>
        <v>김도영</v>
      </c>
      <c r="J371" s="31" t="str">
        <f t="shared" si="271"/>
        <v>정동형</v>
      </c>
      <c r="K371" s="31" t="str">
        <f t="shared" si="271"/>
        <v>김도영</v>
      </c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 spans="1:21" ht="24.75" customHeight="1">
      <c r="A372" s="166" t="s">
        <v>113</v>
      </c>
      <c r="B372" s="166" t="s">
        <v>114</v>
      </c>
      <c r="C372" s="18" t="s">
        <v>15</v>
      </c>
      <c r="D372" s="19" t="s">
        <v>74</v>
      </c>
      <c r="E372" s="19" t="s">
        <v>74</v>
      </c>
      <c r="F372" s="19" t="s">
        <v>74</v>
      </c>
      <c r="G372" s="19" t="s">
        <v>74</v>
      </c>
      <c r="H372" s="19" t="s">
        <v>74</v>
      </c>
      <c r="I372" s="19" t="s">
        <v>74</v>
      </c>
      <c r="J372" s="19" t="s">
        <v>81</v>
      </c>
      <c r="K372" s="19" t="s">
        <v>84</v>
      </c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 spans="1:21" ht="24.75" customHeight="1">
      <c r="A373" s="167"/>
      <c r="B373" s="167"/>
      <c r="C373" s="24" t="s">
        <v>16</v>
      </c>
      <c r="D373" s="25" t="str">
        <f t="shared" ref="D373:K373" si="272">VLOOKUP(D372,$O$5:$P$24,2,FALSE)</f>
        <v>사전 데이터 기반 PERSO AI의 답변 커스텀하기</v>
      </c>
      <c r="E373" s="25" t="str">
        <f t="shared" si="272"/>
        <v>사전 데이터 기반 PERSO AI의 답변 커스텀하기</v>
      </c>
      <c r="F373" s="25" t="str">
        <f t="shared" si="272"/>
        <v>사전 데이터 기반 PERSO AI의 답변 커스텀하기</v>
      </c>
      <c r="G373" s="25" t="str">
        <f t="shared" si="272"/>
        <v>사전 데이터 기반 PERSO AI의 답변 커스텀하기</v>
      </c>
      <c r="H373" s="25" t="str">
        <f t="shared" si="272"/>
        <v>사전 데이터 기반 PERSO AI의 답변 커스텀하기</v>
      </c>
      <c r="I373" s="25" t="str">
        <f t="shared" si="272"/>
        <v>사전 데이터 기반 PERSO AI의 답변 커스텀하기</v>
      </c>
      <c r="J373" s="25" t="str">
        <f t="shared" si="272"/>
        <v>커리어 특강 및 인성 교육</v>
      </c>
      <c r="K373" s="25" t="str">
        <f t="shared" si="272"/>
        <v>프로젝트 발표 및 수료식</v>
      </c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 spans="1:21" ht="24.75" customHeight="1">
      <c r="A374" s="167"/>
      <c r="B374" s="167"/>
      <c r="C374" s="28" t="s">
        <v>17</v>
      </c>
      <c r="D374" s="29" t="s">
        <v>162</v>
      </c>
      <c r="E374" s="29" t="s">
        <v>162</v>
      </c>
      <c r="F374" s="29" t="s">
        <v>163</v>
      </c>
      <c r="G374" s="29" t="s">
        <v>163</v>
      </c>
      <c r="H374" s="29" t="s">
        <v>163</v>
      </c>
      <c r="I374" s="29" t="s">
        <v>163</v>
      </c>
      <c r="J374" s="29" t="s">
        <v>165</v>
      </c>
      <c r="K374" s="29" t="s">
        <v>166</v>
      </c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 spans="1:21" ht="24.75" customHeight="1">
      <c r="A375" s="167"/>
      <c r="B375" s="167"/>
      <c r="C375" s="32" t="s">
        <v>105</v>
      </c>
      <c r="D375" s="31" t="str">
        <f t="shared" ref="D375:K375" si="273">VLOOKUP(D372,$O$5:$Q$24,3,0)</f>
        <v>김도영</v>
      </c>
      <c r="E375" s="31" t="str">
        <f t="shared" si="273"/>
        <v>김도영</v>
      </c>
      <c r="F375" s="31" t="str">
        <f t="shared" si="273"/>
        <v>김도영</v>
      </c>
      <c r="G375" s="31" t="str">
        <f t="shared" si="273"/>
        <v>김도영</v>
      </c>
      <c r="H375" s="31" t="str">
        <f t="shared" si="273"/>
        <v>김도영</v>
      </c>
      <c r="I375" s="31" t="str">
        <f t="shared" si="273"/>
        <v>김도영</v>
      </c>
      <c r="J375" s="31" t="str">
        <f t="shared" si="273"/>
        <v>정동형</v>
      </c>
      <c r="K375" s="31" t="str">
        <f t="shared" si="273"/>
        <v>김도영</v>
      </c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 spans="1:21" ht="24.75" customHeight="1">
      <c r="A376" s="166" t="s">
        <v>115</v>
      </c>
      <c r="B376" s="166" t="s">
        <v>116</v>
      </c>
      <c r="C376" s="18" t="s">
        <v>15</v>
      </c>
      <c r="D376" s="19" t="s">
        <v>74</v>
      </c>
      <c r="E376" s="19" t="s">
        <v>74</v>
      </c>
      <c r="F376" s="19" t="s">
        <v>74</v>
      </c>
      <c r="G376" s="19" t="s">
        <v>74</v>
      </c>
      <c r="H376" s="19" t="s">
        <v>74</v>
      </c>
      <c r="I376" s="19" t="s">
        <v>74</v>
      </c>
      <c r="J376" s="19" t="s">
        <v>81</v>
      </c>
      <c r="K376" s="19" t="s">
        <v>84</v>
      </c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 spans="1:21" ht="24.75" customHeight="1">
      <c r="A377" s="167"/>
      <c r="B377" s="167"/>
      <c r="C377" s="24" t="s">
        <v>16</v>
      </c>
      <c r="D377" s="25" t="str">
        <f t="shared" ref="D377:K377" si="274">VLOOKUP(D376,$O$5:$P$24,2,FALSE)</f>
        <v>사전 데이터 기반 PERSO AI의 답변 커스텀하기</v>
      </c>
      <c r="E377" s="25" t="str">
        <f t="shared" si="274"/>
        <v>사전 데이터 기반 PERSO AI의 답변 커스텀하기</v>
      </c>
      <c r="F377" s="25" t="str">
        <f t="shared" si="274"/>
        <v>사전 데이터 기반 PERSO AI의 답변 커스텀하기</v>
      </c>
      <c r="G377" s="25" t="str">
        <f t="shared" si="274"/>
        <v>사전 데이터 기반 PERSO AI의 답변 커스텀하기</v>
      </c>
      <c r="H377" s="25" t="str">
        <f t="shared" si="274"/>
        <v>사전 데이터 기반 PERSO AI의 답변 커스텀하기</v>
      </c>
      <c r="I377" s="25" t="str">
        <f t="shared" si="274"/>
        <v>사전 데이터 기반 PERSO AI의 답변 커스텀하기</v>
      </c>
      <c r="J377" s="25" t="str">
        <f t="shared" si="274"/>
        <v>커리어 특강 및 인성 교육</v>
      </c>
      <c r="K377" s="25" t="str">
        <f t="shared" si="274"/>
        <v>프로젝트 발표 및 수료식</v>
      </c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 spans="1:21" ht="24.75" customHeight="1">
      <c r="A378" s="167"/>
      <c r="B378" s="167"/>
      <c r="C378" s="28" t="s">
        <v>17</v>
      </c>
      <c r="D378" s="29" t="s">
        <v>162</v>
      </c>
      <c r="E378" s="29" t="s">
        <v>162</v>
      </c>
      <c r="F378" s="29" t="s">
        <v>163</v>
      </c>
      <c r="G378" s="29" t="s">
        <v>163</v>
      </c>
      <c r="H378" s="29" t="s">
        <v>163</v>
      </c>
      <c r="I378" s="29" t="s">
        <v>163</v>
      </c>
      <c r="J378" s="29" t="s">
        <v>165</v>
      </c>
      <c r="K378" s="29" t="s">
        <v>166</v>
      </c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 spans="1:21" ht="24.75" customHeight="1">
      <c r="A379" s="167"/>
      <c r="B379" s="167"/>
      <c r="C379" s="32" t="s">
        <v>105</v>
      </c>
      <c r="D379" s="31" t="str">
        <f t="shared" ref="D379:K379" si="275">VLOOKUP(D376,$O$5:$Q$24,3,0)</f>
        <v>김도영</v>
      </c>
      <c r="E379" s="31" t="str">
        <f t="shared" si="275"/>
        <v>김도영</v>
      </c>
      <c r="F379" s="31" t="str">
        <f t="shared" si="275"/>
        <v>김도영</v>
      </c>
      <c r="G379" s="31" t="str">
        <f t="shared" si="275"/>
        <v>김도영</v>
      </c>
      <c r="H379" s="31" t="str">
        <f t="shared" si="275"/>
        <v>김도영</v>
      </c>
      <c r="I379" s="31" t="str">
        <f t="shared" si="275"/>
        <v>김도영</v>
      </c>
      <c r="J379" s="31" t="str">
        <f t="shared" si="275"/>
        <v>정동형</v>
      </c>
      <c r="K379" s="31" t="str">
        <f t="shared" si="275"/>
        <v>김도영</v>
      </c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 spans="1:21" ht="24.75" customHeight="1">
      <c r="A380" s="166" t="s">
        <v>117</v>
      </c>
      <c r="B380" s="166" t="s">
        <v>118</v>
      </c>
      <c r="C380" s="18" t="s">
        <v>15</v>
      </c>
      <c r="D380" s="19" t="s">
        <v>74</v>
      </c>
      <c r="E380" s="19" t="s">
        <v>74</v>
      </c>
      <c r="F380" s="19" t="s">
        <v>74</v>
      </c>
      <c r="G380" s="19" t="s">
        <v>74</v>
      </c>
      <c r="H380" s="19" t="s">
        <v>74</v>
      </c>
      <c r="I380" s="19" t="s">
        <v>74</v>
      </c>
      <c r="J380" s="19" t="s">
        <v>81</v>
      </c>
      <c r="K380" s="19" t="s">
        <v>84</v>
      </c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 spans="1:21" ht="24.75" customHeight="1">
      <c r="A381" s="167"/>
      <c r="B381" s="167"/>
      <c r="C381" s="24" t="s">
        <v>16</v>
      </c>
      <c r="D381" s="25" t="str">
        <f t="shared" ref="D381:K381" si="276">VLOOKUP(D380,$O$5:$P$24,2,FALSE)</f>
        <v>사전 데이터 기반 PERSO AI의 답변 커스텀하기</v>
      </c>
      <c r="E381" s="25" t="str">
        <f t="shared" si="276"/>
        <v>사전 데이터 기반 PERSO AI의 답변 커스텀하기</v>
      </c>
      <c r="F381" s="25" t="str">
        <f t="shared" si="276"/>
        <v>사전 데이터 기반 PERSO AI의 답변 커스텀하기</v>
      </c>
      <c r="G381" s="25" t="str">
        <f t="shared" si="276"/>
        <v>사전 데이터 기반 PERSO AI의 답변 커스텀하기</v>
      </c>
      <c r="H381" s="25" t="str">
        <f t="shared" si="276"/>
        <v>사전 데이터 기반 PERSO AI의 답변 커스텀하기</v>
      </c>
      <c r="I381" s="25" t="str">
        <f t="shared" si="276"/>
        <v>사전 데이터 기반 PERSO AI의 답변 커스텀하기</v>
      </c>
      <c r="J381" s="25" t="str">
        <f t="shared" si="276"/>
        <v>커리어 특강 및 인성 교육</v>
      </c>
      <c r="K381" s="25" t="str">
        <f t="shared" si="276"/>
        <v>프로젝트 발표 및 수료식</v>
      </c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 spans="1:21" ht="24.75" customHeight="1">
      <c r="A382" s="167"/>
      <c r="B382" s="167"/>
      <c r="C382" s="28" t="s">
        <v>17</v>
      </c>
      <c r="D382" s="29" t="s">
        <v>162</v>
      </c>
      <c r="E382" s="29" t="s">
        <v>162</v>
      </c>
      <c r="F382" s="29" t="s">
        <v>163</v>
      </c>
      <c r="G382" s="29" t="s">
        <v>163</v>
      </c>
      <c r="H382" s="29" t="s">
        <v>163</v>
      </c>
      <c r="I382" s="29" t="s">
        <v>163</v>
      </c>
      <c r="J382" s="29" t="s">
        <v>165</v>
      </c>
      <c r="K382" s="29" t="s">
        <v>167</v>
      </c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 spans="1:21" ht="24.75" customHeight="1">
      <c r="A383" s="167"/>
      <c r="B383" s="167"/>
      <c r="C383" s="32" t="s">
        <v>105</v>
      </c>
      <c r="D383" s="31" t="str">
        <f t="shared" ref="D383:K383" si="277">VLOOKUP(D380,$O$5:$Q$24,3,0)</f>
        <v>김도영</v>
      </c>
      <c r="E383" s="31" t="str">
        <f t="shared" si="277"/>
        <v>김도영</v>
      </c>
      <c r="F383" s="31" t="str">
        <f t="shared" si="277"/>
        <v>김도영</v>
      </c>
      <c r="G383" s="31" t="str">
        <f t="shared" si="277"/>
        <v>김도영</v>
      </c>
      <c r="H383" s="31" t="str">
        <f t="shared" si="277"/>
        <v>김도영</v>
      </c>
      <c r="I383" s="31" t="str">
        <f t="shared" si="277"/>
        <v>김도영</v>
      </c>
      <c r="J383" s="31" t="str">
        <f t="shared" si="277"/>
        <v>정동형</v>
      </c>
      <c r="K383" s="31" t="str">
        <f t="shared" si="277"/>
        <v>김도영</v>
      </c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 spans="1:21" ht="24.75" customHeight="1">
      <c r="A384" s="166" t="s">
        <v>119</v>
      </c>
      <c r="B384" s="166" t="s">
        <v>120</v>
      </c>
      <c r="C384" s="18" t="s">
        <v>15</v>
      </c>
      <c r="D384" s="19" t="s">
        <v>74</v>
      </c>
      <c r="E384" s="19" t="s">
        <v>74</v>
      </c>
      <c r="F384" s="19" t="s">
        <v>74</v>
      </c>
      <c r="G384" s="19" t="s">
        <v>74</v>
      </c>
      <c r="H384" s="19" t="s">
        <v>74</v>
      </c>
      <c r="I384" s="19" t="s">
        <v>74</v>
      </c>
      <c r="J384" s="19" t="s">
        <v>81</v>
      </c>
      <c r="K384" s="19" t="s">
        <v>84</v>
      </c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 spans="1:21" ht="24.75" customHeight="1">
      <c r="A385" s="167"/>
      <c r="B385" s="167"/>
      <c r="C385" s="24" t="s">
        <v>16</v>
      </c>
      <c r="D385" s="25" t="str">
        <f t="shared" ref="D385:K385" si="278">VLOOKUP(D384,$O$5:$P$24,2,FALSE)</f>
        <v>사전 데이터 기반 PERSO AI의 답변 커스텀하기</v>
      </c>
      <c r="E385" s="25" t="str">
        <f t="shared" si="278"/>
        <v>사전 데이터 기반 PERSO AI의 답변 커스텀하기</v>
      </c>
      <c r="F385" s="25" t="str">
        <f t="shared" si="278"/>
        <v>사전 데이터 기반 PERSO AI의 답변 커스텀하기</v>
      </c>
      <c r="G385" s="25" t="str">
        <f t="shared" si="278"/>
        <v>사전 데이터 기반 PERSO AI의 답변 커스텀하기</v>
      </c>
      <c r="H385" s="25" t="str">
        <f t="shared" si="278"/>
        <v>사전 데이터 기반 PERSO AI의 답변 커스텀하기</v>
      </c>
      <c r="I385" s="25" t="str">
        <f t="shared" si="278"/>
        <v>사전 데이터 기반 PERSO AI의 답변 커스텀하기</v>
      </c>
      <c r="J385" s="25" t="str">
        <f t="shared" si="278"/>
        <v>커리어 특강 및 인성 교육</v>
      </c>
      <c r="K385" s="25" t="str">
        <f t="shared" si="278"/>
        <v>프로젝트 발표 및 수료식</v>
      </c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 spans="1:21" ht="24.75" customHeight="1">
      <c r="A386" s="167"/>
      <c r="B386" s="167"/>
      <c r="C386" s="28" t="s">
        <v>17</v>
      </c>
      <c r="D386" s="29" t="s">
        <v>162</v>
      </c>
      <c r="E386" s="29" t="s">
        <v>163</v>
      </c>
      <c r="F386" s="29" t="s">
        <v>163</v>
      </c>
      <c r="G386" s="29" t="s">
        <v>163</v>
      </c>
      <c r="H386" s="29" t="s">
        <v>163</v>
      </c>
      <c r="I386" s="29" t="s">
        <v>163</v>
      </c>
      <c r="J386" s="29" t="s">
        <v>165</v>
      </c>
      <c r="K386" s="29" t="s">
        <v>168</v>
      </c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 spans="1:21" ht="24.75" customHeight="1">
      <c r="A387" s="159"/>
      <c r="B387" s="159"/>
      <c r="C387" s="32" t="s">
        <v>105</v>
      </c>
      <c r="D387" s="77" t="str">
        <f t="shared" ref="D387:K387" si="279">VLOOKUP(D384,$O$5:$Q$24,3,0)</f>
        <v>김도영</v>
      </c>
      <c r="E387" s="77" t="str">
        <f t="shared" si="279"/>
        <v>김도영</v>
      </c>
      <c r="F387" s="77" t="str">
        <f t="shared" si="279"/>
        <v>김도영</v>
      </c>
      <c r="G387" s="77" t="str">
        <f t="shared" si="279"/>
        <v>김도영</v>
      </c>
      <c r="H387" s="77" t="str">
        <f t="shared" si="279"/>
        <v>김도영</v>
      </c>
      <c r="I387" s="77" t="str">
        <f t="shared" si="279"/>
        <v>김도영</v>
      </c>
      <c r="J387" s="77" t="str">
        <f t="shared" si="279"/>
        <v>정동형</v>
      </c>
      <c r="K387" s="77" t="str">
        <f t="shared" si="279"/>
        <v>김도영</v>
      </c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 spans="1:21" ht="13.5" customHeight="1">
      <c r="A388" s="1"/>
      <c r="B388" s="1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1"/>
      <c r="O388" s="1"/>
      <c r="P388" s="1"/>
      <c r="Q388" s="1"/>
      <c r="R388" s="1"/>
      <c r="S388" s="1"/>
      <c r="T388" s="1"/>
      <c r="U388" s="1"/>
    </row>
    <row r="389" spans="1:21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 spans="1:21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 spans="1:2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 spans="1:21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 spans="1:21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 spans="1:21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 spans="1:21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 spans="1:21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 spans="1:21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 spans="1:21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 spans="1:21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 spans="1:21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 spans="1:2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 spans="1:21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 spans="1:21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 spans="1:21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 spans="1:21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 spans="1:21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 spans="1:21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 spans="1:21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 spans="1:21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r="410" spans="1:21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r="411" spans="1:2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r="412" spans="1:21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r="413" spans="1:21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 spans="1:21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 spans="1:21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r="416" spans="1:21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r="417" spans="1:21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r="418" spans="1:21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r="419" spans="1:21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r="420" spans="1:21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r="421" spans="1: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r="422" spans="1:21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 spans="1:21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r="424" spans="1:21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r="425" spans="1:21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r="426" spans="1:21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r="427" spans="1:21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r="428" spans="1:21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r="429" spans="1:21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r="430" spans="1:21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r="431" spans="1:2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</row>
    <row r="432" spans="1:21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</row>
    <row r="433" spans="1:21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r="434" spans="1:21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</row>
    <row r="435" spans="1:21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</row>
    <row r="436" spans="1:21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</row>
    <row r="437" spans="1:21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</row>
    <row r="438" spans="1:21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</row>
    <row r="439" spans="1:21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</row>
    <row r="440" spans="1:21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r="441" spans="1:2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</row>
    <row r="442" spans="1:21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r="443" spans="1:21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</row>
    <row r="444" spans="1:21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r="445" spans="1:21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r="446" spans="1:21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r="447" spans="1:21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r="448" spans="1:21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</row>
    <row r="449" spans="1:21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r="450" spans="1:21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r="451" spans="1:2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</row>
    <row r="452" spans="1:21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</row>
    <row r="453" spans="1:21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</row>
    <row r="454" spans="1:21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</row>
    <row r="455" spans="1:21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r="456" spans="1:21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</row>
    <row r="457" spans="1:21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r="458" spans="1:21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r="459" spans="1:21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r="460" spans="1:21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</row>
    <row r="461" spans="1:2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r="462" spans="1:21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</row>
    <row r="463" spans="1:21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r="464" spans="1:21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</row>
    <row r="465" spans="1:21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r="466" spans="1:21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r="467" spans="1:21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</row>
    <row r="468" spans="1:21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r="469" spans="1:21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r="470" spans="1:21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r="471" spans="1:2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r="472" spans="1:21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r="473" spans="1:21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</row>
    <row r="474" spans="1:21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r="475" spans="1:21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r="476" spans="1:21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r="477" spans="1:21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</row>
    <row r="478" spans="1:21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r="479" spans="1:21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r="480" spans="1:21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r="481" spans="1:2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</row>
    <row r="482" spans="1:21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</row>
    <row r="483" spans="1:21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r="484" spans="1:21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</row>
    <row r="485" spans="1:21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r="486" spans="1:21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r="487" spans="1:21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r="488" spans="1:21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</row>
    <row r="489" spans="1:21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r="490" spans="1:21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</row>
    <row r="491" spans="1:2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r="492" spans="1:21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r="493" spans="1:21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r="494" spans="1:21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</row>
    <row r="495" spans="1:21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</row>
    <row r="496" spans="1:21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r="497" spans="1:21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</row>
    <row r="498" spans="1:21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r="499" spans="1:21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r="500" spans="1:21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r="501" spans="1:2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</row>
    <row r="502" spans="1:21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r="503" spans="1:21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r="504" spans="1:21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r="505" spans="1:21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</row>
    <row r="506" spans="1:21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r="507" spans="1:21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r="508" spans="1:21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r="509" spans="1:21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r="510" spans="1:21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r="511" spans="1:2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r="512" spans="1:21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r="513" spans="1:21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r="514" spans="1:21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r="515" spans="1:21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r="516" spans="1:21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</row>
    <row r="517" spans="1:21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r="518" spans="1:21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</row>
    <row r="519" spans="1:21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</row>
    <row r="520" spans="1:21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r="521" spans="1: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</row>
    <row r="522" spans="1:21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r="523" spans="1:21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</row>
    <row r="524" spans="1:21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</row>
    <row r="525" spans="1:21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r="526" spans="1:21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r="527" spans="1:21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r="528" spans="1:21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r="529" spans="1:21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r="530" spans="1:21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r="531" spans="1:2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r="532" spans="1:21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r="533" spans="1:21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r="534" spans="1:21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</row>
    <row r="535" spans="1:21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</row>
    <row r="536" spans="1:21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</row>
    <row r="537" spans="1:21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</row>
    <row r="538" spans="1:21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</row>
    <row r="539" spans="1:21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</row>
    <row r="540" spans="1:21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</row>
    <row r="541" spans="1:2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r="542" spans="1:21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r="543" spans="1:21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</row>
    <row r="544" spans="1:21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r="545" spans="1:21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</row>
    <row r="546" spans="1:21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</row>
    <row r="547" spans="1:21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r="548" spans="1:21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</row>
    <row r="549" spans="1:21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r="550" spans="1:21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</row>
    <row r="551" spans="1:2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</row>
    <row r="552" spans="1:21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</row>
    <row r="553" spans="1:21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</row>
    <row r="554" spans="1:21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</row>
    <row r="555" spans="1:21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</row>
    <row r="556" spans="1:21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</row>
    <row r="557" spans="1:21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</row>
    <row r="558" spans="1:21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</row>
    <row r="559" spans="1:21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</row>
    <row r="560" spans="1:21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</row>
    <row r="561" spans="1:2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</row>
    <row r="562" spans="1:21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r="563" spans="1:21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</row>
    <row r="564" spans="1:21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</row>
    <row r="565" spans="1:21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</row>
    <row r="566" spans="1:21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</row>
    <row r="567" spans="1:21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</row>
    <row r="568" spans="1:21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</row>
    <row r="569" spans="1:21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r="570" spans="1:21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</row>
    <row r="571" spans="1:2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</row>
    <row r="572" spans="1:21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</row>
    <row r="573" spans="1:21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r="574" spans="1:21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</row>
    <row r="575" spans="1:21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</row>
    <row r="576" spans="1:21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</row>
    <row r="577" spans="1:21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</row>
    <row r="578" spans="1:21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</row>
    <row r="579" spans="1:21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</row>
    <row r="580" spans="1:21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</row>
    <row r="581" spans="1:2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r="582" spans="1:21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</row>
    <row r="583" spans="1:21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</row>
    <row r="584" spans="1:21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</row>
    <row r="585" spans="1:21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</row>
    <row r="586" spans="1:21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</row>
    <row r="587" spans="1:21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r="588" spans="1:21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</row>
    <row r="589" spans="1:21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</row>
    <row r="590" spans="1:21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</row>
    <row r="591" spans="1:2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</row>
    <row r="592" spans="1:21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r="593" spans="1:21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</row>
    <row r="594" spans="1:21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</row>
    <row r="595" spans="1:21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r="596" spans="1:21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r="597" spans="1:21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</row>
    <row r="598" spans="1:21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r="599" spans="1:21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r="600" spans="1:21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r="601" spans="1:2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</row>
    <row r="602" spans="1:21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r="603" spans="1:21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r="604" spans="1:21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r="605" spans="1:21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r="606" spans="1:21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r="607" spans="1:21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</row>
    <row r="608" spans="1:21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r="609" spans="1:21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</row>
    <row r="610" spans="1:21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r="611" spans="1:2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</row>
    <row r="612" spans="1:21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r="613" spans="1:21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r="614" spans="1:21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</row>
    <row r="615" spans="1:21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r="616" spans="1:21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r="617" spans="1:21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r="618" spans="1:21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r="619" spans="1:21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r="620" spans="1:21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r="621" spans="1: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r="622" spans="1:21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r="623" spans="1:21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r="624" spans="1:21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r="625" spans="1:21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r="626" spans="1:21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r="627" spans="1:21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r="628" spans="1:21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r="629" spans="1:21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r="630" spans="1:21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r="631" spans="1:2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</row>
    <row r="632" spans="1:21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</row>
    <row r="633" spans="1:21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</row>
    <row r="634" spans="1:21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</row>
    <row r="635" spans="1:21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</row>
    <row r="636" spans="1:21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</row>
    <row r="637" spans="1:21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</row>
    <row r="638" spans="1:21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</row>
    <row r="639" spans="1:21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</row>
    <row r="640" spans="1:21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</row>
    <row r="641" spans="1:2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</row>
    <row r="642" spans="1:21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</row>
    <row r="643" spans="1:21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</row>
    <row r="644" spans="1:21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</row>
    <row r="645" spans="1:21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r="646" spans="1:21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</row>
    <row r="647" spans="1:21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</row>
    <row r="648" spans="1:21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r="649" spans="1:21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r="650" spans="1:21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r="651" spans="1:2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r="652" spans="1:21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</row>
    <row r="653" spans="1:21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r="654" spans="1:21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r="655" spans="1:21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r="656" spans="1:21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r="657" spans="1:21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r="658" spans="1:21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</row>
    <row r="659" spans="1:21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r="660" spans="1:21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</row>
    <row r="661" spans="1:2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r="662" spans="1:21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r="663" spans="1:21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</row>
    <row r="664" spans="1:21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r="665" spans="1:21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r="666" spans="1:21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r="667" spans="1:21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</row>
    <row r="668" spans="1:21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r="669" spans="1:21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</row>
    <row r="670" spans="1:21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r="671" spans="1:2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</row>
    <row r="672" spans="1:21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r="673" spans="1:21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</row>
    <row r="674" spans="1:21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r="675" spans="1:21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</row>
    <row r="676" spans="1:21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r="677" spans="1:21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</row>
    <row r="678" spans="1:21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r="679" spans="1:21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</row>
    <row r="680" spans="1:21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r="681" spans="1:2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r="682" spans="1:21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</row>
    <row r="683" spans="1:21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r="684" spans="1:21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r="685" spans="1:21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r="686" spans="1:21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r="687" spans="1:21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r="688" spans="1:21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r="689" spans="1:21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r="690" spans="1:21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r="691" spans="1:2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</row>
    <row r="692" spans="1:21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r="693" spans="1:21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r="694" spans="1:21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r="695" spans="1:21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r="696" spans="1:21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r="697" spans="1:21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r="698" spans="1:21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r="699" spans="1:21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r="700" spans="1:21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r="701" spans="1:2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r="702" spans="1:21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r="703" spans="1:21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r="704" spans="1:21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r="705" spans="1:21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r="706" spans="1:21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r="707" spans="1:21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r="708" spans="1:21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r="709" spans="1:21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</row>
    <row r="710" spans="1:21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r="711" spans="1:2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r="712" spans="1:21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r="713" spans="1:21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</row>
    <row r="714" spans="1:21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r="715" spans="1:21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</row>
    <row r="716" spans="1:21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</row>
    <row r="717" spans="1:21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r="718" spans="1:21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r="719" spans="1:21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r="720" spans="1:21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r="721" spans="1: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r="722" spans="1:21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r="723" spans="1:21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r="724" spans="1:21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</row>
    <row r="725" spans="1:21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r="726" spans="1:21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</row>
    <row r="727" spans="1:21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</row>
    <row r="728" spans="1:21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r="729" spans="1:21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r="730" spans="1:21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r="731" spans="1:2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</row>
    <row r="732" spans="1:21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</row>
    <row r="733" spans="1:21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</row>
    <row r="734" spans="1:21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</row>
    <row r="735" spans="1:21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</row>
    <row r="736" spans="1:21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r="737" spans="1:21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</row>
    <row r="738" spans="1:21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</row>
    <row r="739" spans="1:21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</row>
    <row r="740" spans="1:21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r="741" spans="1:2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</row>
    <row r="742" spans="1:21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</row>
    <row r="743" spans="1:21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</row>
    <row r="744" spans="1:21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</row>
    <row r="745" spans="1:21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</row>
    <row r="746" spans="1:21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</row>
    <row r="747" spans="1:21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r="748" spans="1:21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</row>
    <row r="749" spans="1:21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</row>
    <row r="750" spans="1:21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</row>
    <row r="751" spans="1:2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</row>
    <row r="752" spans="1:21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</row>
    <row r="753" spans="1:21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</row>
    <row r="754" spans="1:21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</row>
    <row r="755" spans="1:21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</row>
    <row r="756" spans="1:21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</row>
    <row r="757" spans="1:21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</row>
    <row r="758" spans="1:21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</row>
    <row r="759" spans="1:21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</row>
    <row r="760" spans="1:21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</row>
    <row r="761" spans="1:2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</row>
    <row r="762" spans="1:21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</row>
    <row r="763" spans="1:21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</row>
    <row r="764" spans="1:21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</row>
    <row r="765" spans="1:21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</row>
    <row r="766" spans="1:21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</row>
    <row r="767" spans="1:21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</row>
    <row r="768" spans="1:21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</row>
    <row r="769" spans="1:21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r="770" spans="1:21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</row>
    <row r="771" spans="1:2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</row>
    <row r="772" spans="1:21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r="773" spans="1:21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r="774" spans="1:21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r="775" spans="1:21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r="776" spans="1:21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r="777" spans="1:21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</row>
    <row r="778" spans="1:21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r="779" spans="1:21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</row>
    <row r="780" spans="1:21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r="781" spans="1:2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r="782" spans="1:21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</row>
    <row r="783" spans="1:21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r="784" spans="1:21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r="785" spans="1:21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r="786" spans="1:21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</row>
    <row r="787" spans="1:21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r="788" spans="1:21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r="789" spans="1:21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r="790" spans="1:21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</row>
    <row r="791" spans="1:2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r="792" spans="1:21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</row>
    <row r="793" spans="1:21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r="794" spans="1:21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r="795" spans="1:21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r="796" spans="1:21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r="797" spans="1:21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r="798" spans="1:21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r="799" spans="1:21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</row>
    <row r="800" spans="1:21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r="801" spans="1:2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r="802" spans="1:21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r="803" spans="1:21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</row>
    <row r="804" spans="1:21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r="805" spans="1:21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</row>
    <row r="806" spans="1:21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r="807" spans="1:21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</row>
    <row r="808" spans="1:21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r="809" spans="1:21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r="810" spans="1:21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r="811" spans="1:2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</row>
    <row r="812" spans="1:21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</row>
    <row r="813" spans="1:21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r="814" spans="1:21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</row>
    <row r="815" spans="1:21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r="816" spans="1:21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r="817" spans="1:21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r="818" spans="1:21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</row>
    <row r="819" spans="1:21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r="820" spans="1:21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</row>
    <row r="821" spans="1: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r="822" spans="1:21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</row>
    <row r="823" spans="1:21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r="824" spans="1:21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</row>
  </sheetData>
  <mergeCells count="244">
    <mergeCell ref="A384:A387"/>
    <mergeCell ref="B384:B387"/>
    <mergeCell ref="A363:A366"/>
    <mergeCell ref="B363:B366"/>
    <mergeCell ref="A368:A371"/>
    <mergeCell ref="B368:B371"/>
    <mergeCell ref="A372:A375"/>
    <mergeCell ref="B372:B375"/>
    <mergeCell ref="A376:A379"/>
    <mergeCell ref="B376:B379"/>
    <mergeCell ref="A380:A383"/>
    <mergeCell ref="B380:B383"/>
    <mergeCell ref="A353:A354"/>
    <mergeCell ref="B353:B354"/>
    <mergeCell ref="C353:C354"/>
    <mergeCell ref="D353:H353"/>
    <mergeCell ref="I353:M353"/>
    <mergeCell ref="A355:A358"/>
    <mergeCell ref="B355:B358"/>
    <mergeCell ref="A359:A362"/>
    <mergeCell ref="B359:B362"/>
    <mergeCell ref="D318:H318"/>
    <mergeCell ref="I318:M318"/>
    <mergeCell ref="C283:C284"/>
    <mergeCell ref="A285:A288"/>
    <mergeCell ref="B285:B288"/>
    <mergeCell ref="A337:A340"/>
    <mergeCell ref="A341:A344"/>
    <mergeCell ref="A345:A348"/>
    <mergeCell ref="A289:A292"/>
    <mergeCell ref="B289:B292"/>
    <mergeCell ref="A293:A296"/>
    <mergeCell ref="B293:B296"/>
    <mergeCell ref="A298:A301"/>
    <mergeCell ref="B298:B301"/>
    <mergeCell ref="B302:B305"/>
    <mergeCell ref="A302:A305"/>
    <mergeCell ref="A306:A309"/>
    <mergeCell ref="A324:A327"/>
    <mergeCell ref="B324:B327"/>
    <mergeCell ref="A328:A331"/>
    <mergeCell ref="B328:B331"/>
    <mergeCell ref="A333:A336"/>
    <mergeCell ref="B333:B336"/>
    <mergeCell ref="B337:B340"/>
    <mergeCell ref="A349:A352"/>
    <mergeCell ref="B306:B309"/>
    <mergeCell ref="B310:B313"/>
    <mergeCell ref="B314:B317"/>
    <mergeCell ref="B318:B319"/>
    <mergeCell ref="C318:C319"/>
    <mergeCell ref="A320:A323"/>
    <mergeCell ref="B320:B323"/>
    <mergeCell ref="B341:B344"/>
    <mergeCell ref="B345:B348"/>
    <mergeCell ref="B349:B352"/>
    <mergeCell ref="A310:A313"/>
    <mergeCell ref="A314:A317"/>
    <mergeCell ref="A318:A319"/>
    <mergeCell ref="A267:A270"/>
    <mergeCell ref="B267:B270"/>
    <mergeCell ref="A271:A274"/>
    <mergeCell ref="B271:B274"/>
    <mergeCell ref="A275:A278"/>
    <mergeCell ref="B275:B278"/>
    <mergeCell ref="A279:A282"/>
    <mergeCell ref="B279:B282"/>
    <mergeCell ref="A283:A284"/>
    <mergeCell ref="B283:B284"/>
    <mergeCell ref="B250:B253"/>
    <mergeCell ref="B254:B257"/>
    <mergeCell ref="B258:B261"/>
    <mergeCell ref="B263:B266"/>
    <mergeCell ref="A223:A226"/>
    <mergeCell ref="B223:B226"/>
    <mergeCell ref="A228:A231"/>
    <mergeCell ref="B228:B231"/>
    <mergeCell ref="A232:A235"/>
    <mergeCell ref="B232:B235"/>
    <mergeCell ref="B236:B239"/>
    <mergeCell ref="A236:A239"/>
    <mergeCell ref="A240:A243"/>
    <mergeCell ref="A244:A247"/>
    <mergeCell ref="A248:A249"/>
    <mergeCell ref="A250:A253"/>
    <mergeCell ref="A254:A257"/>
    <mergeCell ref="A258:A261"/>
    <mergeCell ref="A263:A266"/>
    <mergeCell ref="A219:A222"/>
    <mergeCell ref="B219:B222"/>
    <mergeCell ref="D248:H248"/>
    <mergeCell ref="I248:M248"/>
    <mergeCell ref="D283:H283"/>
    <mergeCell ref="I283:M283"/>
    <mergeCell ref="A180:A183"/>
    <mergeCell ref="B180:B183"/>
    <mergeCell ref="A184:A187"/>
    <mergeCell ref="B184:B187"/>
    <mergeCell ref="A188:A191"/>
    <mergeCell ref="B188:B191"/>
    <mergeCell ref="B193:B196"/>
    <mergeCell ref="A193:A196"/>
    <mergeCell ref="A197:A200"/>
    <mergeCell ref="A201:A204"/>
    <mergeCell ref="A205:A208"/>
    <mergeCell ref="A209:A212"/>
    <mergeCell ref="A213:A214"/>
    <mergeCell ref="B215:B218"/>
    <mergeCell ref="B240:B243"/>
    <mergeCell ref="B244:B247"/>
    <mergeCell ref="B248:B249"/>
    <mergeCell ref="C248:C249"/>
    <mergeCell ref="B197:B200"/>
    <mergeCell ref="B201:B204"/>
    <mergeCell ref="B205:B208"/>
    <mergeCell ref="B209:B212"/>
    <mergeCell ref="B213:B214"/>
    <mergeCell ref="C213:C214"/>
    <mergeCell ref="D213:H213"/>
    <mergeCell ref="I213:M213"/>
    <mergeCell ref="A215:A218"/>
    <mergeCell ref="A166:A169"/>
    <mergeCell ref="B166:B169"/>
    <mergeCell ref="D178:H178"/>
    <mergeCell ref="I178:M178"/>
    <mergeCell ref="A170:A173"/>
    <mergeCell ref="B170:B173"/>
    <mergeCell ref="A174:A177"/>
    <mergeCell ref="B174:B177"/>
    <mergeCell ref="A178:A179"/>
    <mergeCell ref="B178:B179"/>
    <mergeCell ref="C178:C179"/>
    <mergeCell ref="A145:A148"/>
    <mergeCell ref="B145:B148"/>
    <mergeCell ref="A149:A152"/>
    <mergeCell ref="B149:B152"/>
    <mergeCell ref="B153:B156"/>
    <mergeCell ref="A153:A156"/>
    <mergeCell ref="A158:A161"/>
    <mergeCell ref="B158:B161"/>
    <mergeCell ref="A162:A165"/>
    <mergeCell ref="B162:B165"/>
    <mergeCell ref="A139:A142"/>
    <mergeCell ref="A143:A144"/>
    <mergeCell ref="B143:B144"/>
    <mergeCell ref="C143:C144"/>
    <mergeCell ref="D143:H143"/>
    <mergeCell ref="I143:M143"/>
    <mergeCell ref="A110:A113"/>
    <mergeCell ref="A114:A117"/>
    <mergeCell ref="A118:A121"/>
    <mergeCell ref="A123:A126"/>
    <mergeCell ref="A127:A130"/>
    <mergeCell ref="A131:A134"/>
    <mergeCell ref="A135:A138"/>
    <mergeCell ref="B110:B113"/>
    <mergeCell ref="B114:B117"/>
    <mergeCell ref="B118:B121"/>
    <mergeCell ref="B123:B126"/>
    <mergeCell ref="B127:B130"/>
    <mergeCell ref="B131:B134"/>
    <mergeCell ref="B135:B138"/>
    <mergeCell ref="B139:B142"/>
    <mergeCell ref="B75:B78"/>
    <mergeCell ref="A104:A107"/>
    <mergeCell ref="A108:A109"/>
    <mergeCell ref="C108:C109"/>
    <mergeCell ref="D108:H108"/>
    <mergeCell ref="I108:M108"/>
    <mergeCell ref="B79:B82"/>
    <mergeCell ref="B83:B86"/>
    <mergeCell ref="B88:B91"/>
    <mergeCell ref="B92:B95"/>
    <mergeCell ref="B96:B99"/>
    <mergeCell ref="B100:B103"/>
    <mergeCell ref="B104:B107"/>
    <mergeCell ref="A75:A78"/>
    <mergeCell ref="A79:A82"/>
    <mergeCell ref="A83:A86"/>
    <mergeCell ref="A88:A91"/>
    <mergeCell ref="A92:A95"/>
    <mergeCell ref="A96:A99"/>
    <mergeCell ref="A100:A103"/>
    <mergeCell ref="B108:B109"/>
    <mergeCell ref="B57:B60"/>
    <mergeCell ref="B61:B64"/>
    <mergeCell ref="B65:B68"/>
    <mergeCell ref="B69:B72"/>
    <mergeCell ref="B73:B74"/>
    <mergeCell ref="C73:C74"/>
    <mergeCell ref="D73:H73"/>
    <mergeCell ref="I73:M73"/>
    <mergeCell ref="A40:A43"/>
    <mergeCell ref="B40:B43"/>
    <mergeCell ref="A44:A47"/>
    <mergeCell ref="B44:B47"/>
    <mergeCell ref="A48:A51"/>
    <mergeCell ref="B48:B51"/>
    <mergeCell ref="B53:B56"/>
    <mergeCell ref="A53:A56"/>
    <mergeCell ref="A57:A60"/>
    <mergeCell ref="A61:A64"/>
    <mergeCell ref="A65:A68"/>
    <mergeCell ref="A69:A72"/>
    <mergeCell ref="A73:A74"/>
    <mergeCell ref="A18:A21"/>
    <mergeCell ref="B18:B21"/>
    <mergeCell ref="A22:A25"/>
    <mergeCell ref="B22:B25"/>
    <mergeCell ref="A26:A29"/>
    <mergeCell ref="B26:B29"/>
    <mergeCell ref="D38:H38"/>
    <mergeCell ref="I38:M38"/>
    <mergeCell ref="A30:A33"/>
    <mergeCell ref="B30:B33"/>
    <mergeCell ref="A34:A37"/>
    <mergeCell ref="B34:B37"/>
    <mergeCell ref="A38:A39"/>
    <mergeCell ref="B38:B39"/>
    <mergeCell ref="C38:C39"/>
    <mergeCell ref="P2:Q2"/>
    <mergeCell ref="O3:O4"/>
    <mergeCell ref="P3:Q3"/>
    <mergeCell ref="O14:Q14"/>
    <mergeCell ref="O19:Q19"/>
    <mergeCell ref="O25:Q25"/>
    <mergeCell ref="R3:S3"/>
    <mergeCell ref="T3:T4"/>
    <mergeCell ref="A1:M1"/>
    <mergeCell ref="O1:U1"/>
    <mergeCell ref="I2:M2"/>
    <mergeCell ref="R2:T2"/>
    <mergeCell ref="A3:A4"/>
    <mergeCell ref="B3:B4"/>
    <mergeCell ref="I3:M3"/>
    <mergeCell ref="U3:U4"/>
    <mergeCell ref="C3:C4"/>
    <mergeCell ref="D3:H3"/>
    <mergeCell ref="A5:A8"/>
    <mergeCell ref="B5:B8"/>
    <mergeCell ref="A9:A12"/>
    <mergeCell ref="B9:B12"/>
    <mergeCell ref="B13:B16"/>
    <mergeCell ref="A13:A16"/>
  </mergeCells>
  <phoneticPr fontId="31" type="noConversion"/>
  <conditionalFormatting sqref="D40">
    <cfRule type="containsText" dxfId="14162" priority="14232" operator="containsText" text="기타">
      <formula>NOT(ISERROR(SEARCH(("기타"),(D40))))</formula>
    </cfRule>
    <cfRule type="containsText" dxfId="14161" priority="14227" operator="containsText" text="프로젝트">
      <formula>NOT(ISERROR(SEARCH(("프로젝트"),(D40))))</formula>
    </cfRule>
    <cfRule type="containsText" dxfId="14160" priority="14228" operator="containsText" text="정규교과">
      <formula>NOT(ISERROR(SEARCH(("정규교과"),(D40))))</formula>
    </cfRule>
    <cfRule type="containsText" dxfId="14159" priority="14229" operator="containsText" text="기타">
      <formula>NOT(ISERROR(SEARCH(("기타"),(D40))))</formula>
    </cfRule>
    <cfRule type="containsText" dxfId="14158" priority="14213" operator="containsText" text="정규교과">
      <formula>NOT(ISERROR(SEARCH(("정규교과"),(D40))))</formula>
    </cfRule>
    <cfRule type="containsText" dxfId="14157" priority="14214" operator="containsText" text="기타">
      <formula>NOT(ISERROR(SEARCH(("기타"),(D40))))</formula>
    </cfRule>
    <cfRule type="containsText" dxfId="14156" priority="14215" operator="containsText" text="프로젝트">
      <formula>NOT(ISERROR(SEARCH(("프로젝트"),(D40))))</formula>
    </cfRule>
    <cfRule type="containsText" dxfId="14155" priority="14216" operator="containsText" text="정규교과">
      <formula>NOT(ISERROR(SEARCH(("정규교과"),(D40))))</formula>
    </cfRule>
    <cfRule type="containsText" dxfId="14154" priority="14217" operator="containsText" text="기타">
      <formula>NOT(ISERROR(SEARCH(("기타"),(D40))))</formula>
    </cfRule>
    <cfRule type="containsText" dxfId="14153" priority="14218" operator="containsText" text="프로젝트">
      <formula>NOT(ISERROR(SEARCH(("프로젝트"),(D40))))</formula>
    </cfRule>
    <cfRule type="containsText" dxfId="14152" priority="14219" operator="containsText" text="정규교과">
      <formula>NOT(ISERROR(SEARCH(("정규교과"),(D40))))</formula>
    </cfRule>
    <cfRule type="containsText" dxfId="14151" priority="14220" operator="containsText" text="기타">
      <formula>NOT(ISERROR(SEARCH(("기타"),(D40))))</formula>
    </cfRule>
    <cfRule type="containsText" dxfId="14150" priority="14221" operator="containsText" text="프로젝트">
      <formula>NOT(ISERROR(SEARCH(("프로젝트"),(D40))))</formula>
    </cfRule>
    <cfRule type="containsText" dxfId="14149" priority="14231" operator="containsText" text="정규교과">
      <formula>NOT(ISERROR(SEARCH(("정규교과"),(D40))))</formula>
    </cfRule>
    <cfRule type="containsText" dxfId="14148" priority="14222" operator="containsText" text="정규교과">
      <formula>NOT(ISERROR(SEARCH(("정규교과"),(D40))))</formula>
    </cfRule>
    <cfRule type="containsText" dxfId="14147" priority="14223" operator="containsText" text="기타">
      <formula>NOT(ISERROR(SEARCH(("기타"),(D40))))</formula>
    </cfRule>
    <cfRule type="containsText" dxfId="14146" priority="14224" operator="containsText" text="프로젝트">
      <formula>NOT(ISERROR(SEARCH(("프로젝트"),(D40))))</formula>
    </cfRule>
    <cfRule type="containsText" dxfId="14145" priority="14225" operator="containsText" text="정규교과">
      <formula>NOT(ISERROR(SEARCH(("정규교과"),(D40))))</formula>
    </cfRule>
    <cfRule type="containsText" dxfId="14144" priority="14226" operator="containsText" text="기타">
      <formula>NOT(ISERROR(SEARCH(("기타"),(D40))))</formula>
    </cfRule>
  </conditionalFormatting>
  <conditionalFormatting sqref="D44">
    <cfRule type="containsText" dxfId="14143" priority="14201" operator="containsText" text="정규교과">
      <formula>NOT(ISERROR(SEARCH(("정규교과"),(D44))))</formula>
    </cfRule>
    <cfRule type="containsText" dxfId="14142" priority="14192" operator="containsText" text="정규교과">
      <formula>NOT(ISERROR(SEARCH(("정규교과"),(D44))))</formula>
    </cfRule>
    <cfRule type="containsText" dxfId="14141" priority="14193" operator="containsText" text="기타">
      <formula>NOT(ISERROR(SEARCH(("기타"),(D44))))</formula>
    </cfRule>
    <cfRule type="containsText" dxfId="14140" priority="14197" operator="containsText" text="프로젝트">
      <formula>NOT(ISERROR(SEARCH(("프로젝트"),(D44))))</formula>
    </cfRule>
    <cfRule type="containsText" dxfId="14139" priority="14194" operator="containsText" text="프로젝트">
      <formula>NOT(ISERROR(SEARCH(("프로젝트"),(D44))))</formula>
    </cfRule>
    <cfRule type="containsText" dxfId="14138" priority="14195" operator="containsText" text="정규교과">
      <formula>NOT(ISERROR(SEARCH(("정규교과"),(D44))))</formula>
    </cfRule>
    <cfRule type="containsText" dxfId="14137" priority="14196" operator="containsText" text="기타">
      <formula>NOT(ISERROR(SEARCH(("기타"),(D44))))</formula>
    </cfRule>
    <cfRule type="containsText" dxfId="14136" priority="14198" operator="containsText" text="정규교과">
      <formula>NOT(ISERROR(SEARCH(("정규교과"),(D44))))</formula>
    </cfRule>
    <cfRule type="containsText" dxfId="14135" priority="14199" operator="containsText" text="기타">
      <formula>NOT(ISERROR(SEARCH(("기타"),(D44))))</formula>
    </cfRule>
    <cfRule type="containsText" dxfId="14134" priority="14200" operator="containsText" text="프로젝트">
      <formula>NOT(ISERROR(SEARCH(("프로젝트"),(D44))))</formula>
    </cfRule>
    <cfRule type="containsText" dxfId="14133" priority="14209" operator="containsText" text="프로젝트">
      <formula>NOT(ISERROR(SEARCH(("프로젝트"),(D44))))</formula>
    </cfRule>
    <cfRule type="containsText" dxfId="14132" priority="14202" operator="containsText" text="기타">
      <formula>NOT(ISERROR(SEARCH(("기타"),(D44))))</formula>
    </cfRule>
    <cfRule type="containsText" dxfId="14131" priority="14203" operator="containsText" text="프로젝트">
      <formula>NOT(ISERROR(SEARCH(("프로젝트"),(D44))))</formula>
    </cfRule>
    <cfRule type="containsText" dxfId="14130" priority="14204" operator="containsText" text="정규교과">
      <formula>NOT(ISERROR(SEARCH(("정규교과"),(D44))))</formula>
    </cfRule>
    <cfRule type="containsText" dxfId="14129" priority="14205" operator="containsText" text="기타">
      <formula>NOT(ISERROR(SEARCH(("기타"),(D44))))</formula>
    </cfRule>
    <cfRule type="containsText" dxfId="14128" priority="14206" operator="containsText" text="프로젝트">
      <formula>NOT(ISERROR(SEARCH(("프로젝트"),(D44))))</formula>
    </cfRule>
    <cfRule type="containsText" dxfId="14127" priority="14207" operator="containsText" text="정규교과">
      <formula>NOT(ISERROR(SEARCH(("정규교과"),(D44))))</formula>
    </cfRule>
    <cfRule type="containsText" dxfId="14126" priority="14208" operator="containsText" text="기타">
      <formula>NOT(ISERROR(SEARCH(("기타"),(D44))))</formula>
    </cfRule>
    <cfRule type="containsText" dxfId="14125" priority="14210" operator="containsText" text="정규교과">
      <formula>NOT(ISERROR(SEARCH(("정규교과"),(D44))))</formula>
    </cfRule>
    <cfRule type="containsText" dxfId="14124" priority="14211" operator="containsText" text="기타">
      <formula>NOT(ISERROR(SEARCH(("기타"),(D44))))</formula>
    </cfRule>
  </conditionalFormatting>
  <conditionalFormatting sqref="D48">
    <cfRule type="containsText" dxfId="14123" priority="14187" operator="containsText" text="기타">
      <formula>NOT(ISERROR(SEARCH(("기타"),(D48))))</formula>
    </cfRule>
    <cfRule type="containsText" dxfId="14122" priority="14190" operator="containsText" text="기타">
      <formula>NOT(ISERROR(SEARCH(("기타"),(D48))))</formula>
    </cfRule>
    <cfRule type="containsText" dxfId="14121" priority="14188" operator="containsText" text="프로젝트">
      <formula>NOT(ISERROR(SEARCH(("프로젝트"),(D48))))</formula>
    </cfRule>
    <cfRule type="containsText" dxfId="14120" priority="14189" operator="containsText" text="정규교과">
      <formula>NOT(ISERROR(SEARCH(("정규교과"),(D48))))</formula>
    </cfRule>
    <cfRule type="containsText" dxfId="14119" priority="20535" operator="containsText" text="기타">
      <formula>NOT(ISERROR(SEARCH(("기타"),(D48))))</formula>
    </cfRule>
    <cfRule type="containsText" dxfId="14118" priority="20534" operator="containsText" text="정규교과">
      <formula>NOT(ISERROR(SEARCH(("정규교과"),(D48))))</formula>
    </cfRule>
    <cfRule type="containsText" dxfId="14117" priority="20533" operator="containsText" text="프로젝트">
      <formula>NOT(ISERROR(SEARCH(("프로젝트"),(D48))))</formula>
    </cfRule>
    <cfRule type="containsText" dxfId="14116" priority="14179" operator="containsText" text="프로젝트">
      <formula>NOT(ISERROR(SEARCH(("프로젝트"),(D48))))</formula>
    </cfRule>
    <cfRule type="containsText" dxfId="14115" priority="14171" operator="containsText" text="정규교과">
      <formula>NOT(ISERROR(SEARCH(("정규교과"),(D48))))</formula>
    </cfRule>
    <cfRule type="containsText" dxfId="14114" priority="14172" operator="containsText" text="기타">
      <formula>NOT(ISERROR(SEARCH(("기타"),(D48))))</formula>
    </cfRule>
    <cfRule type="containsText" dxfId="14113" priority="14173" operator="containsText" text="프로젝트">
      <formula>NOT(ISERROR(SEARCH(("프로젝트"),(D48))))</formula>
    </cfRule>
    <cfRule type="containsText" dxfId="14112" priority="14174" operator="containsText" text="정규교과">
      <formula>NOT(ISERROR(SEARCH(("정규교과"),(D48))))</formula>
    </cfRule>
    <cfRule type="containsText" dxfId="14111" priority="14175" operator="containsText" text="기타">
      <formula>NOT(ISERROR(SEARCH(("기타"),(D48))))</formula>
    </cfRule>
    <cfRule type="containsText" dxfId="14110" priority="14176" operator="containsText" text="프로젝트">
      <formula>NOT(ISERROR(SEARCH(("프로젝트"),(D48))))</formula>
    </cfRule>
    <cfRule type="containsText" dxfId="14109" priority="14177" operator="containsText" text="정규교과">
      <formula>NOT(ISERROR(SEARCH(("정규교과"),(D48))))</formula>
    </cfRule>
    <cfRule type="containsText" dxfId="14108" priority="14178" operator="containsText" text="기타">
      <formula>NOT(ISERROR(SEARCH(("기타"),(D48))))</formula>
    </cfRule>
    <cfRule type="containsText" dxfId="14107" priority="14180" operator="containsText" text="정규교과">
      <formula>NOT(ISERROR(SEARCH(("정규교과"),(D48))))</formula>
    </cfRule>
    <cfRule type="containsText" dxfId="14106" priority="14181" operator="containsText" text="기타">
      <formula>NOT(ISERROR(SEARCH(("기타"),(D48))))</formula>
    </cfRule>
    <cfRule type="containsText" dxfId="14105" priority="14182" operator="containsText" text="프로젝트">
      <formula>NOT(ISERROR(SEARCH(("프로젝트"),(D48))))</formula>
    </cfRule>
    <cfRule type="containsText" dxfId="14104" priority="14183" operator="containsText" text="정규교과">
      <formula>NOT(ISERROR(SEARCH(("정규교과"),(D48))))</formula>
    </cfRule>
    <cfRule type="containsText" dxfId="14103" priority="14184" operator="containsText" text="기타">
      <formula>NOT(ISERROR(SEARCH(("기타"),(D48))))</formula>
    </cfRule>
    <cfRule type="containsText" dxfId="14102" priority="14185" operator="containsText" text="프로젝트">
      <formula>NOT(ISERROR(SEARCH(("프로젝트"),(D48))))</formula>
    </cfRule>
    <cfRule type="containsText" dxfId="14101" priority="14186" operator="containsText" text="정규교과">
      <formula>NOT(ISERROR(SEARCH(("정규교과"),(D48))))</formula>
    </cfRule>
  </conditionalFormatting>
  <conditionalFormatting sqref="D53">
    <cfRule type="containsText" dxfId="14100" priority="14167" operator="containsText" text="프로젝트">
      <formula>NOT(ISERROR(SEARCH(("프로젝트"),(D53))))</formula>
    </cfRule>
    <cfRule type="containsText" dxfId="14099" priority="14166" operator="containsText" text="기타">
      <formula>NOT(ISERROR(SEARCH(("기타"),(D53))))</formula>
    </cfRule>
    <cfRule type="containsText" dxfId="14098" priority="20543" operator="containsText" text="정규교과">
      <formula>NOT(ISERROR(SEARCH(("정규교과"),(D53))))</formula>
    </cfRule>
    <cfRule type="containsText" dxfId="14097" priority="14169" operator="containsText" text="기타">
      <formula>NOT(ISERROR(SEARCH(("기타"),(D53))))</formula>
    </cfRule>
    <cfRule type="containsText" dxfId="14096" priority="20542" operator="containsText" text="프로젝트">
      <formula>NOT(ISERROR(SEARCH(("프로젝트"),(D53))))</formula>
    </cfRule>
    <cfRule type="containsText" dxfId="14095" priority="14168" operator="containsText" text="정규교과">
      <formula>NOT(ISERROR(SEARCH(("정규교과"),(D53))))</formula>
    </cfRule>
    <cfRule type="containsText" dxfId="14094" priority="14165" operator="containsText" text="정규교과">
      <formula>NOT(ISERROR(SEARCH(("정규교과"),(D53))))</formula>
    </cfRule>
    <cfRule type="containsText" dxfId="14093" priority="20544" operator="containsText" text="기타">
      <formula>NOT(ISERROR(SEARCH(("기타"),(D53))))</formula>
    </cfRule>
    <cfRule type="containsText" dxfId="14092" priority="14164" operator="containsText" text="프로젝트">
      <formula>NOT(ISERROR(SEARCH(("프로젝트"),(D53))))</formula>
    </cfRule>
    <cfRule type="containsText" dxfId="14091" priority="14163" operator="containsText" text="기타">
      <formula>NOT(ISERROR(SEARCH(("기타"),(D53))))</formula>
    </cfRule>
    <cfRule type="containsText" dxfId="14090" priority="14162" operator="containsText" text="정규교과">
      <formula>NOT(ISERROR(SEARCH(("정규교과"),(D53))))</formula>
    </cfRule>
    <cfRule type="containsText" dxfId="14089" priority="14161" operator="containsText" text="프로젝트">
      <formula>NOT(ISERROR(SEARCH(("프로젝트"),(D53))))</formula>
    </cfRule>
    <cfRule type="containsText" dxfId="14088" priority="14150" operator="containsText" text="정규교과">
      <formula>NOT(ISERROR(SEARCH(("정규교과"),(D53))))</formula>
    </cfRule>
    <cfRule type="containsText" dxfId="14087" priority="14160" operator="containsText" text="기타">
      <formula>NOT(ISERROR(SEARCH(("기타"),(D53))))</formula>
    </cfRule>
    <cfRule type="containsText" dxfId="14086" priority="14159" operator="containsText" text="정규교과">
      <formula>NOT(ISERROR(SEARCH(("정규교과"),(D53))))</formula>
    </cfRule>
    <cfRule type="containsText" dxfId="14085" priority="14158" operator="containsText" text="프로젝트">
      <formula>NOT(ISERROR(SEARCH(("프로젝트"),(D53))))</formula>
    </cfRule>
    <cfRule type="containsText" dxfId="14084" priority="14157" operator="containsText" text="기타">
      <formula>NOT(ISERROR(SEARCH(("기타"),(D53))))</formula>
    </cfRule>
    <cfRule type="containsText" dxfId="14083" priority="14156" operator="containsText" text="정규교과">
      <formula>NOT(ISERROR(SEARCH(("정규교과"),(D53))))</formula>
    </cfRule>
    <cfRule type="containsText" dxfId="14082" priority="14155" operator="containsText" text="프로젝트">
      <formula>NOT(ISERROR(SEARCH(("프로젝트"),(D53))))</formula>
    </cfRule>
    <cfRule type="containsText" dxfId="14081" priority="14154" operator="containsText" text="기타">
      <formula>NOT(ISERROR(SEARCH(("기타"),(D53))))</formula>
    </cfRule>
    <cfRule type="containsText" dxfId="14080" priority="14153" operator="containsText" text="정규교과">
      <formula>NOT(ISERROR(SEARCH(("정규교과"),(D53))))</formula>
    </cfRule>
    <cfRule type="containsText" dxfId="14079" priority="14152" operator="containsText" text="프로젝트">
      <formula>NOT(ISERROR(SEARCH(("프로젝트"),(D53))))</formula>
    </cfRule>
    <cfRule type="containsText" dxfId="14078" priority="14151" operator="containsText" text="기타">
      <formula>NOT(ISERROR(SEARCH(("기타"),(D53))))</formula>
    </cfRule>
  </conditionalFormatting>
  <conditionalFormatting sqref="D57">
    <cfRule type="containsText" dxfId="14077" priority="14132" operator="containsText" text="정규교과">
      <formula>NOT(ISERROR(SEARCH(("정규교과"),(D57))))</formula>
    </cfRule>
    <cfRule type="containsText" dxfId="14076" priority="14130" operator="containsText" text="기타">
      <formula>NOT(ISERROR(SEARCH(("기타"),(D57))))</formula>
    </cfRule>
    <cfRule type="containsText" dxfId="14075" priority="14129" operator="containsText" text="정규교과">
      <formula>NOT(ISERROR(SEARCH(("정규교과"),(D57))))</formula>
    </cfRule>
    <cfRule type="containsText" dxfId="14074" priority="14143" operator="containsText" text="프로젝트">
      <formula>NOT(ISERROR(SEARCH(("프로젝트"),(D57))))</formula>
    </cfRule>
    <cfRule type="containsText" dxfId="14073" priority="14148" operator="containsText" text="기타">
      <formula>NOT(ISERROR(SEARCH(("기타"),(D57))))</formula>
    </cfRule>
    <cfRule type="containsText" dxfId="14072" priority="14147" operator="containsText" text="정규교과">
      <formula>NOT(ISERROR(SEARCH(("정규교과"),(D57))))</formula>
    </cfRule>
    <cfRule type="containsText" dxfId="14071" priority="14146" operator="containsText" text="프로젝트">
      <formula>NOT(ISERROR(SEARCH(("프로젝트"),(D57))))</formula>
    </cfRule>
    <cfRule type="containsText" dxfId="14070" priority="14145" operator="containsText" text="기타">
      <formula>NOT(ISERROR(SEARCH(("기타"),(D57))))</formula>
    </cfRule>
    <cfRule type="containsText" dxfId="14069" priority="14144" operator="containsText" text="정규교과">
      <formula>NOT(ISERROR(SEARCH(("정규교과"),(D57))))</formula>
    </cfRule>
    <cfRule type="containsText" dxfId="14068" priority="14131" operator="containsText" text="프로젝트">
      <formula>NOT(ISERROR(SEARCH(("프로젝트"),(D57))))</formula>
    </cfRule>
    <cfRule type="containsText" dxfId="14067" priority="14142" operator="containsText" text="기타">
      <formula>NOT(ISERROR(SEARCH(("기타"),(D57))))</formula>
    </cfRule>
    <cfRule type="containsText" dxfId="14066" priority="20548" operator="containsText" text="프로젝트">
      <formula>NOT(ISERROR(SEARCH(("프로젝트"),(D57))))</formula>
    </cfRule>
    <cfRule type="containsText" dxfId="14065" priority="20549" operator="containsText" text="정규교과">
      <formula>NOT(ISERROR(SEARCH(("정규교과"),(D57))))</formula>
    </cfRule>
    <cfRule type="containsText" dxfId="14064" priority="20550" operator="containsText" text="기타">
      <formula>NOT(ISERROR(SEARCH(("기타"),(D57))))</formula>
    </cfRule>
    <cfRule type="containsText" dxfId="14063" priority="20551" operator="containsText" text="프로젝트">
      <formula>NOT(ISERROR(SEARCH(("프로젝트"),(D57))))</formula>
    </cfRule>
    <cfRule type="containsText" dxfId="14062" priority="20552" operator="containsText" text="정규교과">
      <formula>NOT(ISERROR(SEARCH(("정규교과"),(D57))))</formula>
    </cfRule>
    <cfRule type="containsText" dxfId="14061" priority="20553" operator="containsText" text="기타">
      <formula>NOT(ISERROR(SEARCH(("기타"),(D57))))</formula>
    </cfRule>
    <cfRule type="containsText" dxfId="14060" priority="20554" operator="containsText" text="프로젝트">
      <formula>NOT(ISERROR(SEARCH(("프로젝트"),(D57))))</formula>
    </cfRule>
    <cfRule type="containsText" dxfId="14059" priority="20555" operator="containsText" text="정규교과">
      <formula>NOT(ISERROR(SEARCH(("정규교과"),(D57))))</formula>
    </cfRule>
    <cfRule type="containsText" dxfId="14058" priority="20556" operator="containsText" text="기타">
      <formula>NOT(ISERROR(SEARCH(("기타"),(D57))))</formula>
    </cfRule>
    <cfRule type="containsText" dxfId="14057" priority="14141" operator="containsText" text="정규교과">
      <formula>NOT(ISERROR(SEARCH(("정규교과"),(D57))))</formula>
    </cfRule>
    <cfRule type="containsText" dxfId="14056" priority="14140" operator="containsText" text="프로젝트">
      <formula>NOT(ISERROR(SEARCH(("프로젝트"),(D57))))</formula>
    </cfRule>
    <cfRule type="containsText" dxfId="14055" priority="14139" operator="containsText" text="기타">
      <formula>NOT(ISERROR(SEARCH(("기타"),(D57))))</formula>
    </cfRule>
    <cfRule type="containsText" dxfId="14054" priority="14138" operator="containsText" text="정규교과">
      <formula>NOT(ISERROR(SEARCH(("정규교과"),(D57))))</formula>
    </cfRule>
    <cfRule type="containsText" dxfId="14053" priority="14137" operator="containsText" text="프로젝트">
      <formula>NOT(ISERROR(SEARCH(("프로젝트"),(D57))))</formula>
    </cfRule>
    <cfRule type="containsText" dxfId="14052" priority="14136" operator="containsText" text="기타">
      <formula>NOT(ISERROR(SEARCH(("기타"),(D57))))</formula>
    </cfRule>
    <cfRule type="containsText" dxfId="14051" priority="14135" operator="containsText" text="정규교과">
      <formula>NOT(ISERROR(SEARCH(("정규교과"),(D57))))</formula>
    </cfRule>
    <cfRule type="containsText" dxfId="14050" priority="14134" operator="containsText" text="프로젝트">
      <formula>NOT(ISERROR(SEARCH(("프로젝트"),(D57))))</formula>
    </cfRule>
    <cfRule type="containsText" dxfId="14049" priority="14133" operator="containsText" text="기타">
      <formula>NOT(ISERROR(SEARCH(("기타"),(D57))))</formula>
    </cfRule>
  </conditionalFormatting>
  <conditionalFormatting sqref="D61">
    <cfRule type="containsText" dxfId="14048" priority="14009" operator="containsText" text="정규교과">
      <formula>NOT(ISERROR(SEARCH(("정규교과"),(D61))))</formula>
    </cfRule>
    <cfRule type="containsText" dxfId="14047" priority="14020" operator="containsText" text="프로젝트">
      <formula>NOT(ISERROR(SEARCH(("프로젝트"),(D61))))</formula>
    </cfRule>
    <cfRule type="containsText" dxfId="14046" priority="14049" operator="containsText" text="기타">
      <formula>NOT(ISERROR(SEARCH(("기타"),(D61))))</formula>
    </cfRule>
    <cfRule type="containsText" dxfId="14045" priority="14048" operator="containsText" text="정규교과">
      <formula>NOT(ISERROR(SEARCH(("정규교과"),(D61))))</formula>
    </cfRule>
    <cfRule type="containsText" dxfId="14044" priority="14046" operator="containsText" text="기타">
      <formula>NOT(ISERROR(SEARCH(("기타"),(D61))))</formula>
    </cfRule>
    <cfRule type="containsText" dxfId="14043" priority="14045" operator="containsText" text="정규교과">
      <formula>NOT(ISERROR(SEARCH(("정규교과"),(D61))))</formula>
    </cfRule>
    <cfRule type="containsText" dxfId="14042" priority="14044" operator="containsText" text="프로젝트">
      <formula>NOT(ISERROR(SEARCH(("프로젝트"),(D61))))</formula>
    </cfRule>
    <cfRule type="containsText" dxfId="14041" priority="14043" operator="containsText" text="기타">
      <formula>NOT(ISERROR(SEARCH(("기타"),(D61))))</formula>
    </cfRule>
    <cfRule type="containsText" dxfId="14040" priority="14042" operator="containsText" text="정규교과">
      <formula>NOT(ISERROR(SEARCH(("정규교과"),(D61))))</formula>
    </cfRule>
    <cfRule type="containsText" dxfId="14039" priority="14041" operator="containsText" text="프로젝트">
      <formula>NOT(ISERROR(SEARCH(("프로젝트"),(D61))))</formula>
    </cfRule>
    <cfRule type="containsText" dxfId="14038" priority="14040" operator="containsText" text="기타">
      <formula>NOT(ISERROR(SEARCH(("기타"),(D61))))</formula>
    </cfRule>
    <cfRule type="containsText" dxfId="14037" priority="14039" operator="containsText" text="정규교과">
      <formula>NOT(ISERROR(SEARCH(("정규교과"),(D61))))</formula>
    </cfRule>
    <cfRule type="containsText" dxfId="14036" priority="14038" operator="containsText" text="프로젝트">
      <formula>NOT(ISERROR(SEARCH(("프로젝트"),(D61))))</formula>
    </cfRule>
    <cfRule type="containsText" dxfId="14035" priority="14127" operator="containsText" text="기타">
      <formula>NOT(ISERROR(SEARCH(("기타"),(D61))))</formula>
    </cfRule>
    <cfRule type="containsText" dxfId="14034" priority="14126" operator="containsText" text="정규교과">
      <formula>NOT(ISERROR(SEARCH(("정규교과"),(D61))))</formula>
    </cfRule>
    <cfRule type="containsText" dxfId="14033" priority="14125" operator="containsText" text="프로젝트">
      <formula>NOT(ISERROR(SEARCH(("프로젝트"),(D61))))</formula>
    </cfRule>
    <cfRule type="containsText" dxfId="14032" priority="14124" operator="containsText" text="기타">
      <formula>NOT(ISERROR(SEARCH(("기타"),(D61))))</formula>
    </cfRule>
    <cfRule type="containsText" dxfId="14031" priority="14123" operator="containsText" text="정규교과">
      <formula>NOT(ISERROR(SEARCH(("정규교과"),(D61))))</formula>
    </cfRule>
    <cfRule type="containsText" dxfId="14030" priority="14122" operator="containsText" text="프로젝트">
      <formula>NOT(ISERROR(SEARCH(("프로젝트"),(D61))))</formula>
    </cfRule>
    <cfRule type="containsText" dxfId="14029" priority="14037" operator="containsText" text="기타">
      <formula>NOT(ISERROR(SEARCH(("기타"),(D61))))</formula>
    </cfRule>
    <cfRule type="containsText" dxfId="14028" priority="14107" operator="containsText" text="프로젝트">
      <formula>NOT(ISERROR(SEARCH(("프로젝트"),(D61))))</formula>
    </cfRule>
    <cfRule type="containsText" dxfId="14027" priority="14108" operator="containsText" text="정규교과">
      <formula>NOT(ISERROR(SEARCH(("정규교과"),(D61))))</formula>
    </cfRule>
    <cfRule type="containsText" dxfId="14026" priority="14109" operator="containsText" text="기타">
      <formula>NOT(ISERROR(SEARCH(("기타"),(D61))))</formula>
    </cfRule>
    <cfRule type="containsText" dxfId="14025" priority="14050" operator="containsText" text="프로젝트">
      <formula>NOT(ISERROR(SEARCH(("프로젝트"),(D61))))</formula>
    </cfRule>
    <cfRule type="containsText" dxfId="14024" priority="14110" operator="containsText" text="프로젝트">
      <formula>NOT(ISERROR(SEARCH(("프로젝트"),(D61))))</formula>
    </cfRule>
    <cfRule type="containsText" dxfId="14023" priority="14111" operator="containsText" text="정규교과">
      <formula>NOT(ISERROR(SEARCH(("정규교과"),(D61))))</formula>
    </cfRule>
    <cfRule type="containsText" dxfId="14022" priority="14112" operator="containsText" text="기타">
      <formula>NOT(ISERROR(SEARCH(("기타"),(D61))))</formula>
    </cfRule>
    <cfRule type="containsText" dxfId="14021" priority="14113" operator="containsText" text="프로젝트">
      <formula>NOT(ISERROR(SEARCH(("프로젝트"),(D61))))</formula>
    </cfRule>
    <cfRule type="containsText" dxfId="14020" priority="14114" operator="containsText" text="정규교과">
      <formula>NOT(ISERROR(SEARCH(("정규교과"),(D61))))</formula>
    </cfRule>
    <cfRule type="containsText" dxfId="14019" priority="14115" operator="containsText" text="기타">
      <formula>NOT(ISERROR(SEARCH(("기타"),(D61))))</formula>
    </cfRule>
    <cfRule type="containsText" dxfId="14018" priority="14116" operator="containsText" text="프로젝트">
      <formula>NOT(ISERROR(SEARCH(("프로젝트"),(D61))))</formula>
    </cfRule>
    <cfRule type="containsText" dxfId="14017" priority="14117" operator="containsText" text="정규교과">
      <formula>NOT(ISERROR(SEARCH(("정규교과"),(D61))))</formula>
    </cfRule>
    <cfRule type="containsText" dxfId="14016" priority="14118" operator="containsText" text="기타">
      <formula>NOT(ISERROR(SEARCH(("기타"),(D61))))</formula>
    </cfRule>
    <cfRule type="containsText" dxfId="14015" priority="14119" operator="containsText" text="프로젝트">
      <formula>NOT(ISERROR(SEARCH(("프로젝트"),(D61))))</formula>
    </cfRule>
    <cfRule type="containsText" dxfId="14014" priority="14120" operator="containsText" text="정규교과">
      <formula>NOT(ISERROR(SEARCH(("정규교과"),(D61))))</formula>
    </cfRule>
    <cfRule type="containsText" dxfId="14013" priority="14036" operator="containsText" text="정규교과">
      <formula>NOT(ISERROR(SEARCH(("정규교과"),(D61))))</formula>
    </cfRule>
    <cfRule type="containsText" dxfId="14012" priority="14035" operator="containsText" text="프로젝트">
      <formula>NOT(ISERROR(SEARCH(("프로젝트"),(D61))))</formula>
    </cfRule>
    <cfRule type="containsText" dxfId="14011" priority="14034" operator="containsText" text="기타">
      <formula>NOT(ISERROR(SEARCH(("기타"),(D61))))</formula>
    </cfRule>
    <cfRule type="containsText" dxfId="14010" priority="14033" operator="containsText" text="정규교과">
      <formula>NOT(ISERROR(SEARCH(("정규교과"),(D61))))</formula>
    </cfRule>
    <cfRule type="containsText" dxfId="14009" priority="14032" operator="containsText" text="프로젝트">
      <formula>NOT(ISERROR(SEARCH(("프로젝트"),(D61))))</formula>
    </cfRule>
    <cfRule type="containsText" dxfId="14008" priority="14031" operator="containsText" text="기타">
      <formula>NOT(ISERROR(SEARCH(("기타"),(D61))))</formula>
    </cfRule>
    <cfRule type="containsText" dxfId="14007" priority="14030" operator="containsText" text="정규교과">
      <formula>NOT(ISERROR(SEARCH(("정규교과"),(D61))))</formula>
    </cfRule>
    <cfRule type="containsText" dxfId="14006" priority="14029" operator="containsText" text="프로젝트">
      <formula>NOT(ISERROR(SEARCH(("프로젝트"),(D61))))</formula>
    </cfRule>
    <cfRule type="containsText" dxfId="14005" priority="14028" operator="containsText" text="기타">
      <formula>NOT(ISERROR(SEARCH(("기타"),(D61))))</formula>
    </cfRule>
    <cfRule type="containsText" dxfId="14004" priority="14027" operator="containsText" text="정규교과">
      <formula>NOT(ISERROR(SEARCH(("정규교과"),(D61))))</formula>
    </cfRule>
    <cfRule type="containsText" dxfId="14003" priority="14026" operator="containsText" text="프로젝트">
      <formula>NOT(ISERROR(SEARCH(("프로젝트"),(D61))))</formula>
    </cfRule>
    <cfRule type="containsText" dxfId="14002" priority="14025" operator="containsText" text="기타">
      <formula>NOT(ISERROR(SEARCH(("기타"),(D61))))</formula>
    </cfRule>
    <cfRule type="containsText" dxfId="14001" priority="14024" operator="containsText" text="정규교과">
      <formula>NOT(ISERROR(SEARCH(("정규교과"),(D61))))</formula>
    </cfRule>
    <cfRule type="containsText" dxfId="14000" priority="14023" operator="containsText" text="프로젝트">
      <formula>NOT(ISERROR(SEARCH(("프로젝트"),(D61))))</formula>
    </cfRule>
    <cfRule type="containsText" dxfId="13999" priority="14022" operator="containsText" text="기타">
      <formula>NOT(ISERROR(SEARCH(("기타"),(D61))))</formula>
    </cfRule>
    <cfRule type="containsText" dxfId="13998" priority="14021" operator="containsText" text="정규교과">
      <formula>NOT(ISERROR(SEARCH(("정규교과"),(D61))))</formula>
    </cfRule>
    <cfRule type="containsText" dxfId="13997" priority="14019" operator="containsText" text="기타">
      <formula>NOT(ISERROR(SEARCH(("기타"),(D61))))</formula>
    </cfRule>
    <cfRule type="containsText" dxfId="13996" priority="14018" operator="containsText" text="정규교과">
      <formula>NOT(ISERROR(SEARCH(("정규교과"),(D61))))</formula>
    </cfRule>
    <cfRule type="containsText" dxfId="13995" priority="14017" operator="containsText" text="프로젝트">
      <formula>NOT(ISERROR(SEARCH(("프로젝트"),(D61))))</formula>
    </cfRule>
    <cfRule type="containsText" dxfId="13994" priority="14016" operator="containsText" text="기타">
      <formula>NOT(ISERROR(SEARCH(("기타"),(D61))))</formula>
    </cfRule>
    <cfRule type="containsText" dxfId="13993" priority="14015" operator="containsText" text="정규교과">
      <formula>NOT(ISERROR(SEARCH(("정규교과"),(D61))))</formula>
    </cfRule>
    <cfRule type="containsText" dxfId="13992" priority="14014" operator="containsText" text="프로젝트">
      <formula>NOT(ISERROR(SEARCH(("프로젝트"),(D61))))</formula>
    </cfRule>
    <cfRule type="containsText" dxfId="13991" priority="14013" operator="containsText" text="기타">
      <formula>NOT(ISERROR(SEARCH(("기타"),(D61))))</formula>
    </cfRule>
    <cfRule type="containsText" dxfId="13990" priority="14012" operator="containsText" text="정규교과">
      <formula>NOT(ISERROR(SEARCH(("정규교과"),(D61))))</formula>
    </cfRule>
    <cfRule type="containsText" dxfId="13989" priority="14011" operator="containsText" text="프로젝트">
      <formula>NOT(ISERROR(SEARCH(("프로젝트"),(D61))))</formula>
    </cfRule>
    <cfRule type="containsText" dxfId="13988" priority="14010" operator="containsText" text="기타">
      <formula>NOT(ISERROR(SEARCH(("기타"),(D61))))</formula>
    </cfRule>
    <cfRule type="containsText" dxfId="13987" priority="20565" operator="containsText" text="기타">
      <formula>NOT(ISERROR(SEARCH(("기타"),(D61))))</formula>
    </cfRule>
    <cfRule type="containsText" dxfId="13986" priority="20566" operator="containsText" text="프로젝트">
      <formula>NOT(ISERROR(SEARCH(("프로젝트"),(D61))))</formula>
    </cfRule>
    <cfRule type="containsText" dxfId="13985" priority="20567" operator="containsText" text="정규교과">
      <formula>NOT(ISERROR(SEARCH(("정규교과"),(D61))))</formula>
    </cfRule>
    <cfRule type="containsText" dxfId="13984" priority="20568" operator="containsText" text="기타">
      <formula>NOT(ISERROR(SEARCH(("기타"),(D61))))</formula>
    </cfRule>
    <cfRule type="containsText" dxfId="13983" priority="14062" operator="containsText" text="프로젝트">
      <formula>NOT(ISERROR(SEARCH(("프로젝트"),(D61))))</formula>
    </cfRule>
    <cfRule type="containsText" dxfId="13982" priority="14061" operator="containsText" text="기타">
      <formula>NOT(ISERROR(SEARCH(("기타"),(D61))))</formula>
    </cfRule>
    <cfRule type="containsText" dxfId="13981" priority="14060" operator="containsText" text="정규교과">
      <formula>NOT(ISERROR(SEARCH(("정규교과"),(D61))))</formula>
    </cfRule>
    <cfRule type="containsText" dxfId="13980" priority="14059" operator="containsText" text="프로젝트">
      <formula>NOT(ISERROR(SEARCH(("프로젝트"),(D61))))</formula>
    </cfRule>
    <cfRule type="containsText" dxfId="13979" priority="14064" operator="containsText" text="기타">
      <formula>NOT(ISERROR(SEARCH(("기타"),(D61))))</formula>
    </cfRule>
    <cfRule type="containsText" dxfId="13978" priority="14063" operator="containsText" text="정규교과">
      <formula>NOT(ISERROR(SEARCH(("정규교과"),(D61))))</formula>
    </cfRule>
    <cfRule type="containsText" dxfId="13977" priority="14008" operator="containsText" text="프로젝트">
      <formula>NOT(ISERROR(SEARCH(("프로젝트"),(D61))))</formula>
    </cfRule>
    <cfRule type="containsText" dxfId="13976" priority="20560" operator="containsText" text="프로젝트">
      <formula>NOT(ISERROR(SEARCH(("프로젝트"),(D61))))</formula>
    </cfRule>
    <cfRule type="containsText" dxfId="13975" priority="14058" operator="containsText" text="기타">
      <formula>NOT(ISERROR(SEARCH(("기타"),(D61))))</formula>
    </cfRule>
    <cfRule type="containsText" dxfId="13974" priority="20561" operator="containsText" text="정규교과">
      <formula>NOT(ISERROR(SEARCH(("정규교과"),(D61))))</formula>
    </cfRule>
    <cfRule type="containsText" dxfId="13973" priority="20562" operator="containsText" text="기타">
      <formula>NOT(ISERROR(SEARCH(("기타"),(D61))))</formula>
    </cfRule>
    <cfRule type="containsText" dxfId="13972" priority="14047" operator="containsText" text="프로젝트">
      <formula>NOT(ISERROR(SEARCH(("프로젝트"),(D61))))</formula>
    </cfRule>
    <cfRule type="containsText" dxfId="13971" priority="20563" operator="containsText" text="프로젝트">
      <formula>NOT(ISERROR(SEARCH(("프로젝트"),(D61))))</formula>
    </cfRule>
    <cfRule type="containsText" dxfId="13970" priority="20564" operator="containsText" text="정규교과">
      <formula>NOT(ISERROR(SEARCH(("정규교과"),(D61))))</formula>
    </cfRule>
    <cfRule type="containsText" dxfId="13969" priority="14007" operator="containsText" text="기타">
      <formula>NOT(ISERROR(SEARCH(("기타"),(D61))))</formula>
    </cfRule>
    <cfRule type="containsText" dxfId="13968" priority="14006" operator="containsText" text="정규교과">
      <formula>NOT(ISERROR(SEARCH(("정규교과"),(D61))))</formula>
    </cfRule>
    <cfRule type="containsText" dxfId="13967" priority="14005" operator="containsText" text="프로젝트">
      <formula>NOT(ISERROR(SEARCH(("프로젝트"),(D61))))</formula>
    </cfRule>
    <cfRule type="containsText" dxfId="13966" priority="14004" operator="containsText" text="기타">
      <formula>NOT(ISERROR(SEARCH(("기타"),(D61))))</formula>
    </cfRule>
    <cfRule type="containsText" dxfId="13965" priority="14003" operator="containsText" text="정규교과">
      <formula>NOT(ISERROR(SEARCH(("정규교과"),(D61))))</formula>
    </cfRule>
    <cfRule type="containsText" dxfId="13964" priority="14002" operator="containsText" text="프로젝트">
      <formula>NOT(ISERROR(SEARCH(("프로젝트"),(D61))))</formula>
    </cfRule>
    <cfRule type="containsText" dxfId="13963" priority="14001" operator="containsText" text="기타">
      <formula>NOT(ISERROR(SEARCH(("기타"),(D61))))</formula>
    </cfRule>
    <cfRule type="containsText" dxfId="13962" priority="14000" operator="containsText" text="정규교과">
      <formula>NOT(ISERROR(SEARCH(("정규교과"),(D61))))</formula>
    </cfRule>
    <cfRule type="containsText" dxfId="13961" priority="14121" operator="containsText" text="기타">
      <formula>NOT(ISERROR(SEARCH(("기타"),(D61))))</formula>
    </cfRule>
    <cfRule type="containsText" dxfId="13960" priority="14057" operator="containsText" text="정규교과">
      <formula>NOT(ISERROR(SEARCH(("정규교과"),(D61))))</formula>
    </cfRule>
    <cfRule type="containsText" dxfId="13959" priority="14056" operator="containsText" text="프로젝트">
      <formula>NOT(ISERROR(SEARCH(("프로젝트"),(D61))))</formula>
    </cfRule>
    <cfRule type="containsText" dxfId="13958" priority="14055" operator="containsText" text="기타">
      <formula>NOT(ISERROR(SEARCH(("기타"),(D61))))</formula>
    </cfRule>
    <cfRule type="containsText" dxfId="13957" priority="14054" operator="containsText" text="정규교과">
      <formula>NOT(ISERROR(SEARCH(("정규교과"),(D61))))</formula>
    </cfRule>
    <cfRule type="containsText" dxfId="13956" priority="14053" operator="containsText" text="프로젝트">
      <formula>NOT(ISERROR(SEARCH(("프로젝트"),(D61))))</formula>
    </cfRule>
    <cfRule type="containsText" dxfId="13955" priority="14052" operator="containsText" text="기타">
      <formula>NOT(ISERROR(SEARCH(("기타"),(D61))))</formula>
    </cfRule>
    <cfRule type="containsText" dxfId="13954" priority="14051" operator="containsText" text="정규교과">
      <formula>NOT(ISERROR(SEARCH(("정규교과"),(D61))))</formula>
    </cfRule>
  </conditionalFormatting>
  <conditionalFormatting sqref="D65">
    <cfRule type="containsText" dxfId="13953" priority="13934" operator="containsText" text="정규교과">
      <formula>NOT(ISERROR(SEARCH(("정규교과"),(D65))))</formula>
    </cfRule>
    <cfRule type="containsText" dxfId="13952" priority="13935" operator="containsText" text="기타">
      <formula>NOT(ISERROR(SEARCH(("기타"),(D65))))</formula>
    </cfRule>
    <cfRule type="containsText" dxfId="13951" priority="13936" operator="containsText" text="프로젝트">
      <formula>NOT(ISERROR(SEARCH(("프로젝트"),(D65))))</formula>
    </cfRule>
    <cfRule type="containsText" dxfId="13950" priority="13937" operator="containsText" text="정규교과">
      <formula>NOT(ISERROR(SEARCH(("정규교과"),(D65))))</formula>
    </cfRule>
    <cfRule type="containsText" dxfId="13949" priority="13938" operator="containsText" text="기타">
      <formula>NOT(ISERROR(SEARCH(("기타"),(D65))))</formula>
    </cfRule>
    <cfRule type="containsText" dxfId="13948" priority="13939" operator="containsText" text="프로젝트">
      <formula>NOT(ISERROR(SEARCH(("프로젝트"),(D65))))</formula>
    </cfRule>
    <cfRule type="containsText" dxfId="13947" priority="13940" operator="containsText" text="정규교과">
      <formula>NOT(ISERROR(SEARCH(("정규교과"),(D65))))</formula>
    </cfRule>
    <cfRule type="containsText" dxfId="13946" priority="13941" operator="containsText" text="기타">
      <formula>NOT(ISERROR(SEARCH(("기타"),(D65))))</formula>
    </cfRule>
    <cfRule type="containsText" dxfId="13945" priority="13942" operator="containsText" text="프로젝트">
      <formula>NOT(ISERROR(SEARCH(("프로젝트"),(D65))))</formula>
    </cfRule>
    <cfRule type="containsText" dxfId="13944" priority="13943" operator="containsText" text="정규교과">
      <formula>NOT(ISERROR(SEARCH(("정규교과"),(D65))))</formula>
    </cfRule>
    <cfRule type="containsText" dxfId="13943" priority="13944" operator="containsText" text="기타">
      <formula>NOT(ISERROR(SEARCH(("기타"),(D65))))</formula>
    </cfRule>
    <cfRule type="containsText" dxfId="13942" priority="13945" operator="containsText" text="프로젝트">
      <formula>NOT(ISERROR(SEARCH(("프로젝트"),(D65))))</formula>
    </cfRule>
    <cfRule type="containsText" dxfId="13941" priority="13946" operator="containsText" text="정규교과">
      <formula>NOT(ISERROR(SEARCH(("정규교과"),(D65))))</formula>
    </cfRule>
    <cfRule type="containsText" dxfId="13940" priority="13947" operator="containsText" text="기타">
      <formula>NOT(ISERROR(SEARCH(("기타"),(D65))))</formula>
    </cfRule>
    <cfRule type="containsText" dxfId="13939" priority="13948" operator="containsText" text="프로젝트">
      <formula>NOT(ISERROR(SEARCH(("프로젝트"),(D65))))</formula>
    </cfRule>
    <cfRule type="containsText" dxfId="13938" priority="13949" operator="containsText" text="정규교과">
      <formula>NOT(ISERROR(SEARCH(("정규교과"),(D65))))</formula>
    </cfRule>
    <cfRule type="containsText" dxfId="13937" priority="13950" operator="containsText" text="기타">
      <formula>NOT(ISERROR(SEARCH(("기타"),(D65))))</formula>
    </cfRule>
    <cfRule type="containsText" dxfId="13936" priority="13951" operator="containsText" text="프로젝트">
      <formula>NOT(ISERROR(SEARCH(("프로젝트"),(D65))))</formula>
    </cfRule>
    <cfRule type="containsText" dxfId="13935" priority="13952" operator="containsText" text="정규교과">
      <formula>NOT(ISERROR(SEARCH(("정규교과"),(D65))))</formula>
    </cfRule>
    <cfRule type="containsText" dxfId="13934" priority="13955" operator="containsText" text="정규교과">
      <formula>NOT(ISERROR(SEARCH(("정규교과"),(D65))))</formula>
    </cfRule>
    <cfRule type="containsText" dxfId="13933" priority="13956" operator="containsText" text="기타">
      <formula>NOT(ISERROR(SEARCH(("기타"),(D65))))</formula>
    </cfRule>
    <cfRule type="containsText" dxfId="13932" priority="13957" operator="containsText" text="프로젝트">
      <formula>NOT(ISERROR(SEARCH(("프로젝트"),(D65))))</formula>
    </cfRule>
    <cfRule type="containsText" dxfId="13931" priority="13959" operator="containsText" text="기타">
      <formula>NOT(ISERROR(SEARCH(("기타"),(D65))))</formula>
    </cfRule>
    <cfRule type="containsText" dxfId="13930" priority="13960" operator="containsText" text="프로젝트">
      <formula>NOT(ISERROR(SEARCH(("프로젝트"),(D65))))</formula>
    </cfRule>
    <cfRule type="containsText" dxfId="13929" priority="13961" operator="containsText" text="정규교과">
      <formula>NOT(ISERROR(SEARCH(("정규교과"),(D65))))</formula>
    </cfRule>
    <cfRule type="containsText" dxfId="13928" priority="13962" operator="containsText" text="기타">
      <formula>NOT(ISERROR(SEARCH(("기타"),(D65))))</formula>
    </cfRule>
    <cfRule type="containsText" dxfId="13927" priority="13963" operator="containsText" text="프로젝트">
      <formula>NOT(ISERROR(SEARCH(("프로젝트"),(D65))))</formula>
    </cfRule>
    <cfRule type="containsText" dxfId="13926" priority="13964" operator="containsText" text="정규교과">
      <formula>NOT(ISERROR(SEARCH(("정규교과"),(D65))))</formula>
    </cfRule>
    <cfRule type="containsText" dxfId="13925" priority="13965" operator="containsText" text="기타">
      <formula>NOT(ISERROR(SEARCH(("기타"),(D65))))</formula>
    </cfRule>
    <cfRule type="containsText" dxfId="13924" priority="13966" operator="containsText" text="프로젝트">
      <formula>NOT(ISERROR(SEARCH(("프로젝트"),(D65))))</formula>
    </cfRule>
    <cfRule type="containsText" dxfId="13923" priority="13967" operator="containsText" text="정규교과">
      <formula>NOT(ISERROR(SEARCH(("정규교과"),(D65))))</formula>
    </cfRule>
    <cfRule type="containsText" dxfId="13922" priority="13968" operator="containsText" text="기타">
      <formula>NOT(ISERROR(SEARCH(("기타"),(D65))))</formula>
    </cfRule>
    <cfRule type="containsText" dxfId="13921" priority="13969" operator="containsText" text="프로젝트">
      <formula>NOT(ISERROR(SEARCH(("프로젝트"),(D65))))</formula>
    </cfRule>
    <cfRule type="containsText" dxfId="13920" priority="13971" operator="containsText" text="기타">
      <formula>NOT(ISERROR(SEARCH(("기타"),(D65))))</formula>
    </cfRule>
    <cfRule type="containsText" dxfId="13919" priority="13972" operator="containsText" text="프로젝트">
      <formula>NOT(ISERROR(SEARCH(("프로젝트"),(D65))))</formula>
    </cfRule>
    <cfRule type="containsText" dxfId="13918" priority="13973" operator="containsText" text="정규교과">
      <formula>NOT(ISERROR(SEARCH(("정규교과"),(D65))))</formula>
    </cfRule>
    <cfRule type="containsText" dxfId="13917" priority="13974" operator="containsText" text="기타">
      <formula>NOT(ISERROR(SEARCH(("기타"),(D65))))</formula>
    </cfRule>
    <cfRule type="containsText" dxfId="13916" priority="13975" operator="containsText" text="프로젝트">
      <formula>NOT(ISERROR(SEARCH(("프로젝트"),(D65))))</formula>
    </cfRule>
    <cfRule type="containsText" dxfId="13915" priority="13976" operator="containsText" text="정규교과">
      <formula>NOT(ISERROR(SEARCH(("정규교과"),(D65))))</formula>
    </cfRule>
    <cfRule type="containsText" dxfId="13914" priority="13977" operator="containsText" text="기타">
      <formula>NOT(ISERROR(SEARCH(("기타"),(D65))))</formula>
    </cfRule>
    <cfRule type="containsText" dxfId="13913" priority="13978" operator="containsText" text="프로젝트">
      <formula>NOT(ISERROR(SEARCH(("프로젝트"),(D65))))</formula>
    </cfRule>
    <cfRule type="containsText" dxfId="13912" priority="13979" operator="containsText" text="정규교과">
      <formula>NOT(ISERROR(SEARCH(("정규교과"),(D65))))</formula>
    </cfRule>
    <cfRule type="containsText" dxfId="13911" priority="13980" operator="containsText" text="기타">
      <formula>NOT(ISERROR(SEARCH(("기타"),(D65))))</formula>
    </cfRule>
    <cfRule type="containsText" dxfId="13910" priority="13981" operator="containsText" text="프로젝트">
      <formula>NOT(ISERROR(SEARCH(("프로젝트"),(D65))))</formula>
    </cfRule>
    <cfRule type="containsText" dxfId="13909" priority="13982" operator="containsText" text="정규교과">
      <formula>NOT(ISERROR(SEARCH(("정규교과"),(D65))))</formula>
    </cfRule>
    <cfRule type="containsText" dxfId="13908" priority="13983" operator="containsText" text="기타">
      <formula>NOT(ISERROR(SEARCH(("기타"),(D65))))</formula>
    </cfRule>
    <cfRule type="containsText" dxfId="13907" priority="13984" operator="containsText" text="프로젝트">
      <formula>NOT(ISERROR(SEARCH(("프로젝트"),(D65))))</formula>
    </cfRule>
    <cfRule type="containsText" dxfId="13906" priority="13985" operator="containsText" text="정규교과">
      <formula>NOT(ISERROR(SEARCH(("정규교과"),(D65))))</formula>
    </cfRule>
    <cfRule type="containsText" dxfId="13905" priority="13986" operator="containsText" text="기타">
      <formula>NOT(ISERROR(SEARCH(("기타"),(D65))))</formula>
    </cfRule>
    <cfRule type="containsText" dxfId="13904" priority="13987" operator="containsText" text="프로젝트">
      <formula>NOT(ISERROR(SEARCH(("프로젝트"),(D65))))</formula>
    </cfRule>
    <cfRule type="containsText" dxfId="13903" priority="13988" operator="containsText" text="정규교과">
      <formula>NOT(ISERROR(SEARCH(("정규교과"),(D65))))</formula>
    </cfRule>
    <cfRule type="containsText" dxfId="13902" priority="13989" operator="containsText" text="기타">
      <formula>NOT(ISERROR(SEARCH(("기타"),(D65))))</formula>
    </cfRule>
    <cfRule type="containsText" dxfId="13901" priority="13990" operator="containsText" text="프로젝트">
      <formula>NOT(ISERROR(SEARCH(("프로젝트"),(D65))))</formula>
    </cfRule>
    <cfRule type="containsText" dxfId="13900" priority="13991" operator="containsText" text="정규교과">
      <formula>NOT(ISERROR(SEARCH(("정규교과"),(D65))))</formula>
    </cfRule>
    <cfRule type="containsText" dxfId="13899" priority="13992" operator="containsText" text="기타">
      <formula>NOT(ISERROR(SEARCH(("기타"),(D65))))</formula>
    </cfRule>
    <cfRule type="containsText" dxfId="13898" priority="13993" operator="containsText" text="프로젝트">
      <formula>NOT(ISERROR(SEARCH(("프로젝트"),(D65))))</formula>
    </cfRule>
    <cfRule type="containsText" dxfId="13897" priority="13994" operator="containsText" text="정규교과">
      <formula>NOT(ISERROR(SEARCH(("정규교과"),(D65))))</formula>
    </cfRule>
    <cfRule type="containsText" dxfId="13896" priority="13995" operator="containsText" text="기타">
      <formula>NOT(ISERROR(SEARCH(("기타"),(D65))))</formula>
    </cfRule>
    <cfRule type="containsText" dxfId="13895" priority="13996" operator="containsText" text="프로젝트">
      <formula>NOT(ISERROR(SEARCH(("프로젝트"),(D65))))</formula>
    </cfRule>
    <cfRule type="containsText" dxfId="13894" priority="13953" operator="containsText" text="기타">
      <formula>NOT(ISERROR(SEARCH(("기타"),(D65))))</formula>
    </cfRule>
    <cfRule type="containsText" dxfId="13893" priority="20572" operator="containsText" text="프로젝트">
      <formula>NOT(ISERROR(SEARCH(("프로젝트"),(D65))))</formula>
    </cfRule>
    <cfRule type="containsText" dxfId="13892" priority="20573" operator="containsText" text="정규교과">
      <formula>NOT(ISERROR(SEARCH(("정규교과"),(D65))))</formula>
    </cfRule>
    <cfRule type="containsText" dxfId="13891" priority="20574" operator="containsText" text="기타">
      <formula>NOT(ISERROR(SEARCH(("기타"),(D65))))</formula>
    </cfRule>
    <cfRule type="containsText" dxfId="13890" priority="20575" operator="containsText" text="프로젝트">
      <formula>NOT(ISERROR(SEARCH(("프로젝트"),(D65))))</formula>
    </cfRule>
    <cfRule type="containsText" dxfId="13889" priority="20576" operator="containsText" text="정규교과">
      <formula>NOT(ISERROR(SEARCH(("정규교과"),(D65))))</formula>
    </cfRule>
    <cfRule type="containsText" dxfId="13888" priority="20577" operator="containsText" text="기타">
      <formula>NOT(ISERROR(SEARCH(("기타"),(D65))))</formula>
    </cfRule>
    <cfRule type="containsText" dxfId="13887" priority="20578" operator="containsText" text="프로젝트">
      <formula>NOT(ISERROR(SEARCH(("프로젝트"),(D65))))</formula>
    </cfRule>
    <cfRule type="containsText" dxfId="13886" priority="20579" operator="containsText" text="정규교과">
      <formula>NOT(ISERROR(SEARCH(("정규교과"),(D65))))</formula>
    </cfRule>
    <cfRule type="containsText" dxfId="13885" priority="20580" operator="containsText" text="기타">
      <formula>NOT(ISERROR(SEARCH(("기타"),(D65))))</formula>
    </cfRule>
    <cfRule type="containsText" dxfId="13884" priority="14093" operator="containsText" text="정규교과">
      <formula>NOT(ISERROR(SEARCH(("정규교과"),(D65))))</formula>
    </cfRule>
    <cfRule type="containsText" dxfId="13883" priority="14094" operator="containsText" text="기타">
      <formula>NOT(ISERROR(SEARCH(("기타"),(D65))))</formula>
    </cfRule>
    <cfRule type="containsText" dxfId="13882" priority="13958" operator="containsText" text="정규교과">
      <formula>NOT(ISERROR(SEARCH(("정규교과"),(D65))))</formula>
    </cfRule>
    <cfRule type="containsText" dxfId="13881" priority="14095" operator="containsText" text="프로젝트">
      <formula>NOT(ISERROR(SEARCH(("프로젝트"),(D65))))</formula>
    </cfRule>
    <cfRule type="containsText" dxfId="13880" priority="14096" operator="containsText" text="정규교과">
      <formula>NOT(ISERROR(SEARCH(("정규교과"),(D65))))</formula>
    </cfRule>
    <cfRule type="containsText" dxfId="13879" priority="14097" operator="containsText" text="기타">
      <formula>NOT(ISERROR(SEARCH(("기타"),(D65))))</formula>
    </cfRule>
    <cfRule type="containsText" dxfId="13878" priority="14098" operator="containsText" text="프로젝트">
      <formula>NOT(ISERROR(SEARCH(("프로젝트"),(D65))))</formula>
    </cfRule>
    <cfRule type="containsText" dxfId="13877" priority="14099" operator="containsText" text="정규교과">
      <formula>NOT(ISERROR(SEARCH(("정규교과"),(D65))))</formula>
    </cfRule>
    <cfRule type="containsText" dxfId="13876" priority="14100" operator="containsText" text="기타">
      <formula>NOT(ISERROR(SEARCH(("기타"),(D65))))</formula>
    </cfRule>
    <cfRule type="containsText" dxfId="13875" priority="14101" operator="containsText" text="프로젝트">
      <formula>NOT(ISERROR(SEARCH(("프로젝트"),(D65))))</formula>
    </cfRule>
    <cfRule type="containsText" dxfId="13874" priority="13954" operator="containsText" text="프로젝트">
      <formula>NOT(ISERROR(SEARCH(("프로젝트"),(D65))))</formula>
    </cfRule>
    <cfRule type="containsText" dxfId="13873" priority="14102" operator="containsText" text="정규교과">
      <formula>NOT(ISERROR(SEARCH(("정규교과"),(D65))))</formula>
    </cfRule>
    <cfRule type="containsText" dxfId="13872" priority="14103" operator="containsText" text="기타">
      <formula>NOT(ISERROR(SEARCH(("기타"),(D65))))</formula>
    </cfRule>
    <cfRule type="containsText" dxfId="13871" priority="13970" operator="containsText" text="정규교과">
      <formula>NOT(ISERROR(SEARCH(("정규교과"),(D65))))</formula>
    </cfRule>
    <cfRule type="containsText" dxfId="13870" priority="14104" operator="containsText" text="프로젝트">
      <formula>NOT(ISERROR(SEARCH(("프로젝트"),(D65))))</formula>
    </cfRule>
    <cfRule type="containsText" dxfId="13869" priority="14105" operator="containsText" text="정규교과">
      <formula>NOT(ISERROR(SEARCH(("정규교과"),(D65))))</formula>
    </cfRule>
    <cfRule type="containsText" dxfId="13868" priority="14106" operator="containsText" text="기타">
      <formula>NOT(ISERROR(SEARCH(("기타"),(D65))))</formula>
    </cfRule>
    <cfRule type="containsText" dxfId="13867" priority="14086" operator="containsText" text="프로젝트">
      <formula>NOT(ISERROR(SEARCH(("프로젝트"),(D65))))</formula>
    </cfRule>
    <cfRule type="containsText" dxfId="13866" priority="14087" operator="containsText" text="정규교과">
      <formula>NOT(ISERROR(SEARCH(("정규교과"),(D65))))</formula>
    </cfRule>
    <cfRule type="containsText" dxfId="13865" priority="14088" operator="containsText" text="기타">
      <formula>NOT(ISERROR(SEARCH(("기타"),(D65))))</formula>
    </cfRule>
    <cfRule type="containsText" dxfId="13864" priority="14089" operator="containsText" text="프로젝트">
      <formula>NOT(ISERROR(SEARCH(("프로젝트"),(D65))))</formula>
    </cfRule>
    <cfRule type="containsText" dxfId="13863" priority="14090" operator="containsText" text="정규교과">
      <formula>NOT(ISERROR(SEARCH(("정규교과"),(D65))))</formula>
    </cfRule>
    <cfRule type="containsText" dxfId="13862" priority="14091" operator="containsText" text="기타">
      <formula>NOT(ISERROR(SEARCH(("기타"),(D65))))</formula>
    </cfRule>
    <cfRule type="containsText" dxfId="13861" priority="13998" operator="containsText" text="기타">
      <formula>NOT(ISERROR(SEARCH(("기타"),(D65))))</formula>
    </cfRule>
    <cfRule type="containsText" dxfId="13860" priority="13997" operator="containsText" text="정규교과">
      <formula>NOT(ISERROR(SEARCH(("정규교과"),(D65))))</formula>
    </cfRule>
    <cfRule type="containsText" dxfId="13859" priority="14092" operator="containsText" text="프로젝트">
      <formula>NOT(ISERROR(SEARCH(("프로젝트"),(D65))))</formula>
    </cfRule>
  </conditionalFormatting>
  <conditionalFormatting sqref="D69">
    <cfRule type="containsText" dxfId="13858" priority="13915" operator="containsText" text="프로젝트">
      <formula>NOT(ISERROR(SEARCH(("프로젝트"),(D69))))</formula>
    </cfRule>
    <cfRule type="containsText" dxfId="13857" priority="13916" operator="containsText" text="정규교과">
      <formula>NOT(ISERROR(SEARCH(("정규교과"),(D69))))</formula>
    </cfRule>
    <cfRule type="containsText" dxfId="13856" priority="13917" operator="containsText" text="기타">
      <formula>NOT(ISERROR(SEARCH(("기타"),(D69))))</formula>
    </cfRule>
    <cfRule type="containsText" dxfId="13855" priority="13918" operator="containsText" text="프로젝트">
      <formula>NOT(ISERROR(SEARCH(("프로젝트"),(D69))))</formula>
    </cfRule>
    <cfRule type="containsText" dxfId="13854" priority="13919" operator="containsText" text="정규교과">
      <formula>NOT(ISERROR(SEARCH(("정규교과"),(D69))))</formula>
    </cfRule>
    <cfRule type="containsText" dxfId="13853" priority="13920" operator="containsText" text="기타">
      <formula>NOT(ISERROR(SEARCH(("기타"),(D69))))</formula>
    </cfRule>
    <cfRule type="containsText" dxfId="13852" priority="13921" operator="containsText" text="프로젝트">
      <formula>NOT(ISERROR(SEARCH(("프로젝트"),(D69))))</formula>
    </cfRule>
    <cfRule type="containsText" dxfId="13851" priority="13922" operator="containsText" text="정규교과">
      <formula>NOT(ISERROR(SEARCH(("정규교과"),(D69))))</formula>
    </cfRule>
    <cfRule type="containsText" dxfId="13850" priority="13923" operator="containsText" text="기타">
      <formula>NOT(ISERROR(SEARCH(("기타"),(D69))))</formula>
    </cfRule>
    <cfRule type="containsText" dxfId="13849" priority="13924" operator="containsText" text="프로젝트">
      <formula>NOT(ISERROR(SEARCH(("프로젝트"),(D69))))</formula>
    </cfRule>
    <cfRule type="containsText" dxfId="13848" priority="13925" operator="containsText" text="정규교과">
      <formula>NOT(ISERROR(SEARCH(("정규교과"),(D69))))</formula>
    </cfRule>
    <cfRule type="containsText" dxfId="13847" priority="13926" operator="containsText" text="기타">
      <formula>NOT(ISERROR(SEARCH(("기타"),(D69))))</formula>
    </cfRule>
    <cfRule type="containsText" dxfId="13846" priority="13927" operator="containsText" text="프로젝트">
      <formula>NOT(ISERROR(SEARCH(("프로젝트"),(D69))))</formula>
    </cfRule>
    <cfRule type="containsText" dxfId="13845" priority="13928" operator="containsText" text="정규교과">
      <formula>NOT(ISERROR(SEARCH(("정규교과"),(D69))))</formula>
    </cfRule>
    <cfRule type="containsText" dxfId="13844" priority="13929" operator="containsText" text="기타">
      <formula>NOT(ISERROR(SEARCH(("기타"),(D69))))</formula>
    </cfRule>
    <cfRule type="containsText" dxfId="13843" priority="13930" operator="containsText" text="프로젝트">
      <formula>NOT(ISERROR(SEARCH(("프로젝트"),(D69))))</formula>
    </cfRule>
    <cfRule type="containsText" dxfId="13842" priority="13931" operator="containsText" text="정규교과">
      <formula>NOT(ISERROR(SEARCH(("정규교과"),(D69))))</formula>
    </cfRule>
    <cfRule type="containsText" dxfId="13841" priority="13932" operator="containsText" text="기타">
      <formula>NOT(ISERROR(SEARCH(("기타"),(D69))))</formula>
    </cfRule>
    <cfRule type="containsText" dxfId="13840" priority="14071" operator="containsText" text="프로젝트">
      <formula>NOT(ISERROR(SEARCH(("프로젝트"),(D69))))</formula>
    </cfRule>
    <cfRule type="containsText" dxfId="13839" priority="14072" operator="containsText" text="정규교과">
      <formula>NOT(ISERROR(SEARCH(("정규교과"),(D69))))</formula>
    </cfRule>
    <cfRule type="containsText" dxfId="13838" priority="14074" operator="containsText" text="프로젝트">
      <formula>NOT(ISERROR(SEARCH(("프로젝트"),(D69))))</formula>
    </cfRule>
    <cfRule type="containsText" dxfId="13837" priority="14075" operator="containsText" text="정규교과">
      <formula>NOT(ISERROR(SEARCH(("정규교과"),(D69))))</formula>
    </cfRule>
    <cfRule type="containsText" dxfId="13836" priority="14076" operator="containsText" text="기타">
      <formula>NOT(ISERROR(SEARCH(("기타"),(D69))))</formula>
    </cfRule>
    <cfRule type="containsText" dxfId="13835" priority="14077" operator="containsText" text="프로젝트">
      <formula>NOT(ISERROR(SEARCH(("프로젝트"),(D69))))</formula>
    </cfRule>
    <cfRule type="containsText" dxfId="13834" priority="14078" operator="containsText" text="정규교과">
      <formula>NOT(ISERROR(SEARCH(("정규교과"),(D69))))</formula>
    </cfRule>
    <cfRule type="containsText" dxfId="13833" priority="14079" operator="containsText" text="기타">
      <formula>NOT(ISERROR(SEARCH(("기타"),(D69))))</formula>
    </cfRule>
    <cfRule type="containsText" dxfId="13832" priority="14080" operator="containsText" text="프로젝트">
      <formula>NOT(ISERROR(SEARCH(("프로젝트"),(D69))))</formula>
    </cfRule>
    <cfRule type="containsText" dxfId="13831" priority="14081" operator="containsText" text="정규교과">
      <formula>NOT(ISERROR(SEARCH(("정규교과"),(D69))))</formula>
    </cfRule>
    <cfRule type="containsText" dxfId="13830" priority="14082" operator="containsText" text="기타">
      <formula>NOT(ISERROR(SEARCH(("기타"),(D69))))</formula>
    </cfRule>
    <cfRule type="containsText" dxfId="13829" priority="14083" operator="containsText" text="프로젝트">
      <formula>NOT(ISERROR(SEARCH(("프로젝트"),(D69))))</formula>
    </cfRule>
    <cfRule type="containsText" dxfId="13828" priority="14084" operator="containsText" text="정규교과">
      <formula>NOT(ISERROR(SEARCH(("정규교과"),(D69))))</formula>
    </cfRule>
    <cfRule type="containsText" dxfId="13827" priority="14085" operator="containsText" text="기타">
      <formula>NOT(ISERROR(SEARCH(("기타"),(D69))))</formula>
    </cfRule>
    <cfRule type="containsText" dxfId="13826" priority="14073" operator="containsText" text="기타">
      <formula>NOT(ISERROR(SEARCH(("기타"),(D69))))</formula>
    </cfRule>
    <cfRule type="containsText" dxfId="13825" priority="20592" operator="containsText" text="기타">
      <formula>NOT(ISERROR(SEARCH(("기타"),(D69))))</formula>
    </cfRule>
    <cfRule type="containsText" dxfId="13824" priority="20591" operator="containsText" text="정규교과">
      <formula>NOT(ISERROR(SEARCH(("정규교과"),(D69))))</formula>
    </cfRule>
    <cfRule type="containsText" dxfId="13823" priority="20590" operator="containsText" text="프로젝트">
      <formula>NOT(ISERROR(SEARCH(("프로젝트"),(D69))))</formula>
    </cfRule>
    <cfRule type="containsText" dxfId="13822" priority="20589" operator="containsText" text="기타">
      <formula>NOT(ISERROR(SEARCH(("기타"),(D69))))</formula>
    </cfRule>
    <cfRule type="containsText" dxfId="13821" priority="20588" operator="containsText" text="정규교과">
      <formula>NOT(ISERROR(SEARCH(("정규교과"),(D69))))</formula>
    </cfRule>
    <cfRule type="containsText" dxfId="13820" priority="20587" operator="containsText" text="프로젝트">
      <formula>NOT(ISERROR(SEARCH(("프로젝트"),(D69))))</formula>
    </cfRule>
    <cfRule type="containsText" dxfId="13819" priority="20586" operator="containsText" text="기타">
      <formula>NOT(ISERROR(SEARCH(("기타"),(D69))))</formula>
    </cfRule>
    <cfRule type="containsText" dxfId="13818" priority="20585" operator="containsText" text="정규교과">
      <formula>NOT(ISERROR(SEARCH(("정규교과"),(D69))))</formula>
    </cfRule>
    <cfRule type="containsText" dxfId="13817" priority="20584" operator="containsText" text="프로젝트">
      <formula>NOT(ISERROR(SEARCH(("프로젝트"),(D69))))</formula>
    </cfRule>
    <cfRule type="containsText" dxfId="13816" priority="14065" operator="containsText" text="프로젝트">
      <formula>NOT(ISERROR(SEARCH(("프로젝트"),(D69))))</formula>
    </cfRule>
    <cfRule type="containsText" dxfId="13815" priority="14066" operator="containsText" text="정규교과">
      <formula>NOT(ISERROR(SEARCH(("정규교과"),(D69))))</formula>
    </cfRule>
    <cfRule type="containsText" dxfId="13814" priority="14067" operator="containsText" text="기타">
      <formula>NOT(ISERROR(SEARCH(("기타"),(D69))))</formula>
    </cfRule>
    <cfRule type="containsText" dxfId="13813" priority="14068" operator="containsText" text="프로젝트">
      <formula>NOT(ISERROR(SEARCH(("프로젝트"),(D69))))</formula>
    </cfRule>
    <cfRule type="containsText" dxfId="13812" priority="14069" operator="containsText" text="정규교과">
      <formula>NOT(ISERROR(SEARCH(("정규교과"),(D69))))</formula>
    </cfRule>
    <cfRule type="containsText" dxfId="13811" priority="13868" operator="containsText" text="정규교과">
      <formula>NOT(ISERROR(SEARCH(("정규교과"),(D69))))</formula>
    </cfRule>
    <cfRule type="containsText" dxfId="13810" priority="13869" operator="containsText" text="기타">
      <formula>NOT(ISERROR(SEARCH(("기타"),(D69))))</formula>
    </cfRule>
    <cfRule type="containsText" dxfId="13809" priority="13870" operator="containsText" text="프로젝트">
      <formula>NOT(ISERROR(SEARCH(("프로젝트"),(D69))))</formula>
    </cfRule>
    <cfRule type="containsText" dxfId="13808" priority="13871" operator="containsText" text="정규교과">
      <formula>NOT(ISERROR(SEARCH(("정규교과"),(D69))))</formula>
    </cfRule>
    <cfRule type="containsText" dxfId="13807" priority="13872" operator="containsText" text="기타">
      <formula>NOT(ISERROR(SEARCH(("기타"),(D69))))</formula>
    </cfRule>
    <cfRule type="containsText" dxfId="13806" priority="13873" operator="containsText" text="프로젝트">
      <formula>NOT(ISERROR(SEARCH(("프로젝트"),(D69))))</formula>
    </cfRule>
    <cfRule type="containsText" dxfId="13805" priority="13874" operator="containsText" text="정규교과">
      <formula>NOT(ISERROR(SEARCH(("정규교과"),(D69))))</formula>
    </cfRule>
    <cfRule type="containsText" dxfId="13804" priority="13875" operator="containsText" text="기타">
      <formula>NOT(ISERROR(SEARCH(("기타"),(D69))))</formula>
    </cfRule>
    <cfRule type="containsText" dxfId="13803" priority="13876" operator="containsText" text="프로젝트">
      <formula>NOT(ISERROR(SEARCH(("프로젝트"),(D69))))</formula>
    </cfRule>
    <cfRule type="containsText" dxfId="13802" priority="13877" operator="containsText" text="정규교과">
      <formula>NOT(ISERROR(SEARCH(("정규교과"),(D69))))</formula>
    </cfRule>
    <cfRule type="containsText" dxfId="13801" priority="13878" operator="containsText" text="기타">
      <formula>NOT(ISERROR(SEARCH(("기타"),(D69))))</formula>
    </cfRule>
    <cfRule type="containsText" dxfId="13800" priority="13879" operator="containsText" text="프로젝트">
      <formula>NOT(ISERROR(SEARCH(("프로젝트"),(D69))))</formula>
    </cfRule>
    <cfRule type="containsText" dxfId="13799" priority="13880" operator="containsText" text="정규교과">
      <formula>NOT(ISERROR(SEARCH(("정규교과"),(D69))))</formula>
    </cfRule>
    <cfRule type="containsText" dxfId="13798" priority="13881" operator="containsText" text="기타">
      <formula>NOT(ISERROR(SEARCH(("기타"),(D69))))</formula>
    </cfRule>
    <cfRule type="containsText" dxfId="13797" priority="13882" operator="containsText" text="프로젝트">
      <formula>NOT(ISERROR(SEARCH(("프로젝트"),(D69))))</formula>
    </cfRule>
    <cfRule type="containsText" dxfId="13796" priority="13883" operator="containsText" text="정규교과">
      <formula>NOT(ISERROR(SEARCH(("정규교과"),(D69))))</formula>
    </cfRule>
    <cfRule type="containsText" dxfId="13795" priority="13884" operator="containsText" text="기타">
      <formula>NOT(ISERROR(SEARCH(("기타"),(D69))))</formula>
    </cfRule>
    <cfRule type="containsText" dxfId="13794" priority="13885" operator="containsText" text="프로젝트">
      <formula>NOT(ISERROR(SEARCH(("프로젝트"),(D69))))</formula>
    </cfRule>
    <cfRule type="containsText" dxfId="13793" priority="14070" operator="containsText" text="기타">
      <formula>NOT(ISERROR(SEARCH(("기타"),(D69))))</formula>
    </cfRule>
    <cfRule type="containsText" dxfId="13792" priority="13886" operator="containsText" text="정규교과">
      <formula>NOT(ISERROR(SEARCH(("정규교과"),(D69))))</formula>
    </cfRule>
    <cfRule type="containsText" dxfId="13791" priority="13887" operator="containsText" text="기타">
      <formula>NOT(ISERROR(SEARCH(("기타"),(D69))))</formula>
    </cfRule>
    <cfRule type="containsText" dxfId="13790" priority="13888" operator="containsText" text="프로젝트">
      <formula>NOT(ISERROR(SEARCH(("프로젝트"),(D69))))</formula>
    </cfRule>
    <cfRule type="containsText" dxfId="13789" priority="13889" operator="containsText" text="정규교과">
      <formula>NOT(ISERROR(SEARCH(("정규교과"),(D69))))</formula>
    </cfRule>
    <cfRule type="containsText" dxfId="13788" priority="13890" operator="containsText" text="기타">
      <formula>NOT(ISERROR(SEARCH(("기타"),(D69))))</formula>
    </cfRule>
    <cfRule type="containsText" dxfId="13787" priority="13891" operator="containsText" text="프로젝트">
      <formula>NOT(ISERROR(SEARCH(("프로젝트"),(D69))))</formula>
    </cfRule>
    <cfRule type="containsText" dxfId="13786" priority="13892" operator="containsText" text="정규교과">
      <formula>NOT(ISERROR(SEARCH(("정규교과"),(D69))))</formula>
    </cfRule>
    <cfRule type="containsText" dxfId="13785" priority="13893" operator="containsText" text="기타">
      <formula>NOT(ISERROR(SEARCH(("기타"),(D69))))</formula>
    </cfRule>
    <cfRule type="containsText" dxfId="13784" priority="13894" operator="containsText" text="프로젝트">
      <formula>NOT(ISERROR(SEARCH(("프로젝트"),(D69))))</formula>
    </cfRule>
    <cfRule type="containsText" dxfId="13783" priority="13895" operator="containsText" text="정규교과">
      <formula>NOT(ISERROR(SEARCH(("정규교과"),(D69))))</formula>
    </cfRule>
    <cfRule type="containsText" dxfId="13782" priority="13896" operator="containsText" text="기타">
      <formula>NOT(ISERROR(SEARCH(("기타"),(D69))))</formula>
    </cfRule>
    <cfRule type="containsText" dxfId="13781" priority="13897" operator="containsText" text="프로젝트">
      <formula>NOT(ISERROR(SEARCH(("프로젝트"),(D69))))</formula>
    </cfRule>
    <cfRule type="containsText" dxfId="13780" priority="13898" operator="containsText" text="정규교과">
      <formula>NOT(ISERROR(SEARCH(("정규교과"),(D69))))</formula>
    </cfRule>
    <cfRule type="containsText" dxfId="13779" priority="13899" operator="containsText" text="기타">
      <formula>NOT(ISERROR(SEARCH(("기타"),(D69))))</formula>
    </cfRule>
    <cfRule type="containsText" dxfId="13778" priority="13900" operator="containsText" text="프로젝트">
      <formula>NOT(ISERROR(SEARCH(("프로젝트"),(D69))))</formula>
    </cfRule>
    <cfRule type="containsText" dxfId="13777" priority="13901" operator="containsText" text="정규교과">
      <formula>NOT(ISERROR(SEARCH(("정규교과"),(D69))))</formula>
    </cfRule>
    <cfRule type="containsText" dxfId="13776" priority="13902" operator="containsText" text="기타">
      <formula>NOT(ISERROR(SEARCH(("기타"),(D69))))</formula>
    </cfRule>
    <cfRule type="containsText" dxfId="13775" priority="13903" operator="containsText" text="프로젝트">
      <formula>NOT(ISERROR(SEARCH(("프로젝트"),(D69))))</formula>
    </cfRule>
    <cfRule type="containsText" dxfId="13774" priority="13904" operator="containsText" text="정규교과">
      <formula>NOT(ISERROR(SEARCH(("정규교과"),(D69))))</formula>
    </cfRule>
    <cfRule type="containsText" dxfId="13773" priority="13905" operator="containsText" text="기타">
      <formula>NOT(ISERROR(SEARCH(("기타"),(D69))))</formula>
    </cfRule>
    <cfRule type="containsText" dxfId="13772" priority="13906" operator="containsText" text="프로젝트">
      <formula>NOT(ISERROR(SEARCH(("프로젝트"),(D69))))</formula>
    </cfRule>
    <cfRule type="containsText" dxfId="13771" priority="13907" operator="containsText" text="정규교과">
      <formula>NOT(ISERROR(SEARCH(("정규교과"),(D69))))</formula>
    </cfRule>
    <cfRule type="containsText" dxfId="13770" priority="13908" operator="containsText" text="기타">
      <formula>NOT(ISERROR(SEARCH(("기타"),(D69))))</formula>
    </cfRule>
    <cfRule type="containsText" dxfId="13769" priority="13909" operator="containsText" text="프로젝트">
      <formula>NOT(ISERROR(SEARCH(("프로젝트"),(D69))))</formula>
    </cfRule>
    <cfRule type="containsText" dxfId="13768" priority="13910" operator="containsText" text="정규교과">
      <formula>NOT(ISERROR(SEARCH(("정규교과"),(D69))))</formula>
    </cfRule>
    <cfRule type="containsText" dxfId="13767" priority="13911" operator="containsText" text="기타">
      <formula>NOT(ISERROR(SEARCH(("기타"),(D69))))</formula>
    </cfRule>
    <cfRule type="containsText" dxfId="13766" priority="13912" operator="containsText" text="프로젝트">
      <formula>NOT(ISERROR(SEARCH(("프로젝트"),(D69))))</formula>
    </cfRule>
    <cfRule type="containsText" dxfId="13765" priority="13913" operator="containsText" text="정규교과">
      <formula>NOT(ISERROR(SEARCH(("정규교과"),(D69))))</formula>
    </cfRule>
    <cfRule type="containsText" dxfId="13764" priority="13914" operator="containsText" text="기타">
      <formula>NOT(ISERROR(SEARCH(("기타"),(D69))))</formula>
    </cfRule>
  </conditionalFormatting>
  <conditionalFormatting sqref="D110">
    <cfRule type="containsText" dxfId="13763" priority="8898" operator="containsText" text="정규교과">
      <formula>NOT(ISERROR(SEARCH(("정규교과"),(D110))))</formula>
    </cfRule>
    <cfRule type="containsText" dxfId="13762" priority="8897" operator="containsText" text="프로젝트">
      <formula>NOT(ISERROR(SEARCH(("프로젝트"),(D110))))</formula>
    </cfRule>
    <cfRule type="containsText" dxfId="13761" priority="8899" operator="containsText" text="기타">
      <formula>NOT(ISERROR(SEARCH(("기타"),(D110))))</formula>
    </cfRule>
    <cfRule type="containsText" dxfId="13760" priority="8896" operator="containsText" text="기타">
      <formula>NOT(ISERROR(SEARCH(("기타"),(D110))))</formula>
    </cfRule>
    <cfRule type="containsText" dxfId="13759" priority="8895" operator="containsText" text="정규교과">
      <formula>NOT(ISERROR(SEARCH(("정규교과"),(D110))))</formula>
    </cfRule>
    <cfRule type="containsText" dxfId="13758" priority="8894" operator="containsText" text="프로젝트">
      <formula>NOT(ISERROR(SEARCH(("프로젝트"),(D110))))</formula>
    </cfRule>
    <cfRule type="containsText" dxfId="13757" priority="8893" operator="containsText" text="기타">
      <formula>NOT(ISERROR(SEARCH(("기타"),(D110))))</formula>
    </cfRule>
    <cfRule type="containsText" dxfId="13756" priority="8892" operator="containsText" text="정규교과">
      <formula>NOT(ISERROR(SEARCH(("정규교과"),(D110))))</formula>
    </cfRule>
    <cfRule type="containsText" dxfId="13755" priority="8891" operator="containsText" text="프로젝트">
      <formula>NOT(ISERROR(SEARCH(("프로젝트"),(D110))))</formula>
    </cfRule>
    <cfRule type="containsText" dxfId="13754" priority="8884" operator="containsText" text="휴강">
      <formula>NOT(ISERROR(SEARCH(("휴강"),(D110))))</formula>
    </cfRule>
    <cfRule type="containsText" dxfId="13753" priority="8887" operator="containsText" text="기타">
      <formula>NOT(ISERROR(SEARCH(("기타"),(D110))))</formula>
    </cfRule>
    <cfRule type="containsText" dxfId="13752" priority="8885" operator="containsText" text="프로젝트">
      <formula>NOT(ISERROR(SEARCH(("프로젝트"),(D110))))</formula>
    </cfRule>
    <cfRule type="containsText" dxfId="13751" priority="8886" operator="containsText" text="정규교과">
      <formula>NOT(ISERROR(SEARCH(("정규교과"),(D110))))</formula>
    </cfRule>
    <cfRule type="containsText" dxfId="13750" priority="8888" operator="containsText" text="프로젝트">
      <formula>NOT(ISERROR(SEARCH(("프로젝트"),(D110))))</formula>
    </cfRule>
    <cfRule type="containsText" dxfId="13749" priority="8890" operator="containsText" text="기타">
      <formula>NOT(ISERROR(SEARCH(("기타"),(D110))))</formula>
    </cfRule>
    <cfRule type="containsText" dxfId="13748" priority="8889" operator="containsText" text="정규교과">
      <formula>NOT(ISERROR(SEARCH(("정규교과"),(D110))))</formula>
    </cfRule>
  </conditionalFormatting>
  <conditionalFormatting sqref="D114">
    <cfRule type="containsText" dxfId="13747" priority="8813" operator="containsText" text="기타">
      <formula>NOT(ISERROR(SEARCH(("기타"),(D114))))</formula>
    </cfRule>
    <cfRule type="containsText" dxfId="13746" priority="8812" operator="containsText" text="정규교과">
      <formula>NOT(ISERROR(SEARCH(("정규교과"),(D114))))</formula>
    </cfRule>
    <cfRule type="containsText" dxfId="13745" priority="8811" operator="containsText" text="프로젝트">
      <formula>NOT(ISERROR(SEARCH(("프로젝트"),(D114))))</formula>
    </cfRule>
    <cfRule type="containsText" dxfId="13744" priority="8804" operator="containsText" text="휴강">
      <formula>NOT(ISERROR(SEARCH(("휴강"),(D114))))</formula>
    </cfRule>
    <cfRule type="containsText" dxfId="13743" priority="8805" operator="containsText" text="프로젝트">
      <formula>NOT(ISERROR(SEARCH(("프로젝트"),(D114))))</formula>
    </cfRule>
    <cfRule type="containsText" dxfId="13742" priority="8806" operator="containsText" text="정규교과">
      <formula>NOT(ISERROR(SEARCH(("정규교과"),(D114))))</formula>
    </cfRule>
    <cfRule type="containsText" dxfId="13741" priority="8807" operator="containsText" text="기타">
      <formula>NOT(ISERROR(SEARCH(("기타"),(D114))))</formula>
    </cfRule>
    <cfRule type="containsText" dxfId="13740" priority="8808" operator="containsText" text="프로젝트">
      <formula>NOT(ISERROR(SEARCH(("프로젝트"),(D114))))</formula>
    </cfRule>
    <cfRule type="containsText" dxfId="13739" priority="8809" operator="containsText" text="정규교과">
      <formula>NOT(ISERROR(SEARCH(("정규교과"),(D114))))</formula>
    </cfRule>
    <cfRule type="containsText" dxfId="13738" priority="8810" operator="containsText" text="기타">
      <formula>NOT(ISERROR(SEARCH(("기타"),(D114))))</formula>
    </cfRule>
    <cfRule type="containsText" dxfId="13737" priority="8819" operator="containsText" text="기타">
      <formula>NOT(ISERROR(SEARCH(("기타"),(D114))))</formula>
    </cfRule>
    <cfRule type="containsText" dxfId="13736" priority="8818" operator="containsText" text="정규교과">
      <formula>NOT(ISERROR(SEARCH(("정규교과"),(D114))))</formula>
    </cfRule>
    <cfRule type="containsText" dxfId="13735" priority="8817" operator="containsText" text="프로젝트">
      <formula>NOT(ISERROR(SEARCH(("프로젝트"),(D114))))</formula>
    </cfRule>
    <cfRule type="containsText" dxfId="13734" priority="8816" operator="containsText" text="기타">
      <formula>NOT(ISERROR(SEARCH(("기타"),(D114))))</formula>
    </cfRule>
    <cfRule type="containsText" dxfId="13733" priority="8815" operator="containsText" text="정규교과">
      <formula>NOT(ISERROR(SEARCH(("정규교과"),(D114))))</formula>
    </cfRule>
    <cfRule type="containsText" dxfId="13732" priority="8814" operator="containsText" text="프로젝트">
      <formula>NOT(ISERROR(SEARCH(("프로젝트"),(D114))))</formula>
    </cfRule>
  </conditionalFormatting>
  <conditionalFormatting sqref="D118">
    <cfRule type="containsText" dxfId="13731" priority="8727" operator="containsText" text="기타">
      <formula>NOT(ISERROR(SEARCH(("기타"),(D118))))</formula>
    </cfRule>
    <cfRule type="containsText" dxfId="13730" priority="8734" operator="containsText" text="프로젝트">
      <formula>NOT(ISERROR(SEARCH(("프로젝트"),(D118))))</formula>
    </cfRule>
    <cfRule type="containsText" dxfId="13729" priority="8731" operator="containsText" text="프로젝트">
      <formula>NOT(ISERROR(SEARCH(("프로젝트"),(D118))))</formula>
    </cfRule>
    <cfRule type="containsText" dxfId="13728" priority="8739" operator="containsText" text="기타">
      <formula>NOT(ISERROR(SEARCH(("기타"),(D118))))</formula>
    </cfRule>
    <cfRule type="containsText" dxfId="13727" priority="8738" operator="containsText" text="정규교과">
      <formula>NOT(ISERROR(SEARCH(("정규교과"),(D118))))</formula>
    </cfRule>
    <cfRule type="containsText" dxfId="13726" priority="8737" operator="containsText" text="프로젝트">
      <formula>NOT(ISERROR(SEARCH(("프로젝트"),(D118))))</formula>
    </cfRule>
    <cfRule type="containsText" dxfId="13725" priority="8736" operator="containsText" text="기타">
      <formula>NOT(ISERROR(SEARCH(("기타"),(D118))))</formula>
    </cfRule>
    <cfRule type="containsText" dxfId="13724" priority="8735" operator="containsText" text="정규교과">
      <formula>NOT(ISERROR(SEARCH(("정규교과"),(D118))))</formula>
    </cfRule>
    <cfRule type="containsText" dxfId="13723" priority="8733" operator="containsText" text="기타">
      <formula>NOT(ISERROR(SEARCH(("기타"),(D118))))</formula>
    </cfRule>
    <cfRule type="containsText" dxfId="13722" priority="8732" operator="containsText" text="정규교과">
      <formula>NOT(ISERROR(SEARCH(("정규교과"),(D118))))</formula>
    </cfRule>
    <cfRule type="containsText" dxfId="13721" priority="8730" operator="containsText" text="기타">
      <formula>NOT(ISERROR(SEARCH(("기타"),(D118))))</formula>
    </cfRule>
    <cfRule type="containsText" dxfId="13720" priority="8729" operator="containsText" text="정규교과">
      <formula>NOT(ISERROR(SEARCH(("정규교과"),(D118))))</formula>
    </cfRule>
    <cfRule type="containsText" dxfId="13719" priority="8728" operator="containsText" text="프로젝트">
      <formula>NOT(ISERROR(SEARCH(("프로젝트"),(D118))))</formula>
    </cfRule>
    <cfRule type="containsText" dxfId="13718" priority="8726" operator="containsText" text="정규교과">
      <formula>NOT(ISERROR(SEARCH(("정규교과"),(D118))))</formula>
    </cfRule>
    <cfRule type="containsText" dxfId="13717" priority="8725" operator="containsText" text="프로젝트">
      <formula>NOT(ISERROR(SEARCH(("프로젝트"),(D118))))</formula>
    </cfRule>
    <cfRule type="containsText" dxfId="13716" priority="8724" operator="containsText" text="휴강">
      <formula>NOT(ISERROR(SEARCH(("휴강"),(D118))))</formula>
    </cfRule>
  </conditionalFormatting>
  <conditionalFormatting sqref="D123">
    <cfRule type="containsText" dxfId="13715" priority="8659" operator="containsText" text="기타">
      <formula>NOT(ISERROR(SEARCH(("기타"),(D123))))</formula>
    </cfRule>
    <cfRule type="containsText" dxfId="13714" priority="8646" operator="containsText" text="정규교과">
      <formula>NOT(ISERROR(SEARCH(("정규교과"),(D123))))</formula>
    </cfRule>
    <cfRule type="containsText" dxfId="13713" priority="8657" operator="containsText" text="프로젝트">
      <formula>NOT(ISERROR(SEARCH(("프로젝트"),(D123))))</formula>
    </cfRule>
    <cfRule type="containsText" dxfId="13712" priority="8653" operator="containsText" text="기타">
      <formula>NOT(ISERROR(SEARCH(("기타"),(D123))))</formula>
    </cfRule>
    <cfRule type="containsText" dxfId="13711" priority="8647" operator="containsText" text="기타">
      <formula>NOT(ISERROR(SEARCH(("기타"),(D123))))</formula>
    </cfRule>
    <cfRule type="containsText" dxfId="13710" priority="8654" operator="containsText" text="프로젝트">
      <formula>NOT(ISERROR(SEARCH(("프로젝트"),(D123))))</formula>
    </cfRule>
    <cfRule type="containsText" dxfId="13709" priority="8650" operator="containsText" text="기타">
      <formula>NOT(ISERROR(SEARCH(("기타"),(D123))))</formula>
    </cfRule>
    <cfRule type="containsText" dxfId="13708" priority="8648" operator="containsText" text="프로젝트">
      <formula>NOT(ISERROR(SEARCH(("프로젝트"),(D123))))</formula>
    </cfRule>
    <cfRule type="containsText" dxfId="13707" priority="8649" operator="containsText" text="정규교과">
      <formula>NOT(ISERROR(SEARCH(("정규교과"),(D123))))</formula>
    </cfRule>
    <cfRule type="containsText" dxfId="13706" priority="8651" operator="containsText" text="프로젝트">
      <formula>NOT(ISERROR(SEARCH(("프로젝트"),(D123))))</formula>
    </cfRule>
    <cfRule type="containsText" dxfId="13705" priority="8656" operator="containsText" text="기타">
      <formula>NOT(ISERROR(SEARCH(("기타"),(D123))))</formula>
    </cfRule>
    <cfRule type="containsText" dxfId="13704" priority="8658" operator="containsText" text="정규교과">
      <formula>NOT(ISERROR(SEARCH(("정규교과"),(D123))))</formula>
    </cfRule>
    <cfRule type="containsText" dxfId="13703" priority="8652" operator="containsText" text="정규교과">
      <formula>NOT(ISERROR(SEARCH(("정규교과"),(D123))))</formula>
    </cfRule>
    <cfRule type="containsText" dxfId="13702" priority="8655" operator="containsText" text="정규교과">
      <formula>NOT(ISERROR(SEARCH(("정규교과"),(D123))))</formula>
    </cfRule>
    <cfRule type="containsText" dxfId="13701" priority="8645" operator="containsText" text="프로젝트">
      <formula>NOT(ISERROR(SEARCH(("프로젝트"),(D123))))</formula>
    </cfRule>
    <cfRule type="containsText" dxfId="13700" priority="8644" operator="containsText" text="휴강">
      <formula>NOT(ISERROR(SEARCH(("휴강"),(D123))))</formula>
    </cfRule>
  </conditionalFormatting>
  <conditionalFormatting sqref="D127">
    <cfRule type="containsText" dxfId="13699" priority="8571" operator="containsText" text="프로젝트">
      <formula>NOT(ISERROR(SEARCH(("프로젝트"),(D127))))</formula>
    </cfRule>
    <cfRule type="containsText" dxfId="13698" priority="8572" operator="containsText" text="정규교과">
      <formula>NOT(ISERROR(SEARCH(("정규교과"),(D127))))</formula>
    </cfRule>
    <cfRule type="containsText" dxfId="13697" priority="8569" operator="containsText" text="정규교과">
      <formula>NOT(ISERROR(SEARCH(("정규교과"),(D127))))</formula>
    </cfRule>
    <cfRule type="containsText" dxfId="13696" priority="8568" operator="containsText" text="프로젝트">
      <formula>NOT(ISERROR(SEARCH(("프로젝트"),(D127))))</formula>
    </cfRule>
    <cfRule type="containsText" dxfId="13695" priority="8573" operator="containsText" text="기타">
      <formula>NOT(ISERROR(SEARCH(("기타"),(D127))))</formula>
    </cfRule>
    <cfRule type="containsText" dxfId="13694" priority="8574" operator="containsText" text="프로젝트">
      <formula>NOT(ISERROR(SEARCH(("프로젝트"),(D127))))</formula>
    </cfRule>
    <cfRule type="containsText" dxfId="13693" priority="8575" operator="containsText" text="정규교과">
      <formula>NOT(ISERROR(SEARCH(("정규교과"),(D127))))</formula>
    </cfRule>
    <cfRule type="containsText" dxfId="13692" priority="8567" operator="containsText" text="기타">
      <formula>NOT(ISERROR(SEARCH(("기타"),(D127))))</formula>
    </cfRule>
    <cfRule type="containsText" dxfId="13691" priority="8577" operator="containsText" text="프로젝트">
      <formula>NOT(ISERROR(SEARCH(("프로젝트"),(D127))))</formula>
    </cfRule>
    <cfRule type="containsText" dxfId="13690" priority="8565" operator="containsText" text="프로젝트">
      <formula>NOT(ISERROR(SEARCH(("프로젝트"),(D127))))</formula>
    </cfRule>
    <cfRule type="containsText" dxfId="13689" priority="8570" operator="containsText" text="기타">
      <formula>NOT(ISERROR(SEARCH(("기타"),(D127))))</formula>
    </cfRule>
    <cfRule type="containsText" dxfId="13688" priority="8564" operator="containsText" text="휴강">
      <formula>NOT(ISERROR(SEARCH(("휴강"),(D127))))</formula>
    </cfRule>
    <cfRule type="containsText" dxfId="13687" priority="8579" operator="containsText" text="기타">
      <formula>NOT(ISERROR(SEARCH(("기타"),(D127))))</formula>
    </cfRule>
    <cfRule type="containsText" dxfId="13686" priority="8566" operator="containsText" text="정규교과">
      <formula>NOT(ISERROR(SEARCH(("정규교과"),(D127))))</formula>
    </cfRule>
    <cfRule type="containsText" dxfId="13685" priority="8576" operator="containsText" text="기타">
      <formula>NOT(ISERROR(SEARCH(("기타"),(D127))))</formula>
    </cfRule>
    <cfRule type="containsText" dxfId="13684" priority="8578" operator="containsText" text="정규교과">
      <formula>NOT(ISERROR(SEARCH(("정규교과"),(D127))))</formula>
    </cfRule>
  </conditionalFormatting>
  <conditionalFormatting sqref="D131">
    <cfRule type="containsText" dxfId="13683" priority="8498" operator="containsText" text="정규교과">
      <formula>NOT(ISERROR(SEARCH(("정규교과"),(D131))))</formula>
    </cfRule>
    <cfRule type="containsText" dxfId="13682" priority="8490" operator="containsText" text="기타">
      <formula>NOT(ISERROR(SEARCH(("기타"),(D131))))</formula>
    </cfRule>
    <cfRule type="containsText" dxfId="13681" priority="8492" operator="containsText" text="정규교과">
      <formula>NOT(ISERROR(SEARCH(("정규교과"),(D131))))</formula>
    </cfRule>
    <cfRule type="containsText" dxfId="13680" priority="8493" operator="containsText" text="기타">
      <formula>NOT(ISERROR(SEARCH(("기타"),(D131))))</formula>
    </cfRule>
    <cfRule type="containsText" dxfId="13679" priority="8489" operator="containsText" text="정규교과">
      <formula>NOT(ISERROR(SEARCH(("정규교과"),(D131))))</formula>
    </cfRule>
    <cfRule type="containsText" dxfId="13678" priority="8494" operator="containsText" text="프로젝트">
      <formula>NOT(ISERROR(SEARCH(("프로젝트"),(D131))))</formula>
    </cfRule>
    <cfRule type="containsText" dxfId="13677" priority="8499" operator="containsText" text="기타">
      <formula>NOT(ISERROR(SEARCH(("기타"),(D131))))</formula>
    </cfRule>
    <cfRule type="containsText" dxfId="13676" priority="8496" operator="containsText" text="기타">
      <formula>NOT(ISERROR(SEARCH(("기타"),(D131))))</formula>
    </cfRule>
    <cfRule type="containsText" dxfId="13675" priority="8495" operator="containsText" text="정규교과">
      <formula>NOT(ISERROR(SEARCH(("정규교과"),(D131))))</formula>
    </cfRule>
    <cfRule type="containsText" dxfId="13674" priority="8491" operator="containsText" text="프로젝트">
      <formula>NOT(ISERROR(SEARCH(("프로젝트"),(D131))))</formula>
    </cfRule>
    <cfRule type="containsText" dxfId="13673" priority="8497" operator="containsText" text="프로젝트">
      <formula>NOT(ISERROR(SEARCH(("프로젝트"),(D131))))</formula>
    </cfRule>
    <cfRule type="containsText" dxfId="13672" priority="8488" operator="containsText" text="프로젝트">
      <formula>NOT(ISERROR(SEARCH(("프로젝트"),(D131))))</formula>
    </cfRule>
    <cfRule type="containsText" dxfId="13671" priority="8487" operator="containsText" text="기타">
      <formula>NOT(ISERROR(SEARCH(("기타"),(D131))))</formula>
    </cfRule>
    <cfRule type="containsText" dxfId="13670" priority="8486" operator="containsText" text="정규교과">
      <formula>NOT(ISERROR(SEARCH(("정규교과"),(D131))))</formula>
    </cfRule>
    <cfRule type="containsText" dxfId="13669" priority="8485" operator="containsText" text="프로젝트">
      <formula>NOT(ISERROR(SEARCH(("프로젝트"),(D131))))</formula>
    </cfRule>
    <cfRule type="containsText" dxfId="13668" priority="8484" operator="containsText" text="휴강">
      <formula>NOT(ISERROR(SEARCH(("휴강"),(D131))))</formula>
    </cfRule>
  </conditionalFormatting>
  <conditionalFormatting sqref="D135">
    <cfRule type="containsText" dxfId="13667" priority="8416" operator="containsText" text="기타">
      <formula>NOT(ISERROR(SEARCH(("기타"),(D135))))</formula>
    </cfRule>
    <cfRule type="containsText" dxfId="13666" priority="8419" operator="containsText" text="기타">
      <formula>NOT(ISERROR(SEARCH(("기타"),(D135))))</formula>
    </cfRule>
    <cfRule type="containsText" dxfId="13665" priority="8418" operator="containsText" text="정규교과">
      <formula>NOT(ISERROR(SEARCH(("정규교과"),(D135))))</formula>
    </cfRule>
    <cfRule type="containsText" dxfId="13664" priority="8417" operator="containsText" text="프로젝트">
      <formula>NOT(ISERROR(SEARCH(("프로젝트"),(D135))))</formula>
    </cfRule>
    <cfRule type="containsText" dxfId="13663" priority="8415" operator="containsText" text="정규교과">
      <formula>NOT(ISERROR(SEARCH(("정규교과"),(D135))))</formula>
    </cfRule>
    <cfRule type="containsText" dxfId="13662" priority="8414" operator="containsText" text="프로젝트">
      <formula>NOT(ISERROR(SEARCH(("프로젝트"),(D135))))</formula>
    </cfRule>
    <cfRule type="containsText" dxfId="13661" priority="8413" operator="containsText" text="기타">
      <formula>NOT(ISERROR(SEARCH(("기타"),(D135))))</formula>
    </cfRule>
    <cfRule type="containsText" dxfId="13660" priority="8412" operator="containsText" text="정규교과">
      <formula>NOT(ISERROR(SEARCH(("정규교과"),(D135))))</formula>
    </cfRule>
    <cfRule type="containsText" dxfId="13659" priority="8411" operator="containsText" text="프로젝트">
      <formula>NOT(ISERROR(SEARCH(("프로젝트"),(D135))))</formula>
    </cfRule>
    <cfRule type="containsText" dxfId="13658" priority="8410" operator="containsText" text="기타">
      <formula>NOT(ISERROR(SEARCH(("기타"),(D135))))</formula>
    </cfRule>
    <cfRule type="containsText" dxfId="13657" priority="8409" operator="containsText" text="정규교과">
      <formula>NOT(ISERROR(SEARCH(("정규교과"),(D135))))</formula>
    </cfRule>
    <cfRule type="containsText" dxfId="13656" priority="8408" operator="containsText" text="프로젝트">
      <formula>NOT(ISERROR(SEARCH(("프로젝트"),(D135))))</formula>
    </cfRule>
    <cfRule type="containsText" dxfId="13655" priority="8407" operator="containsText" text="기타">
      <formula>NOT(ISERROR(SEARCH(("기타"),(D135))))</formula>
    </cfRule>
    <cfRule type="containsText" dxfId="13654" priority="8406" operator="containsText" text="정규교과">
      <formula>NOT(ISERROR(SEARCH(("정규교과"),(D135))))</formula>
    </cfRule>
    <cfRule type="containsText" dxfId="13653" priority="8405" operator="containsText" text="프로젝트">
      <formula>NOT(ISERROR(SEARCH(("프로젝트"),(D135))))</formula>
    </cfRule>
    <cfRule type="containsText" dxfId="13652" priority="8404" operator="containsText" text="휴강">
      <formula>NOT(ISERROR(SEARCH(("휴강"),(D135))))</formula>
    </cfRule>
  </conditionalFormatting>
  <conditionalFormatting sqref="D139">
    <cfRule type="containsText" dxfId="13651" priority="8337" operator="containsText" text="프로젝트">
      <formula>NOT(ISERROR(SEARCH(("프로젝트"),(D139))))</formula>
    </cfRule>
    <cfRule type="containsText" dxfId="13650" priority="8325" operator="containsText" text="프로젝트">
      <formula>NOT(ISERROR(SEARCH(("프로젝트"),(D139))))</formula>
    </cfRule>
    <cfRule type="containsText" dxfId="13649" priority="8333" operator="containsText" text="기타">
      <formula>NOT(ISERROR(SEARCH(("기타"),(D139))))</formula>
    </cfRule>
    <cfRule type="containsText" dxfId="13648" priority="8332" operator="containsText" text="정규교과">
      <formula>NOT(ISERROR(SEARCH(("정규교과"),(D139))))</formula>
    </cfRule>
    <cfRule type="containsText" dxfId="13647" priority="8331" operator="containsText" text="프로젝트">
      <formula>NOT(ISERROR(SEARCH(("프로젝트"),(D139))))</formula>
    </cfRule>
    <cfRule type="containsText" dxfId="13646" priority="8334" operator="containsText" text="프로젝트">
      <formula>NOT(ISERROR(SEARCH(("프로젝트"),(D139))))</formula>
    </cfRule>
    <cfRule type="containsText" dxfId="13645" priority="8335" operator="containsText" text="정규교과">
      <formula>NOT(ISERROR(SEARCH(("정규교과"),(D139))))</formula>
    </cfRule>
    <cfRule type="containsText" dxfId="13644" priority="8336" operator="containsText" text="기타">
      <formula>NOT(ISERROR(SEARCH(("기타"),(D139))))</formula>
    </cfRule>
    <cfRule type="containsText" dxfId="13643" priority="8339" operator="containsText" text="기타">
      <formula>NOT(ISERROR(SEARCH(("기타"),(D139))))</formula>
    </cfRule>
    <cfRule type="containsText" dxfId="13642" priority="8326" operator="containsText" text="정규교과">
      <formula>NOT(ISERROR(SEARCH(("정규교과"),(D139))))</formula>
    </cfRule>
    <cfRule type="containsText" dxfId="13641" priority="8327" operator="containsText" text="기타">
      <formula>NOT(ISERROR(SEARCH(("기타"),(D139))))</formula>
    </cfRule>
    <cfRule type="containsText" dxfId="13640" priority="8328" operator="containsText" text="프로젝트">
      <formula>NOT(ISERROR(SEARCH(("프로젝트"),(D139))))</formula>
    </cfRule>
    <cfRule type="containsText" dxfId="13639" priority="8329" operator="containsText" text="정규교과">
      <formula>NOT(ISERROR(SEARCH(("정규교과"),(D139))))</formula>
    </cfRule>
    <cfRule type="containsText" dxfId="13638" priority="8338" operator="containsText" text="정규교과">
      <formula>NOT(ISERROR(SEARCH(("정규교과"),(D139))))</formula>
    </cfRule>
    <cfRule type="containsText" dxfId="13637" priority="8330" operator="containsText" text="기타">
      <formula>NOT(ISERROR(SEARCH(("기타"),(D139))))</formula>
    </cfRule>
    <cfRule type="containsText" dxfId="13636" priority="8324" operator="containsText" text="휴강">
      <formula>NOT(ISERROR(SEARCH(("휴강"),(D139))))</formula>
    </cfRule>
  </conditionalFormatting>
  <conditionalFormatting sqref="D145">
    <cfRule type="containsText" dxfId="13635" priority="6720" operator="containsText" text="휴강">
      <formula>NOT(ISERROR(SEARCH(("휴강"),(D145))))</formula>
    </cfRule>
    <cfRule type="containsText" dxfId="13634" priority="6728" operator="containsText" text="정규교과">
      <formula>NOT(ISERROR(SEARCH(("정규교과"),(D145))))</formula>
    </cfRule>
    <cfRule type="containsText" dxfId="13633" priority="6721" operator="containsText" text="프로젝트">
      <formula>NOT(ISERROR(SEARCH(("프로젝트"),(D145))))</formula>
    </cfRule>
    <cfRule type="containsText" dxfId="13632" priority="6722" operator="containsText" text="정규교과">
      <formula>NOT(ISERROR(SEARCH(("정규교과"),(D145))))</formula>
    </cfRule>
    <cfRule type="containsText" dxfId="13631" priority="6723" operator="containsText" text="기타">
      <formula>NOT(ISERROR(SEARCH(("기타"),(D145))))</formula>
    </cfRule>
    <cfRule type="containsText" dxfId="13630" priority="6724" operator="containsText" text="프로젝트">
      <formula>NOT(ISERROR(SEARCH(("프로젝트"),(D145))))</formula>
    </cfRule>
    <cfRule type="containsText" dxfId="13629" priority="6725" operator="containsText" text="정규교과">
      <formula>NOT(ISERROR(SEARCH(("정규교과"),(D145))))</formula>
    </cfRule>
    <cfRule type="containsText" dxfId="13628" priority="6726" operator="containsText" text="기타">
      <formula>NOT(ISERROR(SEARCH(("기타"),(D145))))</formula>
    </cfRule>
    <cfRule type="containsText" dxfId="13627" priority="6727" operator="containsText" text="프로젝트">
      <formula>NOT(ISERROR(SEARCH(("프로젝트"),(D145))))</formula>
    </cfRule>
    <cfRule type="containsText" dxfId="13626" priority="6729" operator="containsText" text="기타">
      <formula>NOT(ISERROR(SEARCH(("기타"),(D145))))</formula>
    </cfRule>
    <cfRule type="containsText" dxfId="13625" priority="6730" operator="containsText" text="프로젝트">
      <formula>NOT(ISERROR(SEARCH(("프로젝트"),(D145))))</formula>
    </cfRule>
    <cfRule type="containsText" dxfId="13624" priority="6731" operator="containsText" text="정규교과">
      <formula>NOT(ISERROR(SEARCH(("정규교과"),(D145))))</formula>
    </cfRule>
    <cfRule type="containsText" dxfId="13623" priority="6732" operator="containsText" text="기타">
      <formula>NOT(ISERROR(SEARCH(("기타"),(D145))))</formula>
    </cfRule>
    <cfRule type="containsText" dxfId="13622" priority="6733" operator="containsText" text="프로젝트">
      <formula>NOT(ISERROR(SEARCH(("프로젝트"),(D145))))</formula>
    </cfRule>
    <cfRule type="containsText" dxfId="13621" priority="6734" operator="containsText" text="정규교과">
      <formula>NOT(ISERROR(SEARCH(("정규교과"),(D145))))</formula>
    </cfRule>
    <cfRule type="containsText" dxfId="13620" priority="6735" operator="containsText" text="기타">
      <formula>NOT(ISERROR(SEARCH(("기타"),(D145))))</formula>
    </cfRule>
  </conditionalFormatting>
  <conditionalFormatting sqref="D149">
    <cfRule type="containsText" dxfId="13619" priority="6711" operator="containsText" text="프로젝트">
      <formula>NOT(ISERROR(SEARCH(("프로젝트"),(D149))))</formula>
    </cfRule>
    <cfRule type="containsText" dxfId="13618" priority="6710" operator="containsText" text="기타">
      <formula>NOT(ISERROR(SEARCH(("기타"),(D149))))</formula>
    </cfRule>
    <cfRule type="containsText" dxfId="13617" priority="6709" operator="containsText" text="정규교과">
      <formula>NOT(ISERROR(SEARCH(("정규교과"),(D149))))</formula>
    </cfRule>
    <cfRule type="containsText" dxfId="13616" priority="6716" operator="containsText" text="기타">
      <formula>NOT(ISERROR(SEARCH(("기타"),(D149))))</formula>
    </cfRule>
    <cfRule type="containsText" dxfId="13615" priority="6708" operator="containsText" text="프로젝트">
      <formula>NOT(ISERROR(SEARCH(("프로젝트"),(D149))))</formula>
    </cfRule>
    <cfRule type="containsText" dxfId="13614" priority="6707" operator="containsText" text="기타">
      <formula>NOT(ISERROR(SEARCH(("기타"),(D149))))</formula>
    </cfRule>
    <cfRule type="containsText" dxfId="13613" priority="6706" operator="containsText" text="정규교과">
      <formula>NOT(ISERROR(SEARCH(("정규교과"),(D149))))</formula>
    </cfRule>
    <cfRule type="containsText" dxfId="13612" priority="6705" operator="containsText" text="프로젝트">
      <formula>NOT(ISERROR(SEARCH(("프로젝트"),(D149))))</formula>
    </cfRule>
    <cfRule type="containsText" dxfId="13611" priority="6715" operator="containsText" text="정규교과">
      <formula>NOT(ISERROR(SEARCH(("정규교과"),(D149))))</formula>
    </cfRule>
    <cfRule type="containsText" dxfId="13610" priority="6704" operator="containsText" text="휴강">
      <formula>NOT(ISERROR(SEARCH(("휴강"),(D149))))</formula>
    </cfRule>
    <cfRule type="containsText" dxfId="13609" priority="6713" operator="containsText" text="기타">
      <formula>NOT(ISERROR(SEARCH(("기타"),(D149))))</formula>
    </cfRule>
    <cfRule type="containsText" dxfId="13608" priority="6712" operator="containsText" text="정규교과">
      <formula>NOT(ISERROR(SEARCH(("정규교과"),(D149))))</formula>
    </cfRule>
    <cfRule type="containsText" dxfId="13607" priority="6714" operator="containsText" text="프로젝트">
      <formula>NOT(ISERROR(SEARCH(("프로젝트"),(D149))))</formula>
    </cfRule>
    <cfRule type="containsText" dxfId="13606" priority="6719" operator="containsText" text="기타">
      <formula>NOT(ISERROR(SEARCH(("기타"),(D149))))</formula>
    </cfRule>
    <cfRule type="containsText" dxfId="13605" priority="6718" operator="containsText" text="정규교과">
      <formula>NOT(ISERROR(SEARCH(("정규교과"),(D149))))</formula>
    </cfRule>
    <cfRule type="containsText" dxfId="13604" priority="6717" operator="containsText" text="프로젝트">
      <formula>NOT(ISERROR(SEARCH(("프로젝트"),(D149))))</formula>
    </cfRule>
  </conditionalFormatting>
  <conditionalFormatting sqref="D153">
    <cfRule type="containsText" dxfId="13603" priority="6691" operator="containsText" text="기타">
      <formula>NOT(ISERROR(SEARCH(("기타"),(D153))))</formula>
    </cfRule>
    <cfRule type="containsText" dxfId="13602" priority="6703" operator="containsText" text="기타">
      <formula>NOT(ISERROR(SEARCH(("기타"),(D153))))</formula>
    </cfRule>
    <cfRule type="containsText" dxfId="13601" priority="6702" operator="containsText" text="정규교과">
      <formula>NOT(ISERROR(SEARCH(("정규교과"),(D153))))</formula>
    </cfRule>
    <cfRule type="containsText" dxfId="13600" priority="6701" operator="containsText" text="프로젝트">
      <formula>NOT(ISERROR(SEARCH(("프로젝트"),(D153))))</formula>
    </cfRule>
    <cfRule type="containsText" dxfId="13599" priority="6700" operator="containsText" text="기타">
      <formula>NOT(ISERROR(SEARCH(("기타"),(D153))))</formula>
    </cfRule>
    <cfRule type="containsText" dxfId="13598" priority="6699" operator="containsText" text="정규교과">
      <formula>NOT(ISERROR(SEARCH(("정규교과"),(D153))))</formula>
    </cfRule>
    <cfRule type="containsText" dxfId="13597" priority="6698" operator="containsText" text="프로젝트">
      <formula>NOT(ISERROR(SEARCH(("프로젝트"),(D153))))</formula>
    </cfRule>
    <cfRule type="containsText" dxfId="13596" priority="6697" operator="containsText" text="기타">
      <formula>NOT(ISERROR(SEARCH(("기타"),(D153))))</formula>
    </cfRule>
    <cfRule type="containsText" dxfId="13595" priority="6696" operator="containsText" text="정규교과">
      <formula>NOT(ISERROR(SEARCH(("정규교과"),(D153))))</formula>
    </cfRule>
    <cfRule type="containsText" dxfId="13594" priority="6695" operator="containsText" text="프로젝트">
      <formula>NOT(ISERROR(SEARCH(("프로젝트"),(D153))))</formula>
    </cfRule>
    <cfRule type="containsText" dxfId="13593" priority="6694" operator="containsText" text="기타">
      <formula>NOT(ISERROR(SEARCH(("기타"),(D153))))</formula>
    </cfRule>
    <cfRule type="containsText" dxfId="13592" priority="6693" operator="containsText" text="정규교과">
      <formula>NOT(ISERROR(SEARCH(("정규교과"),(D153))))</formula>
    </cfRule>
    <cfRule type="containsText" dxfId="13591" priority="6692" operator="containsText" text="프로젝트">
      <formula>NOT(ISERROR(SEARCH(("프로젝트"),(D153))))</formula>
    </cfRule>
    <cfRule type="containsText" dxfId="13590" priority="6688" operator="containsText" text="휴강">
      <formula>NOT(ISERROR(SEARCH(("휴강"),(D153))))</formula>
    </cfRule>
    <cfRule type="containsText" dxfId="13589" priority="6689" operator="containsText" text="프로젝트">
      <formula>NOT(ISERROR(SEARCH(("프로젝트"),(D153))))</formula>
    </cfRule>
    <cfRule type="containsText" dxfId="13588" priority="6690" operator="containsText" text="정규교과">
      <formula>NOT(ISERROR(SEARCH(("정규교과"),(D153))))</formula>
    </cfRule>
  </conditionalFormatting>
  <conditionalFormatting sqref="D158">
    <cfRule type="containsText" dxfId="13587" priority="6684" operator="containsText" text="기타">
      <formula>NOT(ISERROR(SEARCH(("기타"),(D158))))</formula>
    </cfRule>
    <cfRule type="containsText" dxfId="13586" priority="6687" operator="containsText" text="기타">
      <formula>NOT(ISERROR(SEARCH(("기타"),(D158))))</formula>
    </cfRule>
    <cfRule type="containsText" dxfId="13585" priority="6686" operator="containsText" text="정규교과">
      <formula>NOT(ISERROR(SEARCH(("정규교과"),(D158))))</formula>
    </cfRule>
    <cfRule type="containsText" dxfId="13584" priority="6685" operator="containsText" text="프로젝트">
      <formula>NOT(ISERROR(SEARCH(("프로젝트"),(D158))))</formula>
    </cfRule>
    <cfRule type="containsText" dxfId="13583" priority="6683" operator="containsText" text="정규교과">
      <formula>NOT(ISERROR(SEARCH(("정규교과"),(D158))))</formula>
    </cfRule>
    <cfRule type="containsText" dxfId="13582" priority="6682" operator="containsText" text="프로젝트">
      <formula>NOT(ISERROR(SEARCH(("프로젝트"),(D158))))</formula>
    </cfRule>
    <cfRule type="containsText" dxfId="13581" priority="6681" operator="containsText" text="기타">
      <formula>NOT(ISERROR(SEARCH(("기타"),(D158))))</formula>
    </cfRule>
    <cfRule type="containsText" dxfId="13580" priority="6680" operator="containsText" text="정규교과">
      <formula>NOT(ISERROR(SEARCH(("정규교과"),(D158))))</formula>
    </cfRule>
    <cfRule type="containsText" dxfId="13579" priority="6679" operator="containsText" text="프로젝트">
      <formula>NOT(ISERROR(SEARCH(("프로젝트"),(D158))))</formula>
    </cfRule>
    <cfRule type="containsText" dxfId="13578" priority="6678" operator="containsText" text="기타">
      <formula>NOT(ISERROR(SEARCH(("기타"),(D158))))</formula>
    </cfRule>
    <cfRule type="containsText" dxfId="13577" priority="6677" operator="containsText" text="정규교과">
      <formula>NOT(ISERROR(SEARCH(("정규교과"),(D158))))</formula>
    </cfRule>
    <cfRule type="containsText" dxfId="13576" priority="6676" operator="containsText" text="프로젝트">
      <formula>NOT(ISERROR(SEARCH(("프로젝트"),(D158))))</formula>
    </cfRule>
    <cfRule type="containsText" dxfId="13575" priority="6675" operator="containsText" text="기타">
      <formula>NOT(ISERROR(SEARCH(("기타"),(D158))))</formula>
    </cfRule>
    <cfRule type="containsText" dxfId="13574" priority="6674" operator="containsText" text="정규교과">
      <formula>NOT(ISERROR(SEARCH(("정규교과"),(D158))))</formula>
    </cfRule>
    <cfRule type="containsText" dxfId="13573" priority="6673" operator="containsText" text="프로젝트">
      <formula>NOT(ISERROR(SEARCH(("프로젝트"),(D158))))</formula>
    </cfRule>
    <cfRule type="containsText" dxfId="13572" priority="6672" operator="containsText" text="휴강">
      <formula>NOT(ISERROR(SEARCH(("휴강"),(D158))))</formula>
    </cfRule>
  </conditionalFormatting>
  <conditionalFormatting sqref="D162">
    <cfRule type="containsText" dxfId="13571" priority="6671" operator="containsText" text="기타">
      <formula>NOT(ISERROR(SEARCH(("기타"),(D162))))</formula>
    </cfRule>
    <cfRule type="containsText" dxfId="13570" priority="6656" operator="containsText" text="휴강">
      <formula>NOT(ISERROR(SEARCH(("휴강"),(D162))))</formula>
    </cfRule>
    <cfRule type="containsText" dxfId="13569" priority="6657" operator="containsText" text="프로젝트">
      <formula>NOT(ISERROR(SEARCH(("프로젝트"),(D162))))</formula>
    </cfRule>
    <cfRule type="containsText" dxfId="13568" priority="6658" operator="containsText" text="정규교과">
      <formula>NOT(ISERROR(SEARCH(("정규교과"),(D162))))</formula>
    </cfRule>
    <cfRule type="containsText" dxfId="13567" priority="6659" operator="containsText" text="기타">
      <formula>NOT(ISERROR(SEARCH(("기타"),(D162))))</formula>
    </cfRule>
    <cfRule type="containsText" dxfId="13566" priority="6660" operator="containsText" text="프로젝트">
      <formula>NOT(ISERROR(SEARCH(("프로젝트"),(D162))))</formula>
    </cfRule>
    <cfRule type="containsText" dxfId="13565" priority="6661" operator="containsText" text="정규교과">
      <formula>NOT(ISERROR(SEARCH(("정규교과"),(D162))))</formula>
    </cfRule>
    <cfRule type="containsText" dxfId="13564" priority="6662" operator="containsText" text="기타">
      <formula>NOT(ISERROR(SEARCH(("기타"),(D162))))</formula>
    </cfRule>
    <cfRule type="containsText" dxfId="13563" priority="6663" operator="containsText" text="프로젝트">
      <formula>NOT(ISERROR(SEARCH(("프로젝트"),(D162))))</formula>
    </cfRule>
    <cfRule type="containsText" dxfId="13562" priority="6664" operator="containsText" text="정규교과">
      <formula>NOT(ISERROR(SEARCH(("정규교과"),(D162))))</formula>
    </cfRule>
    <cfRule type="containsText" dxfId="13561" priority="6665" operator="containsText" text="기타">
      <formula>NOT(ISERROR(SEARCH(("기타"),(D162))))</formula>
    </cfRule>
    <cfRule type="containsText" dxfId="13560" priority="6666" operator="containsText" text="프로젝트">
      <formula>NOT(ISERROR(SEARCH(("프로젝트"),(D162))))</formula>
    </cfRule>
    <cfRule type="containsText" dxfId="13559" priority="6667" operator="containsText" text="정규교과">
      <formula>NOT(ISERROR(SEARCH(("정규교과"),(D162))))</formula>
    </cfRule>
    <cfRule type="containsText" dxfId="13558" priority="6668" operator="containsText" text="기타">
      <formula>NOT(ISERROR(SEARCH(("기타"),(D162))))</formula>
    </cfRule>
    <cfRule type="containsText" dxfId="13557" priority="6669" operator="containsText" text="프로젝트">
      <formula>NOT(ISERROR(SEARCH(("프로젝트"),(D162))))</formula>
    </cfRule>
    <cfRule type="containsText" dxfId="13556" priority="6670" operator="containsText" text="정규교과">
      <formula>NOT(ISERROR(SEARCH(("정규교과"),(D162))))</formula>
    </cfRule>
  </conditionalFormatting>
  <conditionalFormatting sqref="D166">
    <cfRule type="containsText" dxfId="13555" priority="6640" operator="containsText" text="휴강">
      <formula>NOT(ISERROR(SEARCH(("휴강"),(D166))))</formula>
    </cfRule>
    <cfRule type="containsText" dxfId="13554" priority="6641" operator="containsText" text="프로젝트">
      <formula>NOT(ISERROR(SEARCH(("프로젝트"),(D166))))</formula>
    </cfRule>
    <cfRule type="containsText" dxfId="13553" priority="6642" operator="containsText" text="정규교과">
      <formula>NOT(ISERROR(SEARCH(("정규교과"),(D166))))</formula>
    </cfRule>
    <cfRule type="containsText" dxfId="13552" priority="6643" operator="containsText" text="기타">
      <formula>NOT(ISERROR(SEARCH(("기타"),(D166))))</formula>
    </cfRule>
    <cfRule type="containsText" dxfId="13551" priority="6645" operator="containsText" text="정규교과">
      <formula>NOT(ISERROR(SEARCH(("정규교과"),(D166))))</formula>
    </cfRule>
    <cfRule type="containsText" dxfId="13550" priority="6646" operator="containsText" text="기타">
      <formula>NOT(ISERROR(SEARCH(("기타"),(D166))))</formula>
    </cfRule>
    <cfRule type="containsText" dxfId="13549" priority="6647" operator="containsText" text="프로젝트">
      <formula>NOT(ISERROR(SEARCH(("프로젝트"),(D166))))</formula>
    </cfRule>
    <cfRule type="containsText" dxfId="13548" priority="6644" operator="containsText" text="프로젝트">
      <formula>NOT(ISERROR(SEARCH(("프로젝트"),(D166))))</formula>
    </cfRule>
    <cfRule type="containsText" dxfId="13547" priority="6648" operator="containsText" text="정규교과">
      <formula>NOT(ISERROR(SEARCH(("정규교과"),(D166))))</formula>
    </cfRule>
    <cfRule type="containsText" dxfId="13546" priority="6649" operator="containsText" text="기타">
      <formula>NOT(ISERROR(SEARCH(("기타"),(D166))))</formula>
    </cfRule>
    <cfRule type="containsText" dxfId="13545" priority="6650" operator="containsText" text="프로젝트">
      <formula>NOT(ISERROR(SEARCH(("프로젝트"),(D166))))</formula>
    </cfRule>
    <cfRule type="containsText" dxfId="13544" priority="6651" operator="containsText" text="정규교과">
      <formula>NOT(ISERROR(SEARCH(("정규교과"),(D166))))</formula>
    </cfRule>
    <cfRule type="containsText" dxfId="13543" priority="6652" operator="containsText" text="기타">
      <formula>NOT(ISERROR(SEARCH(("기타"),(D166))))</formula>
    </cfRule>
    <cfRule type="containsText" dxfId="13542" priority="6653" operator="containsText" text="프로젝트">
      <formula>NOT(ISERROR(SEARCH(("프로젝트"),(D166))))</formula>
    </cfRule>
    <cfRule type="containsText" dxfId="13541" priority="6654" operator="containsText" text="정규교과">
      <formula>NOT(ISERROR(SEARCH(("정규교과"),(D166))))</formula>
    </cfRule>
    <cfRule type="containsText" dxfId="13540" priority="6655" operator="containsText" text="기타">
      <formula>NOT(ISERROR(SEARCH(("기타"),(D166))))</formula>
    </cfRule>
  </conditionalFormatting>
  <conditionalFormatting sqref="D170">
    <cfRule type="containsText" dxfId="13539" priority="6635" operator="containsText" text="정규교과">
      <formula>NOT(ISERROR(SEARCH(("정규교과"),(D170))))</formula>
    </cfRule>
    <cfRule type="containsText" dxfId="13538" priority="6624" operator="containsText" text="휴강">
      <formula>NOT(ISERROR(SEARCH(("휴강"),(D170))))</formula>
    </cfRule>
    <cfRule type="containsText" dxfId="13537" priority="6625" operator="containsText" text="프로젝트">
      <formula>NOT(ISERROR(SEARCH(("프로젝트"),(D170))))</formula>
    </cfRule>
    <cfRule type="containsText" dxfId="13536" priority="6626" operator="containsText" text="정규교과">
      <formula>NOT(ISERROR(SEARCH(("정규교과"),(D170))))</formula>
    </cfRule>
    <cfRule type="containsText" dxfId="13535" priority="6629" operator="containsText" text="정규교과">
      <formula>NOT(ISERROR(SEARCH(("정규교과"),(D170))))</formula>
    </cfRule>
    <cfRule type="containsText" dxfId="13534" priority="6639" operator="containsText" text="기타">
      <formula>NOT(ISERROR(SEARCH(("기타"),(D170))))</formula>
    </cfRule>
    <cfRule type="containsText" dxfId="13533" priority="6638" operator="containsText" text="정규교과">
      <formula>NOT(ISERROR(SEARCH(("정규교과"),(D170))))</formula>
    </cfRule>
    <cfRule type="containsText" dxfId="13532" priority="6637" operator="containsText" text="프로젝트">
      <formula>NOT(ISERROR(SEARCH(("프로젝트"),(D170))))</formula>
    </cfRule>
    <cfRule type="containsText" dxfId="13531" priority="6636" operator="containsText" text="기타">
      <formula>NOT(ISERROR(SEARCH(("기타"),(D170))))</formula>
    </cfRule>
    <cfRule type="containsText" dxfId="13530" priority="6627" operator="containsText" text="기타">
      <formula>NOT(ISERROR(SEARCH(("기타"),(D170))))</formula>
    </cfRule>
    <cfRule type="containsText" dxfId="13529" priority="6634" operator="containsText" text="프로젝트">
      <formula>NOT(ISERROR(SEARCH(("프로젝트"),(D170))))</formula>
    </cfRule>
    <cfRule type="containsText" dxfId="13528" priority="6633" operator="containsText" text="기타">
      <formula>NOT(ISERROR(SEARCH(("기타"),(D170))))</formula>
    </cfRule>
    <cfRule type="containsText" dxfId="13527" priority="6632" operator="containsText" text="정규교과">
      <formula>NOT(ISERROR(SEARCH(("정규교과"),(D170))))</formula>
    </cfRule>
    <cfRule type="containsText" dxfId="13526" priority="6631" operator="containsText" text="프로젝트">
      <formula>NOT(ISERROR(SEARCH(("프로젝트"),(D170))))</formula>
    </cfRule>
    <cfRule type="containsText" dxfId="13525" priority="6630" operator="containsText" text="기타">
      <formula>NOT(ISERROR(SEARCH(("기타"),(D170))))</formula>
    </cfRule>
    <cfRule type="containsText" dxfId="13524" priority="6628" operator="containsText" text="프로젝트">
      <formula>NOT(ISERROR(SEARCH(("프로젝트"),(D170))))</formula>
    </cfRule>
  </conditionalFormatting>
  <conditionalFormatting sqref="D174">
    <cfRule type="containsText" dxfId="13523" priority="6609" operator="containsText" text="프로젝트">
      <formula>NOT(ISERROR(SEARCH(("프로젝트"),(D174))))</formula>
    </cfRule>
    <cfRule type="containsText" dxfId="13522" priority="6610" operator="containsText" text="정규교과">
      <formula>NOT(ISERROR(SEARCH(("정규교과"),(D174))))</formula>
    </cfRule>
    <cfRule type="containsText" dxfId="13521" priority="6611" operator="containsText" text="기타">
      <formula>NOT(ISERROR(SEARCH(("기타"),(D174))))</formula>
    </cfRule>
    <cfRule type="containsText" dxfId="13520" priority="6618" operator="containsText" text="프로젝트">
      <formula>NOT(ISERROR(SEARCH(("프로젝트"),(D174))))</formula>
    </cfRule>
    <cfRule type="containsText" dxfId="13519" priority="6619" operator="containsText" text="정규교과">
      <formula>NOT(ISERROR(SEARCH(("정규교과"),(D174))))</formula>
    </cfRule>
    <cfRule type="containsText" dxfId="13518" priority="6620" operator="containsText" text="기타">
      <formula>NOT(ISERROR(SEARCH(("기타"),(D174))))</formula>
    </cfRule>
    <cfRule type="containsText" dxfId="13517" priority="6621" operator="containsText" text="프로젝트">
      <formula>NOT(ISERROR(SEARCH(("프로젝트"),(D174))))</formula>
    </cfRule>
    <cfRule type="containsText" dxfId="13516" priority="6612" operator="containsText" text="프로젝트">
      <formula>NOT(ISERROR(SEARCH(("프로젝트"),(D174))))</formula>
    </cfRule>
    <cfRule type="containsText" dxfId="13515" priority="6622" operator="containsText" text="정규교과">
      <formula>NOT(ISERROR(SEARCH(("정규교과"),(D174))))</formula>
    </cfRule>
    <cfRule type="containsText" dxfId="13514" priority="6623" operator="containsText" text="기타">
      <formula>NOT(ISERROR(SEARCH(("기타"),(D174))))</formula>
    </cfRule>
    <cfRule type="containsText" dxfId="13513" priority="6614" operator="containsText" text="기타">
      <formula>NOT(ISERROR(SEARCH(("기타"),(D174))))</formula>
    </cfRule>
    <cfRule type="containsText" dxfId="13512" priority="6615" operator="containsText" text="프로젝트">
      <formula>NOT(ISERROR(SEARCH(("프로젝트"),(D174))))</formula>
    </cfRule>
    <cfRule type="containsText" dxfId="13511" priority="6616" operator="containsText" text="정규교과">
      <formula>NOT(ISERROR(SEARCH(("정규교과"),(D174))))</formula>
    </cfRule>
    <cfRule type="containsText" dxfId="13510" priority="6608" operator="containsText" text="휴강">
      <formula>NOT(ISERROR(SEARCH(("휴강"),(D174))))</formula>
    </cfRule>
    <cfRule type="containsText" dxfId="13509" priority="6617" operator="containsText" text="기타">
      <formula>NOT(ISERROR(SEARCH(("기타"),(D174))))</formula>
    </cfRule>
    <cfRule type="containsText" dxfId="13508" priority="6613" operator="containsText" text="정규교과">
      <formula>NOT(ISERROR(SEARCH(("정규교과"),(D174))))</formula>
    </cfRule>
  </conditionalFormatting>
  <conditionalFormatting sqref="D180">
    <cfRule type="containsText" dxfId="13507" priority="5835" operator="containsText" text="정규교과">
      <formula>NOT(ISERROR(SEARCH(("정규교과"),(D180))))</formula>
    </cfRule>
    <cfRule type="containsText" dxfId="13506" priority="5824" operator="containsText" text="휴강">
      <formula>NOT(ISERROR(SEARCH(("휴강"),(D180))))</formula>
    </cfRule>
    <cfRule type="containsText" dxfId="13505" priority="5825" operator="containsText" text="프로젝트">
      <formula>NOT(ISERROR(SEARCH(("프로젝트"),(D180))))</formula>
    </cfRule>
    <cfRule type="containsText" dxfId="13504" priority="5826" operator="containsText" text="정규교과">
      <formula>NOT(ISERROR(SEARCH(("정규교과"),(D180))))</formula>
    </cfRule>
    <cfRule type="containsText" dxfId="13503" priority="5827" operator="containsText" text="기타">
      <formula>NOT(ISERROR(SEARCH(("기타"),(D180))))</formula>
    </cfRule>
    <cfRule type="containsText" dxfId="13502" priority="5828" operator="containsText" text="프로젝트">
      <formula>NOT(ISERROR(SEARCH(("프로젝트"),(D180))))</formula>
    </cfRule>
    <cfRule type="containsText" dxfId="13501" priority="5829" operator="containsText" text="정규교과">
      <formula>NOT(ISERROR(SEARCH(("정규교과"),(D180))))</formula>
    </cfRule>
    <cfRule type="containsText" dxfId="13500" priority="5830" operator="containsText" text="기타">
      <formula>NOT(ISERROR(SEARCH(("기타"),(D180))))</formula>
    </cfRule>
    <cfRule type="containsText" dxfId="13499" priority="5831" operator="containsText" text="프로젝트">
      <formula>NOT(ISERROR(SEARCH(("프로젝트"),(D180))))</formula>
    </cfRule>
    <cfRule type="containsText" dxfId="13498" priority="5833" operator="containsText" text="기타">
      <formula>NOT(ISERROR(SEARCH(("기타"),(D180))))</formula>
    </cfRule>
    <cfRule type="containsText" dxfId="13497" priority="5832" operator="containsText" text="정규교과">
      <formula>NOT(ISERROR(SEARCH(("정규교과"),(D180))))</formula>
    </cfRule>
    <cfRule type="containsText" dxfId="13496" priority="5839" operator="containsText" text="기타">
      <formula>NOT(ISERROR(SEARCH(("기타"),(D180))))</formula>
    </cfRule>
    <cfRule type="containsText" dxfId="13495" priority="5838" operator="containsText" text="정규교과">
      <formula>NOT(ISERROR(SEARCH(("정규교과"),(D180))))</formula>
    </cfRule>
    <cfRule type="containsText" dxfId="13494" priority="5837" operator="containsText" text="프로젝트">
      <formula>NOT(ISERROR(SEARCH(("프로젝트"),(D180))))</formula>
    </cfRule>
    <cfRule type="containsText" dxfId="13493" priority="5836" operator="containsText" text="기타">
      <formula>NOT(ISERROR(SEARCH(("기타"),(D180))))</formula>
    </cfRule>
    <cfRule type="containsText" dxfId="13492" priority="5834" operator="containsText" text="프로젝트">
      <formula>NOT(ISERROR(SEARCH(("프로젝트"),(D180))))</formula>
    </cfRule>
  </conditionalFormatting>
  <conditionalFormatting sqref="D184">
    <cfRule type="containsText" dxfId="13491" priority="5781" operator="containsText" text="정규교과">
      <formula>NOT(ISERROR(SEARCH(("정규교과"),(D184))))</formula>
    </cfRule>
    <cfRule type="containsText" dxfId="13490" priority="5791" operator="containsText" text="기타">
      <formula>NOT(ISERROR(SEARCH(("기타"),(D184))))</formula>
    </cfRule>
    <cfRule type="containsText" dxfId="13489" priority="5790" operator="containsText" text="정규교과">
      <formula>NOT(ISERROR(SEARCH(("정규교과"),(D184))))</formula>
    </cfRule>
    <cfRule type="containsText" dxfId="13488" priority="5789" operator="containsText" text="프로젝트">
      <formula>NOT(ISERROR(SEARCH(("프로젝트"),(D184))))</formula>
    </cfRule>
    <cfRule type="containsText" dxfId="13487" priority="5788" operator="containsText" text="기타">
      <formula>NOT(ISERROR(SEARCH(("기타"),(D184))))</formula>
    </cfRule>
    <cfRule type="containsText" dxfId="13486" priority="5787" operator="containsText" text="정규교과">
      <formula>NOT(ISERROR(SEARCH(("정규교과"),(D184))))</formula>
    </cfRule>
    <cfRule type="containsText" dxfId="13485" priority="5786" operator="containsText" text="프로젝트">
      <formula>NOT(ISERROR(SEARCH(("프로젝트"),(D184))))</formula>
    </cfRule>
    <cfRule type="containsText" dxfId="13484" priority="5785" operator="containsText" text="기타">
      <formula>NOT(ISERROR(SEARCH(("기타"),(D184))))</formula>
    </cfRule>
    <cfRule type="containsText" dxfId="13483" priority="5784" operator="containsText" text="정규교과">
      <formula>NOT(ISERROR(SEARCH(("정규교과"),(D184))))</formula>
    </cfRule>
    <cfRule type="containsText" dxfId="13482" priority="5783" operator="containsText" text="프로젝트">
      <formula>NOT(ISERROR(SEARCH(("프로젝트"),(D184))))</formula>
    </cfRule>
    <cfRule type="containsText" dxfId="13481" priority="5782" operator="containsText" text="기타">
      <formula>NOT(ISERROR(SEARCH(("기타"),(D184))))</formula>
    </cfRule>
    <cfRule type="containsText" dxfId="13480" priority="5780" operator="containsText" text="프로젝트">
      <formula>NOT(ISERROR(SEARCH(("프로젝트"),(D184))))</formula>
    </cfRule>
    <cfRule type="containsText" dxfId="13479" priority="5779" operator="containsText" text="기타">
      <formula>NOT(ISERROR(SEARCH(("기타"),(D184))))</formula>
    </cfRule>
    <cfRule type="containsText" dxfId="13478" priority="5778" operator="containsText" text="정규교과">
      <formula>NOT(ISERROR(SEARCH(("정규교과"),(D184))))</formula>
    </cfRule>
    <cfRule type="containsText" dxfId="13477" priority="5777" operator="containsText" text="프로젝트">
      <formula>NOT(ISERROR(SEARCH(("프로젝트"),(D184))))</formula>
    </cfRule>
    <cfRule type="containsText" dxfId="13476" priority="5776" operator="containsText" text="휴강">
      <formula>NOT(ISERROR(SEARCH(("휴강"),(D184))))</formula>
    </cfRule>
  </conditionalFormatting>
  <conditionalFormatting sqref="D188">
    <cfRule type="containsText" dxfId="13475" priority="5773" operator="containsText" text="프로젝트">
      <formula>NOT(ISERROR(SEARCH(("프로젝트"),(D188))))</formula>
    </cfRule>
    <cfRule type="containsText" dxfId="13474" priority="5768" operator="containsText" text="정규교과">
      <formula>NOT(ISERROR(SEARCH(("정규교과"),(D188))))</formula>
    </cfRule>
    <cfRule type="containsText" dxfId="13473" priority="5767" operator="containsText" text="프로젝트">
      <formula>NOT(ISERROR(SEARCH(("프로젝트"),(D188))))</formula>
    </cfRule>
    <cfRule type="containsText" dxfId="13472" priority="5766" operator="containsText" text="기타">
      <formula>NOT(ISERROR(SEARCH(("기타"),(D188))))</formula>
    </cfRule>
    <cfRule type="containsText" dxfId="13471" priority="5760" operator="containsText" text="휴강">
      <formula>NOT(ISERROR(SEARCH(("휴강"),(D188))))</formula>
    </cfRule>
    <cfRule type="containsText" dxfId="13470" priority="5765" operator="containsText" text="정규교과">
      <formula>NOT(ISERROR(SEARCH(("정규교과"),(D188))))</formula>
    </cfRule>
    <cfRule type="containsText" dxfId="13469" priority="5775" operator="containsText" text="기타">
      <formula>NOT(ISERROR(SEARCH(("기타"),(D188))))</formula>
    </cfRule>
    <cfRule type="containsText" dxfId="13468" priority="5764" operator="containsText" text="프로젝트">
      <formula>NOT(ISERROR(SEARCH(("프로젝트"),(D188))))</formula>
    </cfRule>
    <cfRule type="containsText" dxfId="13467" priority="5763" operator="containsText" text="기타">
      <formula>NOT(ISERROR(SEARCH(("기타"),(D188))))</formula>
    </cfRule>
    <cfRule type="containsText" dxfId="13466" priority="5761" operator="containsText" text="프로젝트">
      <formula>NOT(ISERROR(SEARCH(("프로젝트"),(D188))))</formula>
    </cfRule>
    <cfRule type="containsText" dxfId="13465" priority="5774" operator="containsText" text="정규교과">
      <formula>NOT(ISERROR(SEARCH(("정규교과"),(D188))))</formula>
    </cfRule>
    <cfRule type="containsText" dxfId="13464" priority="5762" operator="containsText" text="정규교과">
      <formula>NOT(ISERROR(SEARCH(("정규교과"),(D188))))</formula>
    </cfRule>
    <cfRule type="containsText" dxfId="13463" priority="5772" operator="containsText" text="기타">
      <formula>NOT(ISERROR(SEARCH(("기타"),(D188))))</formula>
    </cfRule>
    <cfRule type="containsText" dxfId="13462" priority="5771" operator="containsText" text="정규교과">
      <formula>NOT(ISERROR(SEARCH(("정규교과"),(D188))))</formula>
    </cfRule>
    <cfRule type="containsText" dxfId="13461" priority="5770" operator="containsText" text="프로젝트">
      <formula>NOT(ISERROR(SEARCH(("프로젝트"),(D188))))</formula>
    </cfRule>
    <cfRule type="containsText" dxfId="13460" priority="5769" operator="containsText" text="기타">
      <formula>NOT(ISERROR(SEARCH(("기타"),(D188))))</formula>
    </cfRule>
  </conditionalFormatting>
  <conditionalFormatting sqref="D193">
    <cfRule type="containsText" dxfId="13459" priority="5755" operator="containsText" text="정규교과">
      <formula>NOT(ISERROR(SEARCH(("정규교과"),(D193))))</formula>
    </cfRule>
    <cfRule type="containsText" dxfId="13458" priority="5748" operator="containsText" text="프로젝트">
      <formula>NOT(ISERROR(SEARCH(("프로젝트"),(D193))))</formula>
    </cfRule>
    <cfRule type="containsText" dxfId="13457" priority="5758" operator="containsText" text="정규교과">
      <formula>NOT(ISERROR(SEARCH(("정규교과"),(D193))))</formula>
    </cfRule>
    <cfRule type="containsText" dxfId="13456" priority="5750" operator="containsText" text="기타">
      <formula>NOT(ISERROR(SEARCH(("기타"),(D193))))</formula>
    </cfRule>
    <cfRule type="containsText" dxfId="13455" priority="5744" operator="containsText" text="휴강">
      <formula>NOT(ISERROR(SEARCH(("휴강"),(D193))))</formula>
    </cfRule>
    <cfRule type="containsText" dxfId="13454" priority="5759" operator="containsText" text="기타">
      <formula>NOT(ISERROR(SEARCH(("기타"),(D193))))</formula>
    </cfRule>
    <cfRule type="containsText" dxfId="13453" priority="5756" operator="containsText" text="기타">
      <formula>NOT(ISERROR(SEARCH(("기타"),(D193))))</formula>
    </cfRule>
    <cfRule type="containsText" dxfId="13452" priority="5757" operator="containsText" text="프로젝트">
      <formula>NOT(ISERROR(SEARCH(("프로젝트"),(D193))))</formula>
    </cfRule>
    <cfRule type="containsText" dxfId="13451" priority="5749" operator="containsText" text="정규교과">
      <formula>NOT(ISERROR(SEARCH(("정규교과"),(D193))))</formula>
    </cfRule>
    <cfRule type="containsText" dxfId="13450" priority="5745" operator="containsText" text="프로젝트">
      <formula>NOT(ISERROR(SEARCH(("프로젝트"),(D193))))</formula>
    </cfRule>
    <cfRule type="containsText" dxfId="13449" priority="5751" operator="containsText" text="프로젝트">
      <formula>NOT(ISERROR(SEARCH(("프로젝트"),(D193))))</formula>
    </cfRule>
    <cfRule type="containsText" dxfId="13448" priority="5752" operator="containsText" text="정규교과">
      <formula>NOT(ISERROR(SEARCH(("정규교과"),(D193))))</formula>
    </cfRule>
    <cfRule type="containsText" dxfId="13447" priority="5753" operator="containsText" text="기타">
      <formula>NOT(ISERROR(SEARCH(("기타"),(D193))))</formula>
    </cfRule>
    <cfRule type="containsText" dxfId="13446" priority="5754" operator="containsText" text="프로젝트">
      <formula>NOT(ISERROR(SEARCH(("프로젝트"),(D193))))</formula>
    </cfRule>
    <cfRule type="containsText" dxfId="13445" priority="5746" operator="containsText" text="정규교과">
      <formula>NOT(ISERROR(SEARCH(("정규교과"),(D193))))</formula>
    </cfRule>
    <cfRule type="containsText" dxfId="13444" priority="5747" operator="containsText" text="기타">
      <formula>NOT(ISERROR(SEARCH(("기타"),(D193))))</formula>
    </cfRule>
  </conditionalFormatting>
  <conditionalFormatting sqref="D197">
    <cfRule type="containsText" dxfId="13443" priority="5743" operator="containsText" text="기타">
      <formula>NOT(ISERROR(SEARCH(("기타"),(D197))))</formula>
    </cfRule>
    <cfRule type="containsText" dxfId="13442" priority="5742" operator="containsText" text="정규교과">
      <formula>NOT(ISERROR(SEARCH(("정규교과"),(D197))))</formula>
    </cfRule>
    <cfRule type="containsText" dxfId="13441" priority="5741" operator="containsText" text="프로젝트">
      <formula>NOT(ISERROR(SEARCH(("프로젝트"),(D197))))</formula>
    </cfRule>
    <cfRule type="containsText" dxfId="13440" priority="5740" operator="containsText" text="기타">
      <formula>NOT(ISERROR(SEARCH(("기타"),(D197))))</formula>
    </cfRule>
    <cfRule type="containsText" dxfId="13439" priority="5739" operator="containsText" text="정규교과">
      <formula>NOT(ISERROR(SEARCH(("정규교과"),(D197))))</formula>
    </cfRule>
    <cfRule type="containsText" dxfId="13438" priority="5737" operator="containsText" text="기타">
      <formula>NOT(ISERROR(SEARCH(("기타"),(D197))))</formula>
    </cfRule>
    <cfRule type="containsText" dxfId="13437" priority="5736" operator="containsText" text="정규교과">
      <formula>NOT(ISERROR(SEARCH(("정규교과"),(D197))))</formula>
    </cfRule>
    <cfRule type="containsText" dxfId="13436" priority="5734" operator="containsText" text="기타">
      <formula>NOT(ISERROR(SEARCH(("기타"),(D197))))</formula>
    </cfRule>
    <cfRule type="containsText" dxfId="13435" priority="5733" operator="containsText" text="정규교과">
      <formula>NOT(ISERROR(SEARCH(("정규교과"),(D197))))</formula>
    </cfRule>
    <cfRule type="containsText" dxfId="13434" priority="5732" operator="containsText" text="프로젝트">
      <formula>NOT(ISERROR(SEARCH(("프로젝트"),(D197))))</formula>
    </cfRule>
    <cfRule type="containsText" dxfId="13433" priority="5731" operator="containsText" text="기타">
      <formula>NOT(ISERROR(SEARCH(("기타"),(D197))))</formula>
    </cfRule>
    <cfRule type="containsText" dxfId="13432" priority="5730" operator="containsText" text="정규교과">
      <formula>NOT(ISERROR(SEARCH(("정규교과"),(D197))))</formula>
    </cfRule>
    <cfRule type="containsText" dxfId="13431" priority="5729" operator="containsText" text="프로젝트">
      <formula>NOT(ISERROR(SEARCH(("프로젝트"),(D197))))</formula>
    </cfRule>
    <cfRule type="containsText" dxfId="13430" priority="5728" operator="containsText" text="휴강">
      <formula>NOT(ISERROR(SEARCH(("휴강"),(D197))))</formula>
    </cfRule>
    <cfRule type="containsText" dxfId="13429" priority="5738" operator="containsText" text="프로젝트">
      <formula>NOT(ISERROR(SEARCH(("프로젝트"),(D197))))</formula>
    </cfRule>
    <cfRule type="containsText" dxfId="13428" priority="5735" operator="containsText" text="프로젝트">
      <formula>NOT(ISERROR(SEARCH(("프로젝트"),(D197))))</formula>
    </cfRule>
  </conditionalFormatting>
  <conditionalFormatting sqref="D201">
    <cfRule type="containsText" dxfId="13427" priority="5721" operator="containsText" text="기타">
      <formula>NOT(ISERROR(SEARCH(("기타"),(D201))))</formula>
    </cfRule>
    <cfRule type="containsText" dxfId="13426" priority="5713" operator="containsText" text="프로젝트">
      <formula>NOT(ISERROR(SEARCH(("프로젝트"),(D201))))</formula>
    </cfRule>
    <cfRule type="containsText" dxfId="13425" priority="5712" operator="containsText" text="휴강">
      <formula>NOT(ISERROR(SEARCH(("휴강"),(D201))))</formula>
    </cfRule>
    <cfRule type="containsText" dxfId="13424" priority="5720" operator="containsText" text="정규교과">
      <formula>NOT(ISERROR(SEARCH(("정규교과"),(D201))))</formula>
    </cfRule>
    <cfRule type="containsText" dxfId="13423" priority="5719" operator="containsText" text="프로젝트">
      <formula>NOT(ISERROR(SEARCH(("프로젝트"),(D201))))</formula>
    </cfRule>
    <cfRule type="containsText" dxfId="13422" priority="5718" operator="containsText" text="기타">
      <formula>NOT(ISERROR(SEARCH(("기타"),(D201))))</formula>
    </cfRule>
    <cfRule type="containsText" dxfId="13421" priority="5717" operator="containsText" text="정규교과">
      <formula>NOT(ISERROR(SEARCH(("정규교과"),(D201))))</formula>
    </cfRule>
    <cfRule type="containsText" dxfId="13420" priority="5716" operator="containsText" text="프로젝트">
      <formula>NOT(ISERROR(SEARCH(("프로젝트"),(D201))))</formula>
    </cfRule>
    <cfRule type="containsText" dxfId="13419" priority="5715" operator="containsText" text="기타">
      <formula>NOT(ISERROR(SEARCH(("기타"),(D201))))</formula>
    </cfRule>
    <cfRule type="containsText" dxfId="13418" priority="5714" operator="containsText" text="정규교과">
      <formula>NOT(ISERROR(SEARCH(("정규교과"),(D201))))</formula>
    </cfRule>
    <cfRule type="containsText" dxfId="13417" priority="5722" operator="containsText" text="프로젝트">
      <formula>NOT(ISERROR(SEARCH(("프로젝트"),(D201))))</formula>
    </cfRule>
    <cfRule type="containsText" dxfId="13416" priority="5723" operator="containsText" text="정규교과">
      <formula>NOT(ISERROR(SEARCH(("정규교과"),(D201))))</formula>
    </cfRule>
    <cfRule type="containsText" dxfId="13415" priority="5724" operator="containsText" text="기타">
      <formula>NOT(ISERROR(SEARCH(("기타"),(D201))))</formula>
    </cfRule>
    <cfRule type="containsText" dxfId="13414" priority="5725" operator="containsText" text="프로젝트">
      <formula>NOT(ISERROR(SEARCH(("프로젝트"),(D201))))</formula>
    </cfRule>
    <cfRule type="containsText" dxfId="13413" priority="5726" operator="containsText" text="정규교과">
      <formula>NOT(ISERROR(SEARCH(("정규교과"),(D201))))</formula>
    </cfRule>
    <cfRule type="containsText" dxfId="13412" priority="5727" operator="containsText" text="기타">
      <formula>NOT(ISERROR(SEARCH(("기타"),(D201))))</formula>
    </cfRule>
  </conditionalFormatting>
  <conditionalFormatting sqref="D205">
    <cfRule type="containsText" dxfId="13411" priority="5697" operator="containsText" text="프로젝트">
      <formula>NOT(ISERROR(SEARCH(("프로젝트"),(D205))))</formula>
    </cfRule>
    <cfRule type="containsText" dxfId="13410" priority="5711" operator="containsText" text="기타">
      <formula>NOT(ISERROR(SEARCH(("기타"),(D205))))</formula>
    </cfRule>
    <cfRule type="containsText" dxfId="13409" priority="5703" operator="containsText" text="프로젝트">
      <formula>NOT(ISERROR(SEARCH(("프로젝트"),(D205))))</formula>
    </cfRule>
    <cfRule type="containsText" dxfId="13408" priority="5704" operator="containsText" text="정규교과">
      <formula>NOT(ISERROR(SEARCH(("정규교과"),(D205))))</formula>
    </cfRule>
    <cfRule type="containsText" dxfId="13407" priority="5705" operator="containsText" text="기타">
      <formula>NOT(ISERROR(SEARCH(("기타"),(D205))))</formula>
    </cfRule>
    <cfRule type="containsText" dxfId="13406" priority="5706" operator="containsText" text="프로젝트">
      <formula>NOT(ISERROR(SEARCH(("프로젝트"),(D205))))</formula>
    </cfRule>
    <cfRule type="containsText" dxfId="13405" priority="5710" operator="containsText" text="정규교과">
      <formula>NOT(ISERROR(SEARCH(("정규교과"),(D205))))</formula>
    </cfRule>
    <cfRule type="containsText" dxfId="13404" priority="5709" operator="containsText" text="프로젝트">
      <formula>NOT(ISERROR(SEARCH(("프로젝트"),(D205))))</formula>
    </cfRule>
    <cfRule type="containsText" dxfId="13403" priority="5696" operator="containsText" text="휴강">
      <formula>NOT(ISERROR(SEARCH(("휴강"),(D205))))</formula>
    </cfRule>
    <cfRule type="containsText" dxfId="13402" priority="5708" operator="containsText" text="기타">
      <formula>NOT(ISERROR(SEARCH(("기타"),(D205))))</formula>
    </cfRule>
    <cfRule type="containsText" dxfId="13401" priority="5707" operator="containsText" text="정규교과">
      <formula>NOT(ISERROR(SEARCH(("정규교과"),(D205))))</formula>
    </cfRule>
    <cfRule type="containsText" dxfId="13400" priority="5698" operator="containsText" text="정규교과">
      <formula>NOT(ISERROR(SEARCH(("정규교과"),(D205))))</formula>
    </cfRule>
    <cfRule type="containsText" dxfId="13399" priority="5699" operator="containsText" text="기타">
      <formula>NOT(ISERROR(SEARCH(("기타"),(D205))))</formula>
    </cfRule>
    <cfRule type="containsText" dxfId="13398" priority="5700" operator="containsText" text="프로젝트">
      <formula>NOT(ISERROR(SEARCH(("프로젝트"),(D205))))</formula>
    </cfRule>
    <cfRule type="containsText" dxfId="13397" priority="5701" operator="containsText" text="정규교과">
      <formula>NOT(ISERROR(SEARCH(("정규교과"),(D205))))</formula>
    </cfRule>
    <cfRule type="containsText" dxfId="13396" priority="5702" operator="containsText" text="기타">
      <formula>NOT(ISERROR(SEARCH(("기타"),(D205))))</formula>
    </cfRule>
  </conditionalFormatting>
  <conditionalFormatting sqref="D209">
    <cfRule type="containsText" dxfId="13395" priority="5693" operator="containsText" text="프로젝트">
      <formula>NOT(ISERROR(SEARCH(("프로젝트"),(D209))))</formula>
    </cfRule>
    <cfRule type="containsText" dxfId="13394" priority="5694" operator="containsText" text="정규교과">
      <formula>NOT(ISERROR(SEARCH(("정규교과"),(D209))))</formula>
    </cfRule>
    <cfRule type="containsText" dxfId="13393" priority="5695" operator="containsText" text="기타">
      <formula>NOT(ISERROR(SEARCH(("기타"),(D209))))</formula>
    </cfRule>
    <cfRule type="containsText" dxfId="13392" priority="5680" operator="containsText" text="휴강">
      <formula>NOT(ISERROR(SEARCH(("휴강"),(D209))))</formula>
    </cfRule>
    <cfRule type="containsText" dxfId="13391" priority="5681" operator="containsText" text="프로젝트">
      <formula>NOT(ISERROR(SEARCH(("프로젝트"),(D209))))</formula>
    </cfRule>
    <cfRule type="containsText" dxfId="13390" priority="5687" operator="containsText" text="프로젝트">
      <formula>NOT(ISERROR(SEARCH(("프로젝트"),(D209))))</formula>
    </cfRule>
    <cfRule type="containsText" dxfId="13389" priority="5688" operator="containsText" text="정규교과">
      <formula>NOT(ISERROR(SEARCH(("정규교과"),(D209))))</formula>
    </cfRule>
    <cfRule type="containsText" dxfId="13388" priority="5685" operator="containsText" text="정규교과">
      <formula>NOT(ISERROR(SEARCH(("정규교과"),(D209))))</formula>
    </cfRule>
    <cfRule type="containsText" dxfId="13387" priority="5686" operator="containsText" text="기타">
      <formula>NOT(ISERROR(SEARCH(("기타"),(D209))))</formula>
    </cfRule>
    <cfRule type="containsText" dxfId="13386" priority="5682" operator="containsText" text="정규교과">
      <formula>NOT(ISERROR(SEARCH(("정규교과"),(D209))))</formula>
    </cfRule>
    <cfRule type="containsText" dxfId="13385" priority="5683" operator="containsText" text="기타">
      <formula>NOT(ISERROR(SEARCH(("기타"),(D209))))</formula>
    </cfRule>
    <cfRule type="containsText" dxfId="13384" priority="5684" operator="containsText" text="프로젝트">
      <formula>NOT(ISERROR(SEARCH(("프로젝트"),(D209))))</formula>
    </cfRule>
    <cfRule type="containsText" dxfId="13383" priority="5689" operator="containsText" text="기타">
      <formula>NOT(ISERROR(SEARCH(("기타"),(D209))))</formula>
    </cfRule>
    <cfRule type="containsText" dxfId="13382" priority="5690" operator="containsText" text="프로젝트">
      <formula>NOT(ISERROR(SEARCH(("프로젝트"),(D209))))</formula>
    </cfRule>
    <cfRule type="containsText" dxfId="13381" priority="5691" operator="containsText" text="정규교과">
      <formula>NOT(ISERROR(SEARCH(("정규교과"),(D209))))</formula>
    </cfRule>
    <cfRule type="containsText" dxfId="13380" priority="5692" operator="containsText" text="기타">
      <formula>NOT(ISERROR(SEARCH(("기타"),(D209))))</formula>
    </cfRule>
  </conditionalFormatting>
  <conditionalFormatting sqref="D215 I215:M215 D216:M218 D219 I219:M219 D220:M222 D223 I223:M223 D224:M227 D228 I228:M228 D229:M231 D232 H232:M232 D233:M235 D236 H236:M236 D237:M239 D240 H240:M240 D241:M243 D244 H244:M244 D245:M247">
    <cfRule type="containsText" dxfId="13379" priority="14790" operator="containsText" text="프로젝트">
      <formula>NOT(ISERROR(SEARCH(("프로젝트"),(D215))))</formula>
    </cfRule>
  </conditionalFormatting>
  <conditionalFormatting sqref="D219 I219:M219">
    <cfRule type="containsText" dxfId="13378" priority="14794" operator="containsText" text="정규교과">
      <formula>NOT(ISERROR(SEARCH(("정규교과"),(D219))))</formula>
    </cfRule>
    <cfRule type="containsText" dxfId="13377" priority="14793" operator="containsText" text="프로젝트">
      <formula>NOT(ISERROR(SEARCH(("프로젝트"),(D219))))</formula>
    </cfRule>
    <cfRule type="containsText" dxfId="13376" priority="14795" operator="containsText" text="기타">
      <formula>NOT(ISERROR(SEARCH(("기타"),(D219))))</formula>
    </cfRule>
  </conditionalFormatting>
  <conditionalFormatting sqref="D223 I223:M223">
    <cfRule type="containsText" dxfId="13375" priority="14796" operator="containsText" text="프로젝트">
      <formula>NOT(ISERROR(SEARCH(("프로젝트"),(D223))))</formula>
    </cfRule>
    <cfRule type="containsText" dxfId="13374" priority="14797" operator="containsText" text="정규교과">
      <formula>NOT(ISERROR(SEARCH(("정규교과"),(D223))))</formula>
    </cfRule>
    <cfRule type="containsText" dxfId="13373" priority="14798" operator="containsText" text="기타">
      <formula>NOT(ISERROR(SEARCH(("기타"),(D223))))</formula>
    </cfRule>
    <cfRule type="containsText" dxfId="13372" priority="14799" operator="containsText" text="프로젝트">
      <formula>NOT(ISERROR(SEARCH(("프로젝트"),(D223))))</formula>
    </cfRule>
    <cfRule type="containsText" dxfId="13371" priority="14800" operator="containsText" text="정규교과">
      <formula>NOT(ISERROR(SEARCH(("정규교과"),(D223))))</formula>
    </cfRule>
    <cfRule type="containsText" dxfId="13370" priority="14801" operator="containsText" text="기타">
      <formula>NOT(ISERROR(SEARCH(("기타"),(D223))))</formula>
    </cfRule>
  </conditionalFormatting>
  <conditionalFormatting sqref="D223">
    <cfRule type="containsText" dxfId="13369" priority="14788" operator="containsText" text="기타">
      <formula>NOT(ISERROR(SEARCH(("기타"),(D223))))</formula>
    </cfRule>
    <cfRule type="containsText" dxfId="13368" priority="14787" operator="containsText" text="정규교과">
      <formula>NOT(ISERROR(SEARCH(("정규교과"),(D223))))</formula>
    </cfRule>
    <cfRule type="containsText" dxfId="13367" priority="14786" operator="containsText" text="프로젝트">
      <formula>NOT(ISERROR(SEARCH(("프로젝트"),(D223))))</formula>
    </cfRule>
  </conditionalFormatting>
  <conditionalFormatting sqref="D228 I228:M228">
    <cfRule type="containsText" dxfId="13366" priority="14805" operator="containsText" text="프로젝트">
      <formula>NOT(ISERROR(SEARCH(("프로젝트"),(D228))))</formula>
    </cfRule>
    <cfRule type="containsText" dxfId="13365" priority="14807" operator="containsText" text="기타">
      <formula>NOT(ISERROR(SEARCH(("기타"),(D228))))</formula>
    </cfRule>
    <cfRule type="containsText" dxfId="13364" priority="14810" operator="containsText" text="기타">
      <formula>NOT(ISERROR(SEARCH(("기타"),(D228))))</formula>
    </cfRule>
    <cfRule type="containsText" dxfId="13363" priority="14808" operator="containsText" text="프로젝트">
      <formula>NOT(ISERROR(SEARCH(("프로젝트"),(D228))))</formula>
    </cfRule>
    <cfRule type="containsText" dxfId="13362" priority="14806" operator="containsText" text="정규교과">
      <formula>NOT(ISERROR(SEARCH(("정규교과"),(D228))))</formula>
    </cfRule>
    <cfRule type="containsText" dxfId="13361" priority="14809" operator="containsText" text="정규교과">
      <formula>NOT(ISERROR(SEARCH(("정규교과"),(D228))))</formula>
    </cfRule>
  </conditionalFormatting>
  <conditionalFormatting sqref="D232 H232:M232">
    <cfRule type="containsText" dxfId="13360" priority="14817" operator="containsText" text="프로젝트">
      <formula>NOT(ISERROR(SEARCH(("프로젝트"),(D232))))</formula>
    </cfRule>
    <cfRule type="containsText" dxfId="13359" priority="14816" operator="containsText" text="기타">
      <formula>NOT(ISERROR(SEARCH(("기타"),(D232))))</formula>
    </cfRule>
    <cfRule type="containsText" dxfId="13358" priority="14815" operator="containsText" text="정규교과">
      <formula>NOT(ISERROR(SEARCH(("정규교과"),(D232))))</formula>
    </cfRule>
    <cfRule type="containsText" dxfId="13357" priority="14814" operator="containsText" text="프로젝트">
      <formula>NOT(ISERROR(SEARCH(("프로젝트"),(D232))))</formula>
    </cfRule>
    <cfRule type="containsText" dxfId="13356" priority="14813" operator="containsText" text="기타">
      <formula>NOT(ISERROR(SEARCH(("기타"),(D232))))</formula>
    </cfRule>
    <cfRule type="containsText" dxfId="13355" priority="14812" operator="containsText" text="정규교과">
      <formula>NOT(ISERROR(SEARCH(("정규교과"),(D232))))</formula>
    </cfRule>
    <cfRule type="containsText" dxfId="13354" priority="14811" operator="containsText" text="프로젝트">
      <formula>NOT(ISERROR(SEARCH(("프로젝트"),(D232))))</formula>
    </cfRule>
    <cfRule type="containsText" dxfId="13353" priority="14819" operator="containsText" text="기타">
      <formula>NOT(ISERROR(SEARCH(("기타"),(D232))))</formula>
    </cfRule>
    <cfRule type="containsText" dxfId="13352" priority="14821" operator="containsText" text="정규교과">
      <formula>NOT(ISERROR(SEARCH(("정규교과"),(D232))))</formula>
    </cfRule>
    <cfRule type="containsText" dxfId="13351" priority="14820" operator="containsText" text="프로젝트">
      <formula>NOT(ISERROR(SEARCH(("프로젝트"),(D232))))</formula>
    </cfRule>
    <cfRule type="containsText" dxfId="13350" priority="14822" operator="containsText" text="기타">
      <formula>NOT(ISERROR(SEARCH(("기타"),(D232))))</formula>
    </cfRule>
    <cfRule type="containsText" dxfId="13349" priority="14818" operator="containsText" text="정규교과">
      <formula>NOT(ISERROR(SEARCH(("정규교과"),(D232))))</formula>
    </cfRule>
  </conditionalFormatting>
  <conditionalFormatting sqref="D232">
    <cfRule type="containsText" dxfId="13348" priority="14783" operator="containsText" text="프로젝트">
      <formula>NOT(ISERROR(SEARCH(("프로젝트"),(D232))))</formula>
    </cfRule>
    <cfRule type="containsText" dxfId="13347" priority="14784" operator="containsText" text="정규교과">
      <formula>NOT(ISERROR(SEARCH(("정규교과"),(D232))))</formula>
    </cfRule>
    <cfRule type="containsText" dxfId="13346" priority="14785" operator="containsText" text="기타">
      <formula>NOT(ISERROR(SEARCH(("기타"),(D232))))</formula>
    </cfRule>
    <cfRule type="containsText" dxfId="13345" priority="14777" operator="containsText" text="프로젝트">
      <formula>NOT(ISERROR(SEARCH(("프로젝트"),(D232))))</formula>
    </cfRule>
    <cfRule type="containsText" dxfId="13344" priority="14778" operator="containsText" text="정규교과">
      <formula>NOT(ISERROR(SEARCH(("정규교과"),(D232))))</formula>
    </cfRule>
    <cfRule type="containsText" dxfId="13343" priority="14779" operator="containsText" text="기타">
      <formula>NOT(ISERROR(SEARCH(("기타"),(D232))))</formula>
    </cfRule>
    <cfRule type="containsText" dxfId="13342" priority="14780" operator="containsText" text="프로젝트">
      <formula>NOT(ISERROR(SEARCH(("프로젝트"),(D232))))</formula>
    </cfRule>
    <cfRule type="containsText" dxfId="13341" priority="14782" operator="containsText" text="기타">
      <formula>NOT(ISERROR(SEARCH(("기타"),(D232))))</formula>
    </cfRule>
    <cfRule type="containsText" dxfId="13340" priority="14781" operator="containsText" text="정규교과">
      <formula>NOT(ISERROR(SEARCH(("정규교과"),(D232))))</formula>
    </cfRule>
  </conditionalFormatting>
  <conditionalFormatting sqref="D236 H236:M236">
    <cfRule type="containsText" dxfId="13339" priority="14823" operator="containsText" text="프로젝트">
      <formula>NOT(ISERROR(SEARCH(("프로젝트"),(D236))))</formula>
    </cfRule>
    <cfRule type="containsText" dxfId="13338" priority="14832" operator="containsText" text="프로젝트">
      <formula>NOT(ISERROR(SEARCH(("프로젝트"),(D236))))</formula>
    </cfRule>
    <cfRule type="containsText" dxfId="13337" priority="14828" operator="containsText" text="기타">
      <formula>NOT(ISERROR(SEARCH(("기타"),(D236))))</formula>
    </cfRule>
    <cfRule type="containsText" dxfId="13336" priority="14830" operator="containsText" text="정규교과">
      <formula>NOT(ISERROR(SEARCH(("정규교과"),(D236))))</formula>
    </cfRule>
    <cfRule type="containsText" dxfId="13335" priority="14831" operator="containsText" text="기타">
      <formula>NOT(ISERROR(SEARCH(("기타"),(D236))))</formula>
    </cfRule>
    <cfRule type="containsText" dxfId="13334" priority="14829" operator="containsText" text="프로젝트">
      <formula>NOT(ISERROR(SEARCH(("프로젝트"),(D236))))</formula>
    </cfRule>
    <cfRule type="containsText" dxfId="13333" priority="14824" operator="containsText" text="정규교과">
      <formula>NOT(ISERROR(SEARCH(("정규교과"),(D236))))</formula>
    </cfRule>
    <cfRule type="containsText" dxfId="13332" priority="14825" operator="containsText" text="기타">
      <formula>NOT(ISERROR(SEARCH(("기타"),(D236))))</formula>
    </cfRule>
    <cfRule type="containsText" dxfId="13331" priority="14826" operator="containsText" text="프로젝트">
      <formula>NOT(ISERROR(SEARCH(("프로젝트"),(D236))))</formula>
    </cfRule>
    <cfRule type="containsText" dxfId="13330" priority="14833" operator="containsText" text="정규교과">
      <formula>NOT(ISERROR(SEARCH(("정규교과"),(D236))))</formula>
    </cfRule>
    <cfRule type="containsText" dxfId="13329" priority="14827" operator="containsText" text="정규교과">
      <formula>NOT(ISERROR(SEARCH(("정규교과"),(D236))))</formula>
    </cfRule>
    <cfRule type="containsText" dxfId="13328" priority="14834" operator="containsText" text="기타">
      <formula>NOT(ISERROR(SEARCH(("기타"),(D236))))</formula>
    </cfRule>
  </conditionalFormatting>
  <conditionalFormatting sqref="D236">
    <cfRule type="containsText" dxfId="13327" priority="14774" operator="containsText" text="프로젝트">
      <formula>NOT(ISERROR(SEARCH(("프로젝트"),(D236))))</formula>
    </cfRule>
    <cfRule type="containsText" dxfId="13326" priority="14776" operator="containsText" text="기타">
      <formula>NOT(ISERROR(SEARCH(("기타"),(D236))))</formula>
    </cfRule>
    <cfRule type="containsText" dxfId="13325" priority="14773" operator="containsText" text="기타">
      <formula>NOT(ISERROR(SEARCH(("기타"),(D236))))</formula>
    </cfRule>
    <cfRule type="containsText" dxfId="13324" priority="14768" operator="containsText" text="프로젝트">
      <formula>NOT(ISERROR(SEARCH(("프로젝트"),(D236))))</formula>
    </cfRule>
    <cfRule type="containsText" dxfId="13323" priority="14772" operator="containsText" text="정규교과">
      <formula>NOT(ISERROR(SEARCH(("정규교과"),(D236))))</formula>
    </cfRule>
    <cfRule type="containsText" dxfId="13322" priority="14769" operator="containsText" text="정규교과">
      <formula>NOT(ISERROR(SEARCH(("정규교과"),(D236))))</formula>
    </cfRule>
    <cfRule type="containsText" dxfId="13321" priority="14770" operator="containsText" text="기타">
      <formula>NOT(ISERROR(SEARCH(("기타"),(D236))))</formula>
    </cfRule>
    <cfRule type="containsText" dxfId="13320" priority="14775" operator="containsText" text="정규교과">
      <formula>NOT(ISERROR(SEARCH(("정규교과"),(D236))))</formula>
    </cfRule>
    <cfRule type="containsText" dxfId="13319" priority="14771" operator="containsText" text="프로젝트">
      <formula>NOT(ISERROR(SEARCH(("프로젝트"),(D236))))</formula>
    </cfRule>
  </conditionalFormatting>
  <conditionalFormatting sqref="D240 H240:M240">
    <cfRule type="containsText" dxfId="13318" priority="14838" operator="containsText" text="프로젝트">
      <formula>NOT(ISERROR(SEARCH(("프로젝트"),(D240))))</formula>
    </cfRule>
    <cfRule type="containsText" dxfId="13317" priority="14845" operator="containsText" text="정규교과">
      <formula>NOT(ISERROR(SEARCH(("정규교과"),(D240))))</formula>
    </cfRule>
    <cfRule type="containsText" dxfId="13316" priority="14846" operator="containsText" text="기타">
      <formula>NOT(ISERROR(SEARCH(("기타"),(D240))))</formula>
    </cfRule>
    <cfRule type="containsText" dxfId="13315" priority="14835" operator="containsText" text="프로젝트">
      <formula>NOT(ISERROR(SEARCH(("프로젝트"),(D240))))</formula>
    </cfRule>
    <cfRule type="containsText" dxfId="13314" priority="14844" operator="containsText" text="프로젝트">
      <formula>NOT(ISERROR(SEARCH(("프로젝트"),(D240))))</formula>
    </cfRule>
    <cfRule type="containsText" dxfId="13313" priority="14842" operator="containsText" text="정규교과">
      <formula>NOT(ISERROR(SEARCH(("정규교과"),(D240))))</formula>
    </cfRule>
    <cfRule type="containsText" dxfId="13312" priority="14841" operator="containsText" text="프로젝트">
      <formula>NOT(ISERROR(SEARCH(("프로젝트"),(D240))))</formula>
    </cfRule>
    <cfRule type="containsText" dxfId="13311" priority="14840" operator="containsText" text="기타">
      <formula>NOT(ISERROR(SEARCH(("기타"),(D240))))</formula>
    </cfRule>
    <cfRule type="containsText" dxfId="13310" priority="14839" operator="containsText" text="정규교과">
      <formula>NOT(ISERROR(SEARCH(("정규교과"),(D240))))</formula>
    </cfRule>
    <cfRule type="containsText" dxfId="13309" priority="14843" operator="containsText" text="기타">
      <formula>NOT(ISERROR(SEARCH(("기타"),(D240))))</formula>
    </cfRule>
    <cfRule type="containsText" dxfId="13308" priority="14837" operator="containsText" text="기타">
      <formula>NOT(ISERROR(SEARCH(("기타"),(D240))))</formula>
    </cfRule>
    <cfRule type="containsText" dxfId="13307" priority="14836" operator="containsText" text="정규교과">
      <formula>NOT(ISERROR(SEARCH(("정규교과"),(D240))))</formula>
    </cfRule>
  </conditionalFormatting>
  <conditionalFormatting sqref="D240">
    <cfRule type="containsText" dxfId="13306" priority="14765" operator="containsText" text="프로젝트">
      <formula>NOT(ISERROR(SEARCH(("프로젝트"),(D240))))</formula>
    </cfRule>
    <cfRule type="containsText" dxfId="13305" priority="14764" operator="containsText" text="기타">
      <formula>NOT(ISERROR(SEARCH(("기타"),(D240))))</formula>
    </cfRule>
    <cfRule type="containsText" dxfId="13304" priority="14766" operator="containsText" text="정규교과">
      <formula>NOT(ISERROR(SEARCH(("정규교과"),(D240))))</formula>
    </cfRule>
    <cfRule type="containsText" dxfId="13303" priority="14763" operator="containsText" text="정규교과">
      <formula>NOT(ISERROR(SEARCH(("정규교과"),(D240))))</formula>
    </cfRule>
    <cfRule type="containsText" dxfId="13302" priority="14767" operator="containsText" text="기타">
      <formula>NOT(ISERROR(SEARCH(("기타"),(D240))))</formula>
    </cfRule>
    <cfRule type="containsText" dxfId="13301" priority="14762" operator="containsText" text="프로젝트">
      <formula>NOT(ISERROR(SEARCH(("프로젝트"),(D240))))</formula>
    </cfRule>
    <cfRule type="containsText" dxfId="13300" priority="14761" operator="containsText" text="기타">
      <formula>NOT(ISERROR(SEARCH(("기타"),(D240))))</formula>
    </cfRule>
    <cfRule type="containsText" dxfId="13299" priority="14759" operator="containsText" text="프로젝트">
      <formula>NOT(ISERROR(SEARCH(("프로젝트"),(D240))))</formula>
    </cfRule>
    <cfRule type="containsText" dxfId="13298" priority="14760" operator="containsText" text="정규교과">
      <formula>NOT(ISERROR(SEARCH(("정규교과"),(D240))))</formula>
    </cfRule>
  </conditionalFormatting>
  <conditionalFormatting sqref="D244 H244:M244">
    <cfRule type="containsText" dxfId="13297" priority="14853" operator="containsText" text="프로젝트">
      <formula>NOT(ISERROR(SEARCH(("프로젝트"),(D244))))</formula>
    </cfRule>
    <cfRule type="containsText" dxfId="13296" priority="14855" operator="containsText" text="기타">
      <formula>NOT(ISERROR(SEARCH(("기타"),(D244))))</formula>
    </cfRule>
    <cfRule type="containsText" dxfId="13295" priority="14854" operator="containsText" text="정규교과">
      <formula>NOT(ISERROR(SEARCH(("정규교과"),(D244))))</formula>
    </cfRule>
    <cfRule type="containsText" dxfId="13294" priority="14848" operator="containsText" text="정규교과">
      <formula>NOT(ISERROR(SEARCH(("정규교과"),(D244))))</formula>
    </cfRule>
    <cfRule type="containsText" dxfId="13293" priority="14849" operator="containsText" text="기타">
      <formula>NOT(ISERROR(SEARCH(("기타"),(D244))))</formula>
    </cfRule>
    <cfRule type="containsText" dxfId="13292" priority="14850" operator="containsText" text="프로젝트">
      <formula>NOT(ISERROR(SEARCH(("프로젝트"),(D244))))</formula>
    </cfRule>
    <cfRule type="containsText" dxfId="13291" priority="14852" operator="containsText" text="기타">
      <formula>NOT(ISERROR(SEARCH(("기타"),(D244))))</formula>
    </cfRule>
    <cfRule type="containsText" dxfId="13290" priority="14847" operator="containsText" text="프로젝트">
      <formula>NOT(ISERROR(SEARCH(("프로젝트"),(D244))))</formula>
    </cfRule>
    <cfRule type="containsText" dxfId="13289" priority="14851" operator="containsText" text="정규교과">
      <formula>NOT(ISERROR(SEARCH(("정규교과"),(D244))))</formula>
    </cfRule>
    <cfRule type="containsText" dxfId="13288" priority="14858" operator="containsText" text="기타">
      <formula>NOT(ISERROR(SEARCH(("기타"),(D244))))</formula>
    </cfRule>
    <cfRule type="containsText" dxfId="13287" priority="14857" operator="containsText" text="정규교과">
      <formula>NOT(ISERROR(SEARCH(("정규교과"),(D244))))</formula>
    </cfRule>
    <cfRule type="containsText" dxfId="13286" priority="14856" operator="containsText" text="프로젝트">
      <formula>NOT(ISERROR(SEARCH(("프로젝트"),(D244))))</formula>
    </cfRule>
  </conditionalFormatting>
  <conditionalFormatting sqref="D244">
    <cfRule type="containsText" dxfId="13285" priority="14757" operator="containsText" text="정규교과">
      <formula>NOT(ISERROR(SEARCH(("정규교과"),(D244))))</formula>
    </cfRule>
    <cfRule type="containsText" dxfId="13284" priority="14756" operator="containsText" text="프로젝트">
      <formula>NOT(ISERROR(SEARCH(("프로젝트"),(D244))))</formula>
    </cfRule>
    <cfRule type="containsText" dxfId="13283" priority="14755" operator="containsText" text="기타">
      <formula>NOT(ISERROR(SEARCH(("기타"),(D244))))</formula>
    </cfRule>
    <cfRule type="containsText" dxfId="13282" priority="14754" operator="containsText" text="정규교과">
      <formula>NOT(ISERROR(SEARCH(("정규교과"),(D244))))</formula>
    </cfRule>
    <cfRule type="containsText" dxfId="13281" priority="14753" operator="containsText" text="프로젝트">
      <formula>NOT(ISERROR(SEARCH(("프로젝트"),(D244))))</formula>
    </cfRule>
    <cfRule type="containsText" dxfId="13280" priority="14752" operator="containsText" text="기타">
      <formula>NOT(ISERROR(SEARCH(("기타"),(D244))))</formula>
    </cfRule>
    <cfRule type="containsText" dxfId="13279" priority="14751" operator="containsText" text="정규교과">
      <formula>NOT(ISERROR(SEARCH(("정규교과"),(D244))))</formula>
    </cfRule>
    <cfRule type="containsText" dxfId="13278" priority="14758" operator="containsText" text="기타">
      <formula>NOT(ISERROR(SEARCH(("기타"),(D244))))</formula>
    </cfRule>
    <cfRule type="containsText" dxfId="13277" priority="14750" operator="containsText" text="프로젝트">
      <formula>NOT(ISERROR(SEARCH(("프로젝트"),(D244))))</formula>
    </cfRule>
  </conditionalFormatting>
  <conditionalFormatting sqref="D250">
    <cfRule type="containsText" dxfId="13276" priority="3890" operator="containsText" text="기타">
      <formula>NOT(ISERROR(SEARCH(("기타"),(D250))))</formula>
    </cfRule>
    <cfRule type="containsText" dxfId="13275" priority="3885" operator="containsText" text="프로젝트">
      <formula>NOT(ISERROR(SEARCH(("프로젝트"),(D250))))</formula>
    </cfRule>
    <cfRule type="containsText" dxfId="13274" priority="3896" operator="containsText" text="기타">
      <formula>NOT(ISERROR(SEARCH(("기타"),(D250))))</formula>
    </cfRule>
    <cfRule type="containsText" dxfId="13273" priority="3895" operator="containsText" text="정규교과">
      <formula>NOT(ISERROR(SEARCH(("정규교과"),(D250))))</formula>
    </cfRule>
    <cfRule type="containsText" dxfId="13272" priority="3894" operator="containsText" text="프로젝트">
      <formula>NOT(ISERROR(SEARCH(("프로젝트"),(D250))))</formula>
    </cfRule>
    <cfRule type="containsText" dxfId="13271" priority="3893" operator="containsText" text="기타">
      <formula>NOT(ISERROR(SEARCH(("기타"),(D250))))</formula>
    </cfRule>
    <cfRule type="containsText" dxfId="13270" priority="3892" operator="containsText" text="정규교과">
      <formula>NOT(ISERROR(SEARCH(("정규교과"),(D250))))</formula>
    </cfRule>
    <cfRule type="containsText" dxfId="13269" priority="3891" operator="containsText" text="프로젝트">
      <formula>NOT(ISERROR(SEARCH(("프로젝트"),(D250))))</formula>
    </cfRule>
    <cfRule type="containsText" dxfId="13268" priority="3889" operator="containsText" text="정규교과">
      <formula>NOT(ISERROR(SEARCH(("정규교과"),(D250))))</formula>
    </cfRule>
    <cfRule type="containsText" dxfId="13267" priority="3888" operator="containsText" text="프로젝트">
      <formula>NOT(ISERROR(SEARCH(("프로젝트"),(D250))))</formula>
    </cfRule>
    <cfRule type="containsText" dxfId="13266" priority="3887" operator="containsText" text="기타">
      <formula>NOT(ISERROR(SEARCH(("기타"),(D250))))</formula>
    </cfRule>
    <cfRule type="containsText" dxfId="13265" priority="3886" operator="containsText" text="정규교과">
      <formula>NOT(ISERROR(SEARCH(("정규교과"),(D250))))</formula>
    </cfRule>
  </conditionalFormatting>
  <conditionalFormatting sqref="D254">
    <cfRule type="containsText" dxfId="13264" priority="3776" operator="containsText" text="기타">
      <formula>NOT(ISERROR(SEARCH(("기타"),(D254))))</formula>
    </cfRule>
    <cfRule type="containsText" dxfId="13263" priority="3774" operator="containsText" text="프로젝트">
      <formula>NOT(ISERROR(SEARCH(("프로젝트"),(D254))))</formula>
    </cfRule>
    <cfRule type="containsText" dxfId="13262" priority="3775" operator="containsText" text="정규교과">
      <formula>NOT(ISERROR(SEARCH(("정규교과"),(D254))))</formula>
    </cfRule>
    <cfRule type="containsText" dxfId="13261" priority="3785" operator="containsText" text="기타">
      <formula>NOT(ISERROR(SEARCH(("기타"),(D254))))</formula>
    </cfRule>
    <cfRule type="containsText" dxfId="13260" priority="3784" operator="containsText" text="정규교과">
      <formula>NOT(ISERROR(SEARCH(("정규교과"),(D254))))</formula>
    </cfRule>
    <cfRule type="containsText" dxfId="13259" priority="3783" operator="containsText" text="프로젝트">
      <formula>NOT(ISERROR(SEARCH(("프로젝트"),(D254))))</formula>
    </cfRule>
    <cfRule type="containsText" dxfId="13258" priority="3782" operator="containsText" text="기타">
      <formula>NOT(ISERROR(SEARCH(("기타"),(D254))))</formula>
    </cfRule>
    <cfRule type="containsText" dxfId="13257" priority="3778" operator="containsText" text="정규교과">
      <formula>NOT(ISERROR(SEARCH(("정규교과"),(D254))))</formula>
    </cfRule>
    <cfRule type="containsText" dxfId="13256" priority="3781" operator="containsText" text="정규교과">
      <formula>NOT(ISERROR(SEARCH(("정규교과"),(D254))))</formula>
    </cfRule>
    <cfRule type="containsText" dxfId="13255" priority="3780" operator="containsText" text="프로젝트">
      <formula>NOT(ISERROR(SEARCH(("프로젝트"),(D254))))</formula>
    </cfRule>
    <cfRule type="containsText" dxfId="13254" priority="3779" operator="containsText" text="기타">
      <formula>NOT(ISERROR(SEARCH(("기타"),(D254))))</formula>
    </cfRule>
    <cfRule type="containsText" dxfId="13253" priority="3777" operator="containsText" text="프로젝트">
      <formula>NOT(ISERROR(SEARCH(("프로젝트"),(D254))))</formula>
    </cfRule>
  </conditionalFormatting>
  <conditionalFormatting sqref="D258">
    <cfRule type="containsText" dxfId="13252" priority="3663" operator="containsText" text="프로젝트">
      <formula>NOT(ISERROR(SEARCH(("프로젝트"),(D258))))</formula>
    </cfRule>
    <cfRule type="containsText" dxfId="13251" priority="3672" operator="containsText" text="프로젝트">
      <formula>NOT(ISERROR(SEARCH(("프로젝트"),(D258))))</formula>
    </cfRule>
    <cfRule type="containsText" dxfId="13250" priority="3671" operator="containsText" text="기타">
      <formula>NOT(ISERROR(SEARCH(("기타"),(D258))))</formula>
    </cfRule>
    <cfRule type="containsText" dxfId="13249" priority="3670" operator="containsText" text="정규교과">
      <formula>NOT(ISERROR(SEARCH(("정규교과"),(D258))))</formula>
    </cfRule>
    <cfRule type="containsText" dxfId="13248" priority="3669" operator="containsText" text="프로젝트">
      <formula>NOT(ISERROR(SEARCH(("프로젝트"),(D258))))</formula>
    </cfRule>
    <cfRule type="containsText" dxfId="13247" priority="3668" operator="containsText" text="기타">
      <formula>NOT(ISERROR(SEARCH(("기타"),(D258))))</formula>
    </cfRule>
    <cfRule type="containsText" dxfId="13246" priority="3667" operator="containsText" text="정규교과">
      <formula>NOT(ISERROR(SEARCH(("정규교과"),(D258))))</formula>
    </cfRule>
    <cfRule type="containsText" dxfId="13245" priority="3674" operator="containsText" text="기타">
      <formula>NOT(ISERROR(SEARCH(("기타"),(D258))))</formula>
    </cfRule>
    <cfRule type="containsText" dxfId="13244" priority="3666" operator="containsText" text="프로젝트">
      <formula>NOT(ISERROR(SEARCH(("프로젝트"),(D258))))</formula>
    </cfRule>
    <cfRule type="containsText" dxfId="13243" priority="3665" operator="containsText" text="기타">
      <formula>NOT(ISERROR(SEARCH(("기타"),(D258))))</formula>
    </cfRule>
    <cfRule type="containsText" dxfId="13242" priority="3664" operator="containsText" text="정규교과">
      <formula>NOT(ISERROR(SEARCH(("정규교과"),(D258))))</formula>
    </cfRule>
    <cfRule type="containsText" dxfId="13241" priority="3673" operator="containsText" text="정규교과">
      <formula>NOT(ISERROR(SEARCH(("정규교과"),(D258))))</formula>
    </cfRule>
  </conditionalFormatting>
  <conditionalFormatting sqref="D263">
    <cfRule type="containsText" dxfId="13240" priority="3555" operator="containsText" text="프로젝트">
      <formula>NOT(ISERROR(SEARCH(("프로젝트"),(D263))))</formula>
    </cfRule>
    <cfRule type="containsText" dxfId="13239" priority="3553" operator="containsText" text="정규교과">
      <formula>NOT(ISERROR(SEARCH(("정규교과"),(D263))))</formula>
    </cfRule>
    <cfRule type="containsText" dxfId="13238" priority="3557" operator="containsText" text="기타">
      <formula>NOT(ISERROR(SEARCH(("기타"),(D263))))</formula>
    </cfRule>
    <cfRule type="containsText" dxfId="13237" priority="3558" operator="containsText" text="프로젝트">
      <formula>NOT(ISERROR(SEARCH(("프로젝트"),(D263))))</formula>
    </cfRule>
    <cfRule type="containsText" dxfId="13236" priority="3559" operator="containsText" text="정규교과">
      <formula>NOT(ISERROR(SEARCH(("정규교과"),(D263))))</formula>
    </cfRule>
    <cfRule type="containsText" dxfId="13235" priority="3552" operator="containsText" text="프로젝트">
      <formula>NOT(ISERROR(SEARCH(("프로젝트"),(D263))))</formula>
    </cfRule>
    <cfRule type="containsText" dxfId="13234" priority="3560" operator="containsText" text="기타">
      <formula>NOT(ISERROR(SEARCH(("기타"),(D263))))</formula>
    </cfRule>
    <cfRule type="containsText" dxfId="13233" priority="3554" operator="containsText" text="기타">
      <formula>NOT(ISERROR(SEARCH(("기타"),(D263))))</formula>
    </cfRule>
    <cfRule type="containsText" dxfId="13232" priority="3556" operator="containsText" text="정규교과">
      <formula>NOT(ISERROR(SEARCH(("정규교과"),(D263))))</formula>
    </cfRule>
    <cfRule type="containsText" dxfId="13231" priority="3562" operator="containsText" text="정규교과">
      <formula>NOT(ISERROR(SEARCH(("정규교과"),(D263))))</formula>
    </cfRule>
    <cfRule type="containsText" dxfId="13230" priority="3563" operator="containsText" text="기타">
      <formula>NOT(ISERROR(SEARCH(("기타"),(D263))))</formula>
    </cfRule>
    <cfRule type="containsText" dxfId="13229" priority="3561" operator="containsText" text="프로젝트">
      <formula>NOT(ISERROR(SEARCH(("프로젝트"),(D263))))</formula>
    </cfRule>
  </conditionalFormatting>
  <conditionalFormatting sqref="D267">
    <cfRule type="containsText" dxfId="13228" priority="3451" operator="containsText" text="정규교과">
      <formula>NOT(ISERROR(SEARCH(("정규교과"),(D267))))</formula>
    </cfRule>
    <cfRule type="containsText" dxfId="13227" priority="3441" operator="containsText" text="프로젝트">
      <formula>NOT(ISERROR(SEARCH(("프로젝트"),(D267))))</formula>
    </cfRule>
    <cfRule type="containsText" dxfId="13226" priority="3450" operator="containsText" text="프로젝트">
      <formula>NOT(ISERROR(SEARCH(("프로젝트"),(D267))))</formula>
    </cfRule>
    <cfRule type="containsText" dxfId="13225" priority="3449" operator="containsText" text="기타">
      <formula>NOT(ISERROR(SEARCH(("기타"),(D267))))</formula>
    </cfRule>
    <cfRule type="containsText" dxfId="13224" priority="3442" operator="containsText" text="정규교과">
      <formula>NOT(ISERROR(SEARCH(("정규교과"),(D267))))</formula>
    </cfRule>
    <cfRule type="containsText" dxfId="13223" priority="3443" operator="containsText" text="기타">
      <formula>NOT(ISERROR(SEARCH(("기타"),(D267))))</formula>
    </cfRule>
    <cfRule type="containsText" dxfId="13222" priority="3444" operator="containsText" text="프로젝트">
      <formula>NOT(ISERROR(SEARCH(("프로젝트"),(D267))))</formula>
    </cfRule>
    <cfRule type="containsText" dxfId="13221" priority="3445" operator="containsText" text="정규교과">
      <formula>NOT(ISERROR(SEARCH(("정규교과"),(D267))))</formula>
    </cfRule>
    <cfRule type="containsText" dxfId="13220" priority="3446" operator="containsText" text="기타">
      <formula>NOT(ISERROR(SEARCH(("기타"),(D267))))</formula>
    </cfRule>
    <cfRule type="containsText" dxfId="13219" priority="3447" operator="containsText" text="프로젝트">
      <formula>NOT(ISERROR(SEARCH(("프로젝트"),(D267))))</formula>
    </cfRule>
    <cfRule type="containsText" dxfId="13218" priority="3452" operator="containsText" text="기타">
      <formula>NOT(ISERROR(SEARCH(("기타"),(D267))))</formula>
    </cfRule>
    <cfRule type="containsText" dxfId="13217" priority="3448" operator="containsText" text="정규교과">
      <formula>NOT(ISERROR(SEARCH(("정규교과"),(D267))))</formula>
    </cfRule>
  </conditionalFormatting>
  <conditionalFormatting sqref="D271">
    <cfRule type="containsText" dxfId="13216" priority="3336" operator="containsText" text="프로젝트">
      <formula>NOT(ISERROR(SEARCH(("프로젝트"),(D271))))</formula>
    </cfRule>
    <cfRule type="containsText" dxfId="13215" priority="3330" operator="containsText" text="프로젝트">
      <formula>NOT(ISERROR(SEARCH(("프로젝트"),(D271))))</formula>
    </cfRule>
    <cfRule type="containsText" dxfId="13214" priority="3332" operator="containsText" text="기타">
      <formula>NOT(ISERROR(SEARCH(("기타"),(D271))))</formula>
    </cfRule>
    <cfRule type="containsText" dxfId="13213" priority="3338" operator="containsText" text="기타">
      <formula>NOT(ISERROR(SEARCH(("기타"),(D271))))</formula>
    </cfRule>
    <cfRule type="containsText" dxfId="13212" priority="3339" operator="containsText" text="프로젝트">
      <formula>NOT(ISERROR(SEARCH(("프로젝트"),(D271))))</formula>
    </cfRule>
    <cfRule type="containsText" dxfId="13211" priority="3340" operator="containsText" text="정규교과">
      <formula>NOT(ISERROR(SEARCH(("정규교과"),(D271))))</formula>
    </cfRule>
    <cfRule type="containsText" dxfId="13210" priority="3341" operator="containsText" text="기타">
      <formula>NOT(ISERROR(SEARCH(("기타"),(D271))))</formula>
    </cfRule>
    <cfRule type="containsText" dxfId="13209" priority="3331" operator="containsText" text="정규교과">
      <formula>NOT(ISERROR(SEARCH(("정규교과"),(D271))))</formula>
    </cfRule>
    <cfRule type="containsText" dxfId="13208" priority="3333" operator="containsText" text="프로젝트">
      <formula>NOT(ISERROR(SEARCH(("프로젝트"),(D271))))</formula>
    </cfRule>
    <cfRule type="containsText" dxfId="13207" priority="3334" operator="containsText" text="정규교과">
      <formula>NOT(ISERROR(SEARCH(("정규교과"),(D271))))</formula>
    </cfRule>
    <cfRule type="containsText" dxfId="13206" priority="3335" operator="containsText" text="기타">
      <formula>NOT(ISERROR(SEARCH(("기타"),(D271))))</formula>
    </cfRule>
    <cfRule type="containsText" dxfId="13205" priority="3337" operator="containsText" text="정규교과">
      <formula>NOT(ISERROR(SEARCH(("정규교과"),(D271))))</formula>
    </cfRule>
  </conditionalFormatting>
  <conditionalFormatting sqref="D275">
    <cfRule type="containsText" dxfId="13204" priority="3221" operator="containsText" text="기타">
      <formula>NOT(ISERROR(SEARCH(("기타"),(D275))))</formula>
    </cfRule>
    <cfRule type="containsText" dxfId="13203" priority="3222" operator="containsText" text="프로젝트">
      <formula>NOT(ISERROR(SEARCH(("프로젝트"),(D275))))</formula>
    </cfRule>
    <cfRule type="containsText" dxfId="13202" priority="3223" operator="containsText" text="정규교과">
      <formula>NOT(ISERROR(SEARCH(("정규교과"),(D275))))</formula>
    </cfRule>
    <cfRule type="containsText" dxfId="13201" priority="3224" operator="containsText" text="기타">
      <formula>NOT(ISERROR(SEARCH(("기타"),(D275))))</formula>
    </cfRule>
    <cfRule type="containsText" dxfId="13200" priority="3220" operator="containsText" text="정규교과">
      <formula>NOT(ISERROR(SEARCH(("정규교과"),(D275))))</formula>
    </cfRule>
    <cfRule type="containsText" dxfId="13199" priority="3225" operator="containsText" text="프로젝트">
      <formula>NOT(ISERROR(SEARCH(("프로젝트"),(D275))))</formula>
    </cfRule>
    <cfRule type="containsText" dxfId="13198" priority="3226" operator="containsText" text="정규교과">
      <formula>NOT(ISERROR(SEARCH(("정규교과"),(D275))))</formula>
    </cfRule>
    <cfRule type="containsText" dxfId="13197" priority="3227" operator="containsText" text="기타">
      <formula>NOT(ISERROR(SEARCH(("기타"),(D275))))</formula>
    </cfRule>
    <cfRule type="containsText" dxfId="13196" priority="3228" operator="containsText" text="프로젝트">
      <formula>NOT(ISERROR(SEARCH(("프로젝트"),(D275))))</formula>
    </cfRule>
    <cfRule type="containsText" dxfId="13195" priority="3229" operator="containsText" text="정규교과">
      <formula>NOT(ISERROR(SEARCH(("정규교과"),(D275))))</formula>
    </cfRule>
    <cfRule type="containsText" dxfId="13194" priority="3230" operator="containsText" text="기타">
      <formula>NOT(ISERROR(SEARCH(("기타"),(D275))))</formula>
    </cfRule>
    <cfRule type="containsText" dxfId="13193" priority="3219" operator="containsText" text="프로젝트">
      <formula>NOT(ISERROR(SEARCH(("프로젝트"),(D275))))</formula>
    </cfRule>
  </conditionalFormatting>
  <conditionalFormatting sqref="D279">
    <cfRule type="containsText" dxfId="13192" priority="3113" operator="containsText" text="기타">
      <formula>NOT(ISERROR(SEARCH(("기타"),(D279))))</formula>
    </cfRule>
    <cfRule type="containsText" dxfId="13191" priority="3116" operator="containsText" text="기타">
      <formula>NOT(ISERROR(SEARCH(("기타"),(D279))))</formula>
    </cfRule>
    <cfRule type="containsText" dxfId="13190" priority="3108" operator="containsText" text="프로젝트">
      <formula>NOT(ISERROR(SEARCH(("프로젝트"),(D279))))</formula>
    </cfRule>
    <cfRule type="containsText" dxfId="13189" priority="3109" operator="containsText" text="정규교과">
      <formula>NOT(ISERROR(SEARCH(("정규교과"),(D279))))</formula>
    </cfRule>
    <cfRule type="containsText" dxfId="13188" priority="3110" operator="containsText" text="기타">
      <formula>NOT(ISERROR(SEARCH(("기타"),(D279))))</formula>
    </cfRule>
    <cfRule type="containsText" dxfId="13187" priority="3111" operator="containsText" text="프로젝트">
      <formula>NOT(ISERROR(SEARCH(("프로젝트"),(D279))))</formula>
    </cfRule>
    <cfRule type="containsText" dxfId="13186" priority="3112" operator="containsText" text="정규교과">
      <formula>NOT(ISERROR(SEARCH(("정규교과"),(D279))))</formula>
    </cfRule>
    <cfRule type="containsText" dxfId="13185" priority="3115" operator="containsText" text="정규교과">
      <formula>NOT(ISERROR(SEARCH(("정규교과"),(D279))))</formula>
    </cfRule>
    <cfRule type="containsText" dxfId="13184" priority="3114" operator="containsText" text="프로젝트">
      <formula>NOT(ISERROR(SEARCH(("프로젝트"),(D279))))</formula>
    </cfRule>
    <cfRule type="containsText" dxfId="13183" priority="3119" operator="containsText" text="기타">
      <formula>NOT(ISERROR(SEARCH(("기타"),(D279))))</formula>
    </cfRule>
    <cfRule type="containsText" dxfId="13182" priority="3118" operator="containsText" text="정규교과">
      <formula>NOT(ISERROR(SEARCH(("정규교과"),(D279))))</formula>
    </cfRule>
    <cfRule type="containsText" dxfId="13181" priority="3117" operator="containsText" text="프로젝트">
      <formula>NOT(ISERROR(SEARCH(("프로젝트"),(D279))))</formula>
    </cfRule>
  </conditionalFormatting>
  <conditionalFormatting sqref="D324">
    <cfRule type="containsText" dxfId="13180" priority="2670" operator="containsText" text="기타">
      <formula>NOT(ISERROR(SEARCH(("기타"),(D324))))</formula>
    </cfRule>
    <cfRule type="containsText" dxfId="13179" priority="2669" operator="containsText" text="정규교과">
      <formula>NOT(ISERROR(SEARCH(("정규교과"),(D324))))</formula>
    </cfRule>
    <cfRule type="containsText" dxfId="13178" priority="2668" operator="containsText" text="프로젝트">
      <formula>NOT(ISERROR(SEARCH(("프로젝트"),(D324))))</formula>
    </cfRule>
    <cfRule type="containsText" dxfId="13177" priority="2667" operator="containsText" text="휴강">
      <formula>NOT(ISERROR(SEARCH(("휴강"),(D324))))</formula>
    </cfRule>
  </conditionalFormatting>
  <conditionalFormatting sqref="D328">
    <cfRule type="containsText" dxfId="13176" priority="2666" operator="containsText" text="기타">
      <formula>NOT(ISERROR(SEARCH(("기타"),(D328))))</formula>
    </cfRule>
    <cfRule type="containsText" dxfId="13175" priority="2665" operator="containsText" text="정규교과">
      <formula>NOT(ISERROR(SEARCH(("정규교과"),(D328))))</formula>
    </cfRule>
    <cfRule type="containsText" dxfId="13174" priority="2664" operator="containsText" text="프로젝트">
      <formula>NOT(ISERROR(SEARCH(("프로젝트"),(D328))))</formula>
    </cfRule>
    <cfRule type="containsText" dxfId="13173" priority="2663" operator="containsText" text="휴강">
      <formula>NOT(ISERROR(SEARCH(("휴강"),(D328))))</formula>
    </cfRule>
  </conditionalFormatting>
  <conditionalFormatting sqref="D333">
    <cfRule type="containsText" dxfId="13172" priority="2662" operator="containsText" text="기타">
      <formula>NOT(ISERROR(SEARCH(("기타"),(D333))))</formula>
    </cfRule>
    <cfRule type="containsText" dxfId="13171" priority="2661" operator="containsText" text="정규교과">
      <formula>NOT(ISERROR(SEARCH(("정규교과"),(D333))))</formula>
    </cfRule>
    <cfRule type="containsText" dxfId="13170" priority="2660" operator="containsText" text="프로젝트">
      <formula>NOT(ISERROR(SEARCH(("프로젝트"),(D333))))</formula>
    </cfRule>
    <cfRule type="containsText" dxfId="13169" priority="2659" operator="containsText" text="휴강">
      <formula>NOT(ISERROR(SEARCH(("휴강"),(D333))))</formula>
    </cfRule>
  </conditionalFormatting>
  <conditionalFormatting sqref="D337">
    <cfRule type="containsText" dxfId="13168" priority="2655" operator="containsText" text="휴강">
      <formula>NOT(ISERROR(SEARCH(("휴강"),(D337))))</formula>
    </cfRule>
    <cfRule type="containsText" dxfId="13167" priority="2657" operator="containsText" text="정규교과">
      <formula>NOT(ISERROR(SEARCH(("정규교과"),(D337))))</formula>
    </cfRule>
    <cfRule type="containsText" dxfId="13166" priority="2656" operator="containsText" text="프로젝트">
      <formula>NOT(ISERROR(SEARCH(("프로젝트"),(D337))))</formula>
    </cfRule>
    <cfRule type="containsText" dxfId="13165" priority="2658" operator="containsText" text="기타">
      <formula>NOT(ISERROR(SEARCH(("기타"),(D337))))</formula>
    </cfRule>
  </conditionalFormatting>
  <conditionalFormatting sqref="D341">
    <cfRule type="containsText" dxfId="13164" priority="2654" operator="containsText" text="기타">
      <formula>NOT(ISERROR(SEARCH(("기타"),(D341))))</formula>
    </cfRule>
    <cfRule type="containsText" dxfId="13163" priority="2651" operator="containsText" text="휴강">
      <formula>NOT(ISERROR(SEARCH(("휴강"),(D341))))</formula>
    </cfRule>
    <cfRule type="containsText" dxfId="13162" priority="2652" operator="containsText" text="프로젝트">
      <formula>NOT(ISERROR(SEARCH(("프로젝트"),(D341))))</formula>
    </cfRule>
    <cfRule type="containsText" dxfId="13161" priority="2653" operator="containsText" text="정규교과">
      <formula>NOT(ISERROR(SEARCH(("정규교과"),(D341))))</formula>
    </cfRule>
  </conditionalFormatting>
  <conditionalFormatting sqref="D345">
    <cfRule type="containsText" dxfId="13160" priority="2650" operator="containsText" text="기타">
      <formula>NOT(ISERROR(SEARCH(("기타"),(D345))))</formula>
    </cfRule>
    <cfRule type="containsText" dxfId="13159" priority="2649" operator="containsText" text="정규교과">
      <formula>NOT(ISERROR(SEARCH(("정규교과"),(D345))))</formula>
    </cfRule>
    <cfRule type="containsText" dxfId="13158" priority="2647" operator="containsText" text="휴강">
      <formula>NOT(ISERROR(SEARCH(("휴강"),(D345))))</formula>
    </cfRule>
    <cfRule type="containsText" dxfId="13157" priority="2648" operator="containsText" text="프로젝트">
      <formula>NOT(ISERROR(SEARCH(("프로젝트"),(D345))))</formula>
    </cfRule>
  </conditionalFormatting>
  <conditionalFormatting sqref="D349">
    <cfRule type="containsText" dxfId="13156" priority="2643" operator="containsText" text="휴강">
      <formula>NOT(ISERROR(SEARCH(("휴강"),(D349))))</formula>
    </cfRule>
    <cfRule type="containsText" dxfId="13155" priority="2646" operator="containsText" text="기타">
      <formula>NOT(ISERROR(SEARCH(("기타"),(D349))))</formula>
    </cfRule>
    <cfRule type="containsText" dxfId="13154" priority="2645" operator="containsText" text="정규교과">
      <formula>NOT(ISERROR(SEARCH(("정규교과"),(D349))))</formula>
    </cfRule>
    <cfRule type="containsText" dxfId="13153" priority="2644" operator="containsText" text="프로젝트">
      <formula>NOT(ISERROR(SEARCH(("프로젝트"),(D349))))</formula>
    </cfRule>
  </conditionalFormatting>
  <conditionalFormatting sqref="D355">
    <cfRule type="containsText" dxfId="13152" priority="1365" operator="containsText" text="정규교과">
      <formula>NOT(ISERROR(SEARCH(("정규교과"),(D355))))</formula>
    </cfRule>
    <cfRule type="containsText" dxfId="13151" priority="1364" operator="containsText" text="프로젝트">
      <formula>NOT(ISERROR(SEARCH(("프로젝트"),(D355))))</formula>
    </cfRule>
    <cfRule type="containsText" dxfId="13150" priority="1363" operator="containsText" text="기타">
      <formula>NOT(ISERROR(SEARCH(("기타"),(D355))))</formula>
    </cfRule>
    <cfRule type="containsText" dxfId="13149" priority="1362" operator="containsText" text="정규교과">
      <formula>NOT(ISERROR(SEARCH(("정규교과"),(D355))))</formula>
    </cfRule>
    <cfRule type="containsText" dxfId="13148" priority="1361" operator="containsText" text="프로젝트">
      <formula>NOT(ISERROR(SEARCH(("프로젝트"),(D355))))</formula>
    </cfRule>
    <cfRule type="containsText" dxfId="13147" priority="1360" operator="containsText" text="기타">
      <formula>NOT(ISERROR(SEARCH(("기타"),(D355))))</formula>
    </cfRule>
    <cfRule type="containsText" dxfId="13146" priority="1359" operator="containsText" text="정규교과">
      <formula>NOT(ISERROR(SEARCH(("정규교과"),(D355))))</formula>
    </cfRule>
    <cfRule type="containsText" dxfId="13145" priority="1358" operator="containsText" text="프로젝트">
      <formula>NOT(ISERROR(SEARCH(("프로젝트"),(D355))))</formula>
    </cfRule>
    <cfRule type="containsText" dxfId="13144" priority="1357" operator="containsText" text="기타">
      <formula>NOT(ISERROR(SEARCH(("기타"),(D355))))</formula>
    </cfRule>
    <cfRule type="containsText" dxfId="13143" priority="1356" operator="containsText" text="정규교과">
      <formula>NOT(ISERROR(SEARCH(("정규교과"),(D355))))</formula>
    </cfRule>
    <cfRule type="containsText" dxfId="13142" priority="1355" operator="containsText" text="프로젝트">
      <formula>NOT(ISERROR(SEARCH(("프로젝트"),(D355))))</formula>
    </cfRule>
    <cfRule type="containsText" dxfId="13141" priority="1354" operator="containsText" text="기타">
      <formula>NOT(ISERROR(SEARCH(("기타"),(D355))))</formula>
    </cfRule>
    <cfRule type="containsText" dxfId="13140" priority="1353" operator="containsText" text="정규교과">
      <formula>NOT(ISERROR(SEARCH(("정규교과"),(D355))))</formula>
    </cfRule>
    <cfRule type="containsText" dxfId="13139" priority="1352" operator="containsText" text="프로젝트">
      <formula>NOT(ISERROR(SEARCH(("프로젝트"),(D355))))</formula>
    </cfRule>
    <cfRule type="containsText" dxfId="13138" priority="1351" operator="containsText" text="기타">
      <formula>NOT(ISERROR(SEARCH(("기타"),(D355))))</formula>
    </cfRule>
    <cfRule type="containsText" dxfId="13137" priority="1350" operator="containsText" text="정규교과">
      <formula>NOT(ISERROR(SEARCH(("정규교과"),(D355))))</formula>
    </cfRule>
    <cfRule type="containsText" dxfId="13136" priority="1349" operator="containsText" text="프로젝트">
      <formula>NOT(ISERROR(SEARCH(("프로젝트"),(D355))))</formula>
    </cfRule>
    <cfRule type="containsText" dxfId="13135" priority="1348" operator="containsText" text="기타">
      <formula>NOT(ISERROR(SEARCH(("기타"),(D355))))</formula>
    </cfRule>
    <cfRule type="containsText" dxfId="13134" priority="1347" operator="containsText" text="정규교과">
      <formula>NOT(ISERROR(SEARCH(("정규교과"),(D355))))</formula>
    </cfRule>
    <cfRule type="containsText" dxfId="13133" priority="1346" operator="containsText" text="프로젝트">
      <formula>NOT(ISERROR(SEARCH(("프로젝트"),(D355))))</formula>
    </cfRule>
    <cfRule type="containsText" dxfId="13132" priority="1375" operator="containsText" text="기타">
      <formula>NOT(ISERROR(SEARCH(("기타"),(D355))))</formula>
    </cfRule>
    <cfRule type="containsText" dxfId="13131" priority="1374" operator="containsText" text="정규교과">
      <formula>NOT(ISERROR(SEARCH(("정규교과"),(D355))))</formula>
    </cfRule>
    <cfRule type="containsText" dxfId="13130" priority="1373" operator="containsText" text="프로젝트">
      <formula>NOT(ISERROR(SEARCH(("프로젝트"),(D355))))</formula>
    </cfRule>
    <cfRule type="containsText" dxfId="13129" priority="1372" operator="containsText" text="기타">
      <formula>NOT(ISERROR(SEARCH(("기타"),(D355))))</formula>
    </cfRule>
    <cfRule type="containsText" dxfId="13128" priority="1371" operator="containsText" text="정규교과">
      <formula>NOT(ISERROR(SEARCH(("정규교과"),(D355))))</formula>
    </cfRule>
    <cfRule type="containsText" dxfId="13127" priority="1370" operator="containsText" text="프로젝트">
      <formula>NOT(ISERROR(SEARCH(("프로젝트"),(D355))))</formula>
    </cfRule>
    <cfRule type="containsText" dxfId="13126" priority="1369" operator="containsText" text="기타">
      <formula>NOT(ISERROR(SEARCH(("기타"),(D355))))</formula>
    </cfRule>
    <cfRule type="containsText" dxfId="13125" priority="1368" operator="containsText" text="정규교과">
      <formula>NOT(ISERROR(SEARCH(("정규교과"),(D355))))</formula>
    </cfRule>
    <cfRule type="containsText" dxfId="13124" priority="1367" operator="containsText" text="프로젝트">
      <formula>NOT(ISERROR(SEARCH(("프로젝트"),(D355))))</formula>
    </cfRule>
    <cfRule type="containsText" dxfId="13123" priority="1366" operator="containsText" text="기타">
      <formula>NOT(ISERROR(SEARCH(("기타"),(D355))))</formula>
    </cfRule>
  </conditionalFormatting>
  <conditionalFormatting sqref="D359">
    <cfRule type="containsText" dxfId="13122" priority="1218" operator="containsText" text="기타">
      <formula>NOT(ISERROR(SEARCH(("기타"),(D359))))</formula>
    </cfRule>
    <cfRule type="containsText" dxfId="13121" priority="1230" operator="containsText" text="기타">
      <formula>NOT(ISERROR(SEARCH(("기타"),(D359))))</formula>
    </cfRule>
    <cfRule type="containsText" dxfId="13120" priority="1231" operator="containsText" text="프로젝트">
      <formula>NOT(ISERROR(SEARCH(("프로젝트"),(D359))))</formula>
    </cfRule>
    <cfRule type="containsText" dxfId="13119" priority="1233" operator="containsText" text="기타">
      <formula>NOT(ISERROR(SEARCH(("기타"),(D359))))</formula>
    </cfRule>
    <cfRule type="containsText" dxfId="13118" priority="1234" operator="containsText" text="프로젝트">
      <formula>NOT(ISERROR(SEARCH(("프로젝트"),(D359))))</formula>
    </cfRule>
    <cfRule type="containsText" dxfId="13117" priority="1235" operator="containsText" text="정규교과">
      <formula>NOT(ISERROR(SEARCH(("정규교과"),(D359))))</formula>
    </cfRule>
    <cfRule type="containsText" dxfId="13116" priority="1236" operator="containsText" text="기타">
      <formula>NOT(ISERROR(SEARCH(("기타"),(D359))))</formula>
    </cfRule>
    <cfRule type="containsText" dxfId="13115" priority="1232" operator="containsText" text="정규교과">
      <formula>NOT(ISERROR(SEARCH(("정규교과"),(D359))))</formula>
    </cfRule>
    <cfRule type="containsText" dxfId="13114" priority="1229" operator="containsText" text="정규교과">
      <formula>NOT(ISERROR(SEARCH(("정규교과"),(D359))))</formula>
    </cfRule>
    <cfRule type="containsText" dxfId="13113" priority="1227" operator="containsText" text="기타">
      <formula>NOT(ISERROR(SEARCH(("기타"),(D359))))</formula>
    </cfRule>
    <cfRule type="containsText" dxfId="13112" priority="1226" operator="containsText" text="정규교과">
      <formula>NOT(ISERROR(SEARCH(("정규교과"),(D359))))</formula>
    </cfRule>
    <cfRule type="containsText" dxfId="13111" priority="1225" operator="containsText" text="프로젝트">
      <formula>NOT(ISERROR(SEARCH(("프로젝트"),(D359))))</formula>
    </cfRule>
    <cfRule type="containsText" dxfId="13110" priority="1224" operator="containsText" text="기타">
      <formula>NOT(ISERROR(SEARCH(("기타"),(D359))))</formula>
    </cfRule>
    <cfRule type="containsText" dxfId="13109" priority="1223" operator="containsText" text="정규교과">
      <formula>NOT(ISERROR(SEARCH(("정규교과"),(D359))))</formula>
    </cfRule>
    <cfRule type="containsText" dxfId="13108" priority="1222" operator="containsText" text="프로젝트">
      <formula>NOT(ISERROR(SEARCH(("프로젝트"),(D359))))</formula>
    </cfRule>
    <cfRule type="containsText" dxfId="13107" priority="1221" operator="containsText" text="기타">
      <formula>NOT(ISERROR(SEARCH(("기타"),(D359))))</formula>
    </cfRule>
    <cfRule type="containsText" dxfId="13106" priority="1220" operator="containsText" text="정규교과">
      <formula>NOT(ISERROR(SEARCH(("정규교과"),(D359))))</formula>
    </cfRule>
    <cfRule type="containsText" dxfId="13105" priority="1219" operator="containsText" text="프로젝트">
      <formula>NOT(ISERROR(SEARCH(("프로젝트"),(D359))))</formula>
    </cfRule>
    <cfRule type="containsText" dxfId="13104" priority="1217" operator="containsText" text="정규교과">
      <formula>NOT(ISERROR(SEARCH(("정규교과"),(D359))))</formula>
    </cfRule>
    <cfRule type="containsText" dxfId="13103" priority="1237" operator="containsText" text="프로젝트">
      <formula>NOT(ISERROR(SEARCH(("프로젝트"),(D359))))</formula>
    </cfRule>
    <cfRule type="containsText" dxfId="13102" priority="1238" operator="containsText" text="정규교과">
      <formula>NOT(ISERROR(SEARCH(("정규교과"),(D359))))</formula>
    </cfRule>
    <cfRule type="containsText" dxfId="13101" priority="1239" operator="containsText" text="기타">
      <formula>NOT(ISERROR(SEARCH(("기타"),(D359))))</formula>
    </cfRule>
    <cfRule type="containsText" dxfId="13100" priority="1228" operator="containsText" text="프로젝트">
      <formula>NOT(ISERROR(SEARCH(("프로젝트"),(D359))))</formula>
    </cfRule>
    <cfRule type="containsText" dxfId="13099" priority="1240" operator="containsText" text="프로젝트">
      <formula>NOT(ISERROR(SEARCH(("프로젝트"),(D359))))</formula>
    </cfRule>
    <cfRule type="containsText" dxfId="13098" priority="1241" operator="containsText" text="정규교과">
      <formula>NOT(ISERROR(SEARCH(("정규교과"),(D359))))</formula>
    </cfRule>
    <cfRule type="containsText" dxfId="13097" priority="1242" operator="containsText" text="기타">
      <formula>NOT(ISERROR(SEARCH(("기타"),(D359))))</formula>
    </cfRule>
    <cfRule type="containsText" dxfId="13096" priority="1243" operator="containsText" text="프로젝트">
      <formula>NOT(ISERROR(SEARCH(("프로젝트"),(D359))))</formula>
    </cfRule>
    <cfRule type="containsText" dxfId="13095" priority="1244" operator="containsText" text="정규교과">
      <formula>NOT(ISERROR(SEARCH(("정규교과"),(D359))))</formula>
    </cfRule>
    <cfRule type="containsText" dxfId="13094" priority="1245" operator="containsText" text="기타">
      <formula>NOT(ISERROR(SEARCH(("기타"),(D359))))</formula>
    </cfRule>
    <cfRule type="containsText" dxfId="13093" priority="1216" operator="containsText" text="프로젝트">
      <formula>NOT(ISERROR(SEARCH(("프로젝트"),(D359))))</formula>
    </cfRule>
  </conditionalFormatting>
  <conditionalFormatting sqref="D363">
    <cfRule type="containsText" dxfId="13092" priority="1102" operator="containsText" text="정규교과">
      <formula>NOT(ISERROR(SEARCH(("정규교과"),(D363))))</formula>
    </cfRule>
    <cfRule type="containsText" dxfId="13091" priority="1106" operator="containsText" text="기타">
      <formula>NOT(ISERROR(SEARCH(("기타"),(D363))))</formula>
    </cfRule>
    <cfRule type="containsText" dxfId="13090" priority="1107" operator="containsText" text="프로젝트">
      <formula>NOT(ISERROR(SEARCH(("프로젝트"),(D363))))</formula>
    </cfRule>
    <cfRule type="containsText" dxfId="13089" priority="1108" operator="containsText" text="정규교과">
      <formula>NOT(ISERROR(SEARCH(("정규교과"),(D363))))</formula>
    </cfRule>
    <cfRule type="containsText" dxfId="13088" priority="1109" operator="containsText" text="기타">
      <formula>NOT(ISERROR(SEARCH(("기타"),(D363))))</formula>
    </cfRule>
    <cfRule type="containsText" dxfId="13087" priority="1101" operator="containsText" text="프로젝트">
      <formula>NOT(ISERROR(SEARCH(("프로젝트"),(D363))))</formula>
    </cfRule>
    <cfRule type="containsText" dxfId="13086" priority="1111" operator="containsText" text="정규교과">
      <formula>NOT(ISERROR(SEARCH(("정규교과"),(D363))))</formula>
    </cfRule>
    <cfRule type="containsText" dxfId="13085" priority="1113" operator="containsText" text="프로젝트">
      <formula>NOT(ISERROR(SEARCH(("프로젝트"),(D363))))</formula>
    </cfRule>
    <cfRule type="containsText" dxfId="13084" priority="1114" operator="containsText" text="정규교과">
      <formula>NOT(ISERROR(SEARCH(("정규교과"),(D363))))</formula>
    </cfRule>
    <cfRule type="containsText" dxfId="13083" priority="1115" operator="containsText" text="기타">
      <formula>NOT(ISERROR(SEARCH(("기타"),(D363))))</formula>
    </cfRule>
    <cfRule type="containsText" dxfId="13082" priority="1100" operator="containsText" text="기타">
      <formula>NOT(ISERROR(SEARCH(("기타"),(D363))))</formula>
    </cfRule>
    <cfRule type="containsText" dxfId="13081" priority="1099" operator="containsText" text="정규교과">
      <formula>NOT(ISERROR(SEARCH(("정규교과"),(D363))))</formula>
    </cfRule>
    <cfRule type="containsText" dxfId="13080" priority="1098" operator="containsText" text="프로젝트">
      <formula>NOT(ISERROR(SEARCH(("프로젝트"),(D363))))</formula>
    </cfRule>
    <cfRule type="containsText" dxfId="13079" priority="1097" operator="containsText" text="기타">
      <formula>NOT(ISERROR(SEARCH(("기타"),(D363))))</formula>
    </cfRule>
    <cfRule type="containsText" dxfId="13078" priority="1096" operator="containsText" text="정규교과">
      <formula>NOT(ISERROR(SEARCH(("정규교과"),(D363))))</formula>
    </cfRule>
    <cfRule type="containsText" dxfId="13077" priority="1095" operator="containsText" text="프로젝트">
      <formula>NOT(ISERROR(SEARCH(("프로젝트"),(D363))))</formula>
    </cfRule>
    <cfRule type="containsText" dxfId="13076" priority="1094" operator="containsText" text="기타">
      <formula>NOT(ISERROR(SEARCH(("기타"),(D363))))</formula>
    </cfRule>
    <cfRule type="containsText" dxfId="13075" priority="1093" operator="containsText" text="정규교과">
      <formula>NOT(ISERROR(SEARCH(("정규교과"),(D363))))</formula>
    </cfRule>
    <cfRule type="containsText" dxfId="13074" priority="1105" operator="containsText" text="정규교과">
      <formula>NOT(ISERROR(SEARCH(("정규교과"),(D363))))</formula>
    </cfRule>
    <cfRule type="containsText" dxfId="13073" priority="1086" operator="containsText" text="프로젝트">
      <formula>NOT(ISERROR(SEARCH(("프로젝트"),(D363))))</formula>
    </cfRule>
    <cfRule type="containsText" dxfId="13072" priority="1089" operator="containsText" text="프로젝트">
      <formula>NOT(ISERROR(SEARCH(("프로젝트"),(D363))))</formula>
    </cfRule>
    <cfRule type="containsText" dxfId="13071" priority="1088" operator="containsText" text="기타">
      <formula>NOT(ISERROR(SEARCH(("기타"),(D363))))</formula>
    </cfRule>
    <cfRule type="containsText" dxfId="13070" priority="1112" operator="containsText" text="기타">
      <formula>NOT(ISERROR(SEARCH(("기타"),(D363))))</formula>
    </cfRule>
    <cfRule type="containsText" dxfId="13069" priority="1090" operator="containsText" text="정규교과">
      <formula>NOT(ISERROR(SEARCH(("정규교과"),(D363))))</formula>
    </cfRule>
    <cfRule type="containsText" dxfId="13068" priority="1087" operator="containsText" text="정규교과">
      <formula>NOT(ISERROR(SEARCH(("정규교과"),(D363))))</formula>
    </cfRule>
    <cfRule type="containsText" dxfId="13067" priority="1104" operator="containsText" text="프로젝트">
      <formula>NOT(ISERROR(SEARCH(("프로젝트"),(D363))))</formula>
    </cfRule>
    <cfRule type="containsText" dxfId="13066" priority="1091" operator="containsText" text="기타">
      <formula>NOT(ISERROR(SEARCH(("기타"),(D363))))</formula>
    </cfRule>
    <cfRule type="containsText" dxfId="13065" priority="1103" operator="containsText" text="기타">
      <formula>NOT(ISERROR(SEARCH(("기타"),(D363))))</formula>
    </cfRule>
    <cfRule type="containsText" dxfId="13064" priority="1092" operator="containsText" text="프로젝트">
      <formula>NOT(ISERROR(SEARCH(("프로젝트"),(D363))))</formula>
    </cfRule>
    <cfRule type="containsText" dxfId="13063" priority="1110" operator="containsText" text="프로젝트">
      <formula>NOT(ISERROR(SEARCH(("프로젝트"),(D363))))</formula>
    </cfRule>
  </conditionalFormatting>
  <conditionalFormatting sqref="D368">
    <cfRule type="containsText" dxfId="13062" priority="969" operator="containsText" text="정규교과">
      <formula>NOT(ISERROR(SEARCH(("정규교과"),(D368))))</formula>
    </cfRule>
    <cfRule type="containsText" dxfId="13061" priority="970" operator="containsText" text="기타">
      <formula>NOT(ISERROR(SEARCH(("기타"),(D368))))</formula>
    </cfRule>
    <cfRule type="containsText" dxfId="13060" priority="971" operator="containsText" text="프로젝트">
      <formula>NOT(ISERROR(SEARCH(("프로젝트"),(D368))))</formula>
    </cfRule>
    <cfRule type="containsText" dxfId="13059" priority="972" operator="containsText" text="정규교과">
      <formula>NOT(ISERROR(SEARCH(("정규교과"),(D368))))</formula>
    </cfRule>
    <cfRule type="containsText" dxfId="13058" priority="973" operator="containsText" text="기타">
      <formula>NOT(ISERROR(SEARCH(("기타"),(D368))))</formula>
    </cfRule>
    <cfRule type="containsText" dxfId="13057" priority="979" operator="containsText" text="기타">
      <formula>NOT(ISERROR(SEARCH(("기타"),(D368))))</formula>
    </cfRule>
    <cfRule type="containsText" dxfId="13056" priority="974" operator="containsText" text="프로젝트">
      <formula>NOT(ISERROR(SEARCH(("프로젝트"),(D368))))</formula>
    </cfRule>
    <cfRule type="containsText" dxfId="13055" priority="975" operator="containsText" text="정규교과">
      <formula>NOT(ISERROR(SEARCH(("정규교과"),(D368))))</formula>
    </cfRule>
    <cfRule type="containsText" dxfId="13054" priority="976" operator="containsText" text="기타">
      <formula>NOT(ISERROR(SEARCH(("기타"),(D368))))</formula>
    </cfRule>
    <cfRule type="containsText" dxfId="13053" priority="977" operator="containsText" text="프로젝트">
      <formula>NOT(ISERROR(SEARCH(("프로젝트"),(D368))))</formula>
    </cfRule>
    <cfRule type="containsText" dxfId="13052" priority="978" operator="containsText" text="정규교과">
      <formula>NOT(ISERROR(SEARCH(("정규교과"),(D368))))</formula>
    </cfRule>
    <cfRule type="containsText" dxfId="13051" priority="980" operator="containsText" text="프로젝트">
      <formula>NOT(ISERROR(SEARCH(("프로젝트"),(D368))))</formula>
    </cfRule>
    <cfRule type="containsText" dxfId="13050" priority="981" operator="containsText" text="정규교과">
      <formula>NOT(ISERROR(SEARCH(("정규교과"),(D368))))</formula>
    </cfRule>
    <cfRule type="containsText" dxfId="13049" priority="982" operator="containsText" text="기타">
      <formula>NOT(ISERROR(SEARCH(("기타"),(D368))))</formula>
    </cfRule>
    <cfRule type="containsText" dxfId="13048" priority="983" operator="containsText" text="프로젝트">
      <formula>NOT(ISERROR(SEARCH(("프로젝트"),(D368))))</formula>
    </cfRule>
    <cfRule type="containsText" dxfId="13047" priority="984" operator="containsText" text="정규교과">
      <formula>NOT(ISERROR(SEARCH(("정규교과"),(D368))))</formula>
    </cfRule>
    <cfRule type="containsText" dxfId="13046" priority="985" operator="containsText" text="기타">
      <formula>NOT(ISERROR(SEARCH(("기타"),(D368))))</formula>
    </cfRule>
    <cfRule type="containsText" dxfId="13045" priority="965" operator="containsText" text="프로젝트">
      <formula>NOT(ISERROR(SEARCH(("프로젝트"),(D368))))</formula>
    </cfRule>
    <cfRule type="containsText" dxfId="13044" priority="956" operator="containsText" text="프로젝트">
      <formula>NOT(ISERROR(SEARCH(("프로젝트"),(D368))))</formula>
    </cfRule>
    <cfRule type="containsText" dxfId="13043" priority="957" operator="containsText" text="정규교과">
      <formula>NOT(ISERROR(SEARCH(("정규교과"),(D368))))</formula>
    </cfRule>
    <cfRule type="containsText" dxfId="13042" priority="958" operator="containsText" text="기타">
      <formula>NOT(ISERROR(SEARCH(("기타"),(D368))))</formula>
    </cfRule>
    <cfRule type="containsText" dxfId="13041" priority="959" operator="containsText" text="프로젝트">
      <formula>NOT(ISERROR(SEARCH(("프로젝트"),(D368))))</formula>
    </cfRule>
    <cfRule type="containsText" dxfId="13040" priority="960" operator="containsText" text="정규교과">
      <formula>NOT(ISERROR(SEARCH(("정규교과"),(D368))))</formula>
    </cfRule>
    <cfRule type="containsText" dxfId="13039" priority="961" operator="containsText" text="기타">
      <formula>NOT(ISERROR(SEARCH(("기타"),(D368))))</formula>
    </cfRule>
    <cfRule type="containsText" dxfId="13038" priority="962" operator="containsText" text="프로젝트">
      <formula>NOT(ISERROR(SEARCH(("프로젝트"),(D368))))</formula>
    </cfRule>
    <cfRule type="containsText" dxfId="13037" priority="963" operator="containsText" text="정규교과">
      <formula>NOT(ISERROR(SEARCH(("정규교과"),(D368))))</formula>
    </cfRule>
    <cfRule type="containsText" dxfId="13036" priority="964" operator="containsText" text="기타">
      <formula>NOT(ISERROR(SEARCH(("기타"),(D368))))</formula>
    </cfRule>
    <cfRule type="containsText" dxfId="13035" priority="966" operator="containsText" text="정규교과">
      <formula>NOT(ISERROR(SEARCH(("정규교과"),(D368))))</formula>
    </cfRule>
    <cfRule type="containsText" dxfId="13034" priority="967" operator="containsText" text="기타">
      <formula>NOT(ISERROR(SEARCH(("기타"),(D368))))</formula>
    </cfRule>
    <cfRule type="containsText" dxfId="13033" priority="968" operator="containsText" text="프로젝트">
      <formula>NOT(ISERROR(SEARCH(("프로젝트"),(D368))))</formula>
    </cfRule>
  </conditionalFormatting>
  <conditionalFormatting sqref="D372">
    <cfRule type="containsText" dxfId="13032" priority="827" operator="containsText" text="정규교과">
      <formula>NOT(ISERROR(SEARCH(("정규교과"),(D372))))</formula>
    </cfRule>
    <cfRule type="containsText" dxfId="13031" priority="838" operator="containsText" text="프로젝트">
      <formula>NOT(ISERROR(SEARCH(("프로젝트"),(D372))))</formula>
    </cfRule>
    <cfRule type="containsText" dxfId="13030" priority="839" operator="containsText" text="정규교과">
      <formula>NOT(ISERROR(SEARCH(("정규교과"),(D372))))</formula>
    </cfRule>
    <cfRule type="containsText" dxfId="13029" priority="828" operator="containsText" text="기타">
      <formula>NOT(ISERROR(SEARCH(("기타"),(D372))))</formula>
    </cfRule>
    <cfRule type="containsText" dxfId="13028" priority="836" operator="containsText" text="정규교과">
      <formula>NOT(ISERROR(SEARCH(("정규교과"),(D372))))</formula>
    </cfRule>
    <cfRule type="containsText" dxfId="13027" priority="835" operator="containsText" text="프로젝트">
      <formula>NOT(ISERROR(SEARCH(("프로젝트"),(D372))))</formula>
    </cfRule>
    <cfRule type="containsText" dxfId="13026" priority="834" operator="containsText" text="기타">
      <formula>NOT(ISERROR(SEARCH(("기타"),(D372))))</formula>
    </cfRule>
    <cfRule type="containsText" dxfId="13025" priority="833" operator="containsText" text="정규교과">
      <formula>NOT(ISERROR(SEARCH(("정규교과"),(D372))))</formula>
    </cfRule>
    <cfRule type="containsText" dxfId="13024" priority="832" operator="containsText" text="프로젝트">
      <formula>NOT(ISERROR(SEARCH(("프로젝트"),(D372))))</formula>
    </cfRule>
    <cfRule type="containsText" dxfId="13023" priority="831" operator="containsText" text="기타">
      <formula>NOT(ISERROR(SEARCH(("기타"),(D372))))</formula>
    </cfRule>
    <cfRule type="containsText" dxfId="13022" priority="829" operator="containsText" text="프로젝트">
      <formula>NOT(ISERROR(SEARCH(("프로젝트"),(D372))))</formula>
    </cfRule>
    <cfRule type="containsText" dxfId="13021" priority="837" operator="containsText" text="기타">
      <formula>NOT(ISERROR(SEARCH(("기타"),(D372))))</formula>
    </cfRule>
    <cfRule type="containsText" dxfId="13020" priority="830" operator="containsText" text="정규교과">
      <formula>NOT(ISERROR(SEARCH(("정규교과"),(D372))))</formula>
    </cfRule>
    <cfRule type="containsText" dxfId="13019" priority="826" operator="containsText" text="프로젝트">
      <formula>NOT(ISERROR(SEARCH(("프로젝트"),(D372))))</formula>
    </cfRule>
    <cfRule type="containsText" dxfId="13018" priority="855" operator="containsText" text="기타">
      <formula>NOT(ISERROR(SEARCH(("기타"),(D372))))</formula>
    </cfRule>
    <cfRule type="containsText" dxfId="13017" priority="840" operator="containsText" text="기타">
      <formula>NOT(ISERROR(SEARCH(("기타"),(D372))))</formula>
    </cfRule>
    <cfRule type="containsText" dxfId="13016" priority="841" operator="containsText" text="프로젝트">
      <formula>NOT(ISERROR(SEARCH(("프로젝트"),(D372))))</formula>
    </cfRule>
    <cfRule type="containsText" dxfId="13015" priority="842" operator="containsText" text="정규교과">
      <formula>NOT(ISERROR(SEARCH(("정규교과"),(D372))))</formula>
    </cfRule>
    <cfRule type="containsText" dxfId="13014" priority="843" operator="containsText" text="기타">
      <formula>NOT(ISERROR(SEARCH(("기타"),(D372))))</formula>
    </cfRule>
    <cfRule type="containsText" dxfId="13013" priority="844" operator="containsText" text="프로젝트">
      <formula>NOT(ISERROR(SEARCH(("프로젝트"),(D372))))</formula>
    </cfRule>
    <cfRule type="containsText" dxfId="13012" priority="845" operator="containsText" text="정규교과">
      <formula>NOT(ISERROR(SEARCH(("정규교과"),(D372))))</formula>
    </cfRule>
    <cfRule type="containsText" dxfId="13011" priority="852" operator="containsText" text="기타">
      <formula>NOT(ISERROR(SEARCH(("기타"),(D372))))</formula>
    </cfRule>
    <cfRule type="containsText" dxfId="13010" priority="846" operator="containsText" text="기타">
      <formula>NOT(ISERROR(SEARCH(("기타"),(D372))))</formula>
    </cfRule>
    <cfRule type="containsText" dxfId="13009" priority="848" operator="containsText" text="정규교과">
      <formula>NOT(ISERROR(SEARCH(("정규교과"),(D372))))</formula>
    </cfRule>
    <cfRule type="containsText" dxfId="13008" priority="849" operator="containsText" text="기타">
      <formula>NOT(ISERROR(SEARCH(("기타"),(D372))))</formula>
    </cfRule>
    <cfRule type="containsText" dxfId="13007" priority="850" operator="containsText" text="프로젝트">
      <formula>NOT(ISERROR(SEARCH(("프로젝트"),(D372))))</formula>
    </cfRule>
    <cfRule type="containsText" dxfId="13006" priority="851" operator="containsText" text="정규교과">
      <formula>NOT(ISERROR(SEARCH(("정규교과"),(D372))))</formula>
    </cfRule>
    <cfRule type="containsText" dxfId="13005" priority="854" operator="containsText" text="정규교과">
      <formula>NOT(ISERROR(SEARCH(("정규교과"),(D372))))</formula>
    </cfRule>
    <cfRule type="containsText" dxfId="13004" priority="853" operator="containsText" text="프로젝트">
      <formula>NOT(ISERROR(SEARCH(("프로젝트"),(D372))))</formula>
    </cfRule>
    <cfRule type="containsText" dxfId="13003" priority="847" operator="containsText" text="프로젝트">
      <formula>NOT(ISERROR(SEARCH(("프로젝트"),(D372))))</formula>
    </cfRule>
  </conditionalFormatting>
  <conditionalFormatting sqref="D376">
    <cfRule type="containsText" dxfId="13002" priority="723" operator="containsText" text="프로젝트">
      <formula>NOT(ISERROR(SEARCH(("프로젝트"),(D376))))</formula>
    </cfRule>
    <cfRule type="containsText" dxfId="13001" priority="707" operator="containsText" text="기타">
      <formula>NOT(ISERROR(SEARCH(("기타"),(D376))))</formula>
    </cfRule>
    <cfRule type="containsText" dxfId="13000" priority="722" operator="containsText" text="기타">
      <formula>NOT(ISERROR(SEARCH(("기타"),(D376))))</formula>
    </cfRule>
    <cfRule type="containsText" dxfId="12999" priority="724" operator="containsText" text="정규교과">
      <formula>NOT(ISERROR(SEARCH(("정규교과"),(D376))))</formula>
    </cfRule>
    <cfRule type="containsText" dxfId="12998" priority="725" operator="containsText" text="기타">
      <formula>NOT(ISERROR(SEARCH(("기타"),(D376))))</formula>
    </cfRule>
    <cfRule type="containsText" dxfId="12997" priority="706" operator="containsText" text="정규교과">
      <formula>NOT(ISERROR(SEARCH(("정규교과"),(D376))))</formula>
    </cfRule>
    <cfRule type="containsText" dxfId="12996" priority="705" operator="containsText" text="프로젝트">
      <formula>NOT(ISERROR(SEARCH(("프로젝트"),(D376))))</formula>
    </cfRule>
    <cfRule type="containsText" dxfId="12995" priority="704" operator="containsText" text="기타">
      <formula>NOT(ISERROR(SEARCH(("기타"),(D376))))</formula>
    </cfRule>
    <cfRule type="containsText" dxfId="12994" priority="703" operator="containsText" text="정규교과">
      <formula>NOT(ISERROR(SEARCH(("정규교과"),(D376))))</formula>
    </cfRule>
    <cfRule type="containsText" dxfId="12993" priority="702" operator="containsText" text="프로젝트">
      <formula>NOT(ISERROR(SEARCH(("프로젝트"),(D376))))</formula>
    </cfRule>
    <cfRule type="containsText" dxfId="12992" priority="701" operator="containsText" text="기타">
      <formula>NOT(ISERROR(SEARCH(("기타"),(D376))))</formula>
    </cfRule>
    <cfRule type="containsText" dxfId="12991" priority="700" operator="containsText" text="정규교과">
      <formula>NOT(ISERROR(SEARCH(("정규교과"),(D376))))</formula>
    </cfRule>
    <cfRule type="containsText" dxfId="12990" priority="699" operator="containsText" text="프로젝트">
      <formula>NOT(ISERROR(SEARCH(("프로젝트"),(D376))))</formula>
    </cfRule>
    <cfRule type="containsText" dxfId="12989" priority="698" operator="containsText" text="기타">
      <formula>NOT(ISERROR(SEARCH(("기타"),(D376))))</formula>
    </cfRule>
    <cfRule type="containsText" dxfId="12988" priority="697" operator="containsText" text="정규교과">
      <formula>NOT(ISERROR(SEARCH(("정규교과"),(D376))))</formula>
    </cfRule>
    <cfRule type="containsText" dxfId="12987" priority="696" operator="containsText" text="프로젝트">
      <formula>NOT(ISERROR(SEARCH(("프로젝트"),(D376))))</formula>
    </cfRule>
    <cfRule type="containsText" dxfId="12986" priority="721" operator="containsText" text="정규교과">
      <formula>NOT(ISERROR(SEARCH(("정규교과"),(D376))))</formula>
    </cfRule>
    <cfRule type="containsText" dxfId="12985" priority="720" operator="containsText" text="프로젝트">
      <formula>NOT(ISERROR(SEARCH(("프로젝트"),(D376))))</formula>
    </cfRule>
    <cfRule type="containsText" dxfId="12984" priority="719" operator="containsText" text="기타">
      <formula>NOT(ISERROR(SEARCH(("기타"),(D376))))</formula>
    </cfRule>
    <cfRule type="containsText" dxfId="12983" priority="718" operator="containsText" text="정규교과">
      <formula>NOT(ISERROR(SEARCH(("정규교과"),(D376))))</formula>
    </cfRule>
    <cfRule type="containsText" dxfId="12982" priority="717" operator="containsText" text="프로젝트">
      <formula>NOT(ISERROR(SEARCH(("프로젝트"),(D376))))</formula>
    </cfRule>
    <cfRule type="containsText" dxfId="12981" priority="716" operator="containsText" text="기타">
      <formula>NOT(ISERROR(SEARCH(("기타"),(D376))))</formula>
    </cfRule>
    <cfRule type="containsText" dxfId="12980" priority="715" operator="containsText" text="정규교과">
      <formula>NOT(ISERROR(SEARCH(("정규교과"),(D376))))</formula>
    </cfRule>
    <cfRule type="containsText" dxfId="12979" priority="714" operator="containsText" text="프로젝트">
      <formula>NOT(ISERROR(SEARCH(("프로젝트"),(D376))))</formula>
    </cfRule>
    <cfRule type="containsText" dxfId="12978" priority="713" operator="containsText" text="기타">
      <formula>NOT(ISERROR(SEARCH(("기타"),(D376))))</formula>
    </cfRule>
    <cfRule type="containsText" dxfId="12977" priority="711" operator="containsText" text="프로젝트">
      <formula>NOT(ISERROR(SEARCH(("프로젝트"),(D376))))</formula>
    </cfRule>
    <cfRule type="containsText" dxfId="12976" priority="710" operator="containsText" text="기타">
      <formula>NOT(ISERROR(SEARCH(("기타"),(D376))))</formula>
    </cfRule>
    <cfRule type="containsText" dxfId="12975" priority="709" operator="containsText" text="정규교과">
      <formula>NOT(ISERROR(SEARCH(("정규교과"),(D376))))</formula>
    </cfRule>
    <cfRule type="containsText" dxfId="12974" priority="708" operator="containsText" text="프로젝트">
      <formula>NOT(ISERROR(SEARCH(("프로젝트"),(D376))))</formula>
    </cfRule>
    <cfRule type="containsText" dxfId="12973" priority="712" operator="containsText" text="정규교과">
      <formula>NOT(ISERROR(SEARCH(("정규교과"),(D376))))</formula>
    </cfRule>
  </conditionalFormatting>
  <conditionalFormatting sqref="D380">
    <cfRule type="containsText" dxfId="12972" priority="576" operator="containsText" text="정규교과">
      <formula>NOT(ISERROR(SEARCH(("정규교과"),(D380))))</formula>
    </cfRule>
    <cfRule type="containsText" dxfId="12971" priority="579" operator="containsText" text="정규교과">
      <formula>NOT(ISERROR(SEARCH(("정규교과"),(D380))))</formula>
    </cfRule>
    <cfRule type="containsText" dxfId="12970" priority="578" operator="containsText" text="프로젝트">
      <formula>NOT(ISERROR(SEARCH(("프로젝트"),(D380))))</formula>
    </cfRule>
    <cfRule type="containsText" dxfId="12969" priority="577" operator="containsText" text="기타">
      <formula>NOT(ISERROR(SEARCH(("기타"),(D380))))</formula>
    </cfRule>
    <cfRule type="containsText" dxfId="12968" priority="571" operator="containsText" text="기타">
      <formula>NOT(ISERROR(SEARCH(("기타"),(D380))))</formula>
    </cfRule>
    <cfRule type="containsText" dxfId="12967" priority="575" operator="containsText" text="프로젝트">
      <formula>NOT(ISERROR(SEARCH(("프로젝트"),(D380))))</formula>
    </cfRule>
    <cfRule type="containsText" dxfId="12966" priority="586" operator="containsText" text="기타">
      <formula>NOT(ISERROR(SEARCH(("기타"),(D380))))</formula>
    </cfRule>
    <cfRule type="containsText" dxfId="12965" priority="580" operator="containsText" text="기타">
      <formula>NOT(ISERROR(SEARCH(("기타"),(D380))))</formula>
    </cfRule>
    <cfRule type="containsText" dxfId="12964" priority="570" operator="containsText" text="정규교과">
      <formula>NOT(ISERROR(SEARCH(("정규교과"),(D380))))</formula>
    </cfRule>
    <cfRule type="containsText" dxfId="12963" priority="572" operator="containsText" text="프로젝트">
      <formula>NOT(ISERROR(SEARCH(("프로젝트"),(D380))))</formula>
    </cfRule>
    <cfRule type="containsText" dxfId="12962" priority="569" operator="containsText" text="프로젝트">
      <formula>NOT(ISERROR(SEARCH(("프로젝트"),(D380))))</formula>
    </cfRule>
    <cfRule type="containsText" dxfId="12961" priority="573" operator="containsText" text="정규교과">
      <formula>NOT(ISERROR(SEARCH(("정규교과"),(D380))))</formula>
    </cfRule>
    <cfRule type="containsText" dxfId="12960" priority="581" operator="containsText" text="프로젝트">
      <formula>NOT(ISERROR(SEARCH(("프로젝트"),(D380))))</formula>
    </cfRule>
    <cfRule type="containsText" dxfId="12959" priority="582" operator="containsText" text="정규교과">
      <formula>NOT(ISERROR(SEARCH(("정규교과"),(D380))))</formula>
    </cfRule>
    <cfRule type="containsText" dxfId="12958" priority="583" operator="containsText" text="기타">
      <formula>NOT(ISERROR(SEARCH(("기타"),(D380))))</formula>
    </cfRule>
    <cfRule type="containsText" dxfId="12957" priority="584" operator="containsText" text="프로젝트">
      <formula>NOT(ISERROR(SEARCH(("프로젝트"),(D380))))</formula>
    </cfRule>
    <cfRule type="containsText" dxfId="12956" priority="585" operator="containsText" text="정규교과">
      <formula>NOT(ISERROR(SEARCH(("정규교과"),(D380))))</formula>
    </cfRule>
    <cfRule type="containsText" dxfId="12955" priority="587" operator="containsText" text="프로젝트">
      <formula>NOT(ISERROR(SEARCH(("프로젝트"),(D380))))</formula>
    </cfRule>
    <cfRule type="containsText" dxfId="12954" priority="568" operator="containsText" text="기타">
      <formula>NOT(ISERROR(SEARCH(("기타"),(D380))))</formula>
    </cfRule>
    <cfRule type="containsText" dxfId="12953" priority="588" operator="containsText" text="정규교과">
      <formula>NOT(ISERROR(SEARCH(("정규교과"),(D380))))</formula>
    </cfRule>
    <cfRule type="containsText" dxfId="12952" priority="595" operator="containsText" text="기타">
      <formula>NOT(ISERROR(SEARCH(("기타"),(D380))))</formula>
    </cfRule>
    <cfRule type="containsText" dxfId="12951" priority="589" operator="containsText" text="기타">
      <formula>NOT(ISERROR(SEARCH(("기타"),(D380))))</formula>
    </cfRule>
    <cfRule type="containsText" dxfId="12950" priority="590" operator="containsText" text="프로젝트">
      <formula>NOT(ISERROR(SEARCH(("프로젝트"),(D380))))</formula>
    </cfRule>
    <cfRule type="containsText" dxfId="12949" priority="591" operator="containsText" text="정규교과">
      <formula>NOT(ISERROR(SEARCH(("정규교과"),(D380))))</formula>
    </cfRule>
    <cfRule type="containsText" dxfId="12948" priority="592" operator="containsText" text="기타">
      <formula>NOT(ISERROR(SEARCH(("기타"),(D380))))</formula>
    </cfRule>
    <cfRule type="containsText" dxfId="12947" priority="593" operator="containsText" text="프로젝트">
      <formula>NOT(ISERROR(SEARCH(("프로젝트"),(D380))))</formula>
    </cfRule>
    <cfRule type="containsText" dxfId="12946" priority="594" operator="containsText" text="정규교과">
      <formula>NOT(ISERROR(SEARCH(("정규교과"),(D380))))</formula>
    </cfRule>
    <cfRule type="containsText" dxfId="12945" priority="566" operator="containsText" text="프로젝트">
      <formula>NOT(ISERROR(SEARCH(("프로젝트"),(D380))))</formula>
    </cfRule>
    <cfRule type="containsText" dxfId="12944" priority="567" operator="containsText" text="정규교과">
      <formula>NOT(ISERROR(SEARCH(("정규교과"),(D380))))</formula>
    </cfRule>
    <cfRule type="containsText" dxfId="12943" priority="574" operator="containsText" text="기타">
      <formula>NOT(ISERROR(SEARCH(("기타"),(D380))))</formula>
    </cfRule>
  </conditionalFormatting>
  <conditionalFormatting sqref="D384">
    <cfRule type="containsText" dxfId="12942" priority="465" operator="containsText" text="기타">
      <formula>NOT(ISERROR(SEARCH(("기타"),(D384))))</formula>
    </cfRule>
    <cfRule type="containsText" dxfId="12941" priority="464" operator="containsText" text="정규교과">
      <formula>NOT(ISERROR(SEARCH(("정규교과"),(D384))))</formula>
    </cfRule>
    <cfRule type="containsText" dxfId="12940" priority="463" operator="containsText" text="프로젝트">
      <formula>NOT(ISERROR(SEARCH(("프로젝트"),(D384))))</formula>
    </cfRule>
    <cfRule type="containsText" dxfId="12939" priority="462" operator="containsText" text="기타">
      <formula>NOT(ISERROR(SEARCH(("기타"),(D384))))</formula>
    </cfRule>
    <cfRule type="containsText" dxfId="12938" priority="460" operator="containsText" text="프로젝트">
      <formula>NOT(ISERROR(SEARCH(("프로젝트"),(D384))))</formula>
    </cfRule>
    <cfRule type="containsText" dxfId="12937" priority="459" operator="containsText" text="기타">
      <formula>NOT(ISERROR(SEARCH(("기타"),(D384))))</formula>
    </cfRule>
    <cfRule type="containsText" dxfId="12936" priority="458" operator="containsText" text="정규교과">
      <formula>NOT(ISERROR(SEARCH(("정규교과"),(D384))))</formula>
    </cfRule>
    <cfRule type="containsText" dxfId="12935" priority="454" operator="containsText" text="프로젝트">
      <formula>NOT(ISERROR(SEARCH(("프로젝트"),(D384))))</formula>
    </cfRule>
    <cfRule type="containsText" dxfId="12934" priority="453" operator="containsText" text="기타">
      <formula>NOT(ISERROR(SEARCH(("기타"),(D384))))</formula>
    </cfRule>
    <cfRule type="containsText" dxfId="12933" priority="452" operator="containsText" text="정규교과">
      <formula>NOT(ISERROR(SEARCH(("정규교과"),(D384))))</formula>
    </cfRule>
    <cfRule type="containsText" dxfId="12932" priority="451" operator="containsText" text="프로젝트">
      <formula>NOT(ISERROR(SEARCH(("프로젝트"),(D384))))</formula>
    </cfRule>
    <cfRule type="containsText" dxfId="12931" priority="450" operator="containsText" text="기타">
      <formula>NOT(ISERROR(SEARCH(("기타"),(D384))))</formula>
    </cfRule>
    <cfRule type="containsText" dxfId="12930" priority="449" operator="containsText" text="정규교과">
      <formula>NOT(ISERROR(SEARCH(("정규교과"),(D384))))</formula>
    </cfRule>
    <cfRule type="containsText" dxfId="12929" priority="441" operator="containsText" text="기타">
      <formula>NOT(ISERROR(SEARCH(("기타"),(D384))))</formula>
    </cfRule>
    <cfRule type="containsText" dxfId="12928" priority="448" operator="containsText" text="프로젝트">
      <formula>NOT(ISERROR(SEARCH(("프로젝트"),(D384))))</formula>
    </cfRule>
    <cfRule type="containsText" dxfId="12927" priority="447" operator="containsText" text="기타">
      <formula>NOT(ISERROR(SEARCH(("기타"),(D384))))</formula>
    </cfRule>
    <cfRule type="containsText" dxfId="12926" priority="446" operator="containsText" text="정규교과">
      <formula>NOT(ISERROR(SEARCH(("정규교과"),(D384))))</formula>
    </cfRule>
    <cfRule type="containsText" dxfId="12925" priority="445" operator="containsText" text="프로젝트">
      <formula>NOT(ISERROR(SEARCH(("프로젝트"),(D384))))</formula>
    </cfRule>
    <cfRule type="containsText" dxfId="12924" priority="444" operator="containsText" text="기타">
      <formula>NOT(ISERROR(SEARCH(("기타"),(D384))))</formula>
    </cfRule>
    <cfRule type="containsText" dxfId="12923" priority="443" operator="containsText" text="정규교과">
      <formula>NOT(ISERROR(SEARCH(("정규교과"),(D384))))</formula>
    </cfRule>
    <cfRule type="containsText" dxfId="12922" priority="442" operator="containsText" text="프로젝트">
      <formula>NOT(ISERROR(SEARCH(("프로젝트"),(D384))))</formula>
    </cfRule>
    <cfRule type="containsText" dxfId="12921" priority="440" operator="containsText" text="정규교과">
      <formula>NOT(ISERROR(SEARCH(("정규교과"),(D384))))</formula>
    </cfRule>
    <cfRule type="containsText" dxfId="12920" priority="439" operator="containsText" text="프로젝트">
      <formula>NOT(ISERROR(SEARCH(("프로젝트"),(D384))))</formula>
    </cfRule>
    <cfRule type="containsText" dxfId="12919" priority="438" operator="containsText" text="기타">
      <formula>NOT(ISERROR(SEARCH(("기타"),(D384))))</formula>
    </cfRule>
    <cfRule type="containsText" dxfId="12918" priority="437" operator="containsText" text="정규교과">
      <formula>NOT(ISERROR(SEARCH(("정규교과"),(D384))))</formula>
    </cfRule>
    <cfRule type="containsText" dxfId="12917" priority="436" operator="containsText" text="프로젝트">
      <formula>NOT(ISERROR(SEARCH(("프로젝트"),(D384))))</formula>
    </cfRule>
    <cfRule type="containsText" dxfId="12916" priority="461" operator="containsText" text="정규교과">
      <formula>NOT(ISERROR(SEARCH(("정규교과"),(D384))))</formula>
    </cfRule>
    <cfRule type="containsText" dxfId="12915" priority="457" operator="containsText" text="프로젝트">
      <formula>NOT(ISERROR(SEARCH(("프로젝트"),(D384))))</formula>
    </cfRule>
    <cfRule type="containsText" dxfId="12914" priority="456" operator="containsText" text="기타">
      <formula>NOT(ISERROR(SEARCH(("기타"),(D384))))</formula>
    </cfRule>
    <cfRule type="containsText" dxfId="12913" priority="455" operator="containsText" text="정규교과">
      <formula>NOT(ISERROR(SEARCH(("정규교과"),(D384))))</formula>
    </cfRule>
  </conditionalFormatting>
  <conditionalFormatting sqref="D13:E13">
    <cfRule type="containsText" dxfId="12912" priority="20640" operator="containsText" text="기타">
      <formula>NOT(ISERROR(SEARCH(("기타"),(D13))))</formula>
    </cfRule>
    <cfRule type="containsText" dxfId="12911" priority="20638" operator="containsText" text="프로젝트">
      <formula>NOT(ISERROR(SEARCH(("프로젝트"),(D13))))</formula>
    </cfRule>
    <cfRule type="containsText" dxfId="12910" priority="20639" operator="containsText" text="정규교과">
      <formula>NOT(ISERROR(SEARCH(("정규교과"),(D13))))</formula>
    </cfRule>
  </conditionalFormatting>
  <conditionalFormatting sqref="D22:E22">
    <cfRule type="containsText" dxfId="12909" priority="20634" operator="containsText" text="기타">
      <formula>NOT(ISERROR(SEARCH(("기타"),(D22))))</formula>
    </cfRule>
    <cfRule type="containsText" dxfId="12908" priority="20633" operator="containsText" text="정규교과">
      <formula>NOT(ISERROR(SEARCH(("정규교과"),(D22))))</formula>
    </cfRule>
    <cfRule type="containsText" dxfId="12907" priority="20632" operator="containsText" text="프로젝트">
      <formula>NOT(ISERROR(SEARCH(("프로젝트"),(D22))))</formula>
    </cfRule>
    <cfRule type="containsText" dxfId="12906" priority="20631" operator="containsText" text="기타">
      <formula>NOT(ISERROR(SEARCH(("기타"),(D22))))</formula>
    </cfRule>
    <cfRule type="containsText" dxfId="12905" priority="20630" operator="containsText" text="정규교과">
      <formula>NOT(ISERROR(SEARCH(("정규교과"),(D22))))</formula>
    </cfRule>
    <cfRule type="containsText" dxfId="12904" priority="20629" operator="containsText" text="프로젝트">
      <formula>NOT(ISERROR(SEARCH(("프로젝트"),(D22))))</formula>
    </cfRule>
    <cfRule type="containsText" dxfId="12903" priority="20637" operator="containsText" text="기타">
      <formula>NOT(ISERROR(SEARCH(("기타"),(D22))))</formula>
    </cfRule>
    <cfRule type="containsText" dxfId="12902" priority="20636" operator="containsText" text="정규교과">
      <formula>NOT(ISERROR(SEARCH(("정규교과"),(D22))))</formula>
    </cfRule>
    <cfRule type="containsText" dxfId="12901" priority="20635" operator="containsText" text="프로젝트">
      <formula>NOT(ISERROR(SEARCH(("프로젝트"),(D22))))</formula>
    </cfRule>
  </conditionalFormatting>
  <conditionalFormatting sqref="D26:E26">
    <cfRule type="containsText" dxfId="12900" priority="20628" operator="containsText" text="기타">
      <formula>NOT(ISERROR(SEARCH(("기타"),(D26))))</formula>
    </cfRule>
    <cfRule type="containsText" dxfId="12899" priority="20627" operator="containsText" text="정규교과">
      <formula>NOT(ISERROR(SEARCH(("정규교과"),(D26))))</formula>
    </cfRule>
    <cfRule type="containsText" dxfId="12898" priority="20626" operator="containsText" text="프로젝트">
      <formula>NOT(ISERROR(SEARCH(("프로젝트"),(D26))))</formula>
    </cfRule>
    <cfRule type="containsText" dxfId="12897" priority="20622" operator="containsText" text="기타">
      <formula>NOT(ISERROR(SEARCH(("기타"),(D26))))</formula>
    </cfRule>
    <cfRule type="containsText" dxfId="12896" priority="20625" operator="containsText" text="기타">
      <formula>NOT(ISERROR(SEARCH(("기타"),(D26))))</formula>
    </cfRule>
    <cfRule type="containsText" dxfId="12895" priority="20624" operator="containsText" text="정규교과">
      <formula>NOT(ISERROR(SEARCH(("정규교과"),(D26))))</formula>
    </cfRule>
    <cfRule type="containsText" dxfId="12894" priority="20623" operator="containsText" text="프로젝트">
      <formula>NOT(ISERROR(SEARCH(("프로젝트"),(D26))))</formula>
    </cfRule>
    <cfRule type="containsText" dxfId="12893" priority="20621" operator="containsText" text="정규교과">
      <formula>NOT(ISERROR(SEARCH(("정규교과"),(D26))))</formula>
    </cfRule>
    <cfRule type="containsText" dxfId="12892" priority="20620" operator="containsText" text="프로젝트">
      <formula>NOT(ISERROR(SEARCH(("프로젝트"),(D26))))</formula>
    </cfRule>
  </conditionalFormatting>
  <conditionalFormatting sqref="D30:E30">
    <cfRule type="containsText" dxfId="12891" priority="20616" operator="containsText" text="기타">
      <formula>NOT(ISERROR(SEARCH(("기타"),(D30))))</formula>
    </cfRule>
    <cfRule type="containsText" dxfId="12890" priority="20613" operator="containsText" text="기타">
      <formula>NOT(ISERROR(SEARCH(("기타"),(D30))))</formula>
    </cfRule>
    <cfRule type="containsText" dxfId="12889" priority="20611" operator="containsText" text="프로젝트">
      <formula>NOT(ISERROR(SEARCH(("프로젝트"),(D30))))</formula>
    </cfRule>
    <cfRule type="containsText" dxfId="12888" priority="20612" operator="containsText" text="정규교과">
      <formula>NOT(ISERROR(SEARCH(("정규교과"),(D30))))</formula>
    </cfRule>
    <cfRule type="containsText" dxfId="12887" priority="20614" operator="containsText" text="프로젝트">
      <formula>NOT(ISERROR(SEARCH(("프로젝트"),(D30))))</formula>
    </cfRule>
    <cfRule type="containsText" dxfId="12886" priority="20615" operator="containsText" text="정규교과">
      <formula>NOT(ISERROR(SEARCH(("정규교과"),(D30))))</formula>
    </cfRule>
    <cfRule type="containsText" dxfId="12885" priority="20619" operator="containsText" text="기타">
      <formula>NOT(ISERROR(SEARCH(("기타"),(D30))))</formula>
    </cfRule>
    <cfRule type="containsText" dxfId="12884" priority="20618" operator="containsText" text="정규교과">
      <formula>NOT(ISERROR(SEARCH(("정규교과"),(D30))))</formula>
    </cfRule>
    <cfRule type="containsText" dxfId="12883" priority="20617" operator="containsText" text="프로젝트">
      <formula>NOT(ISERROR(SEARCH(("프로젝트"),(D30))))</formula>
    </cfRule>
  </conditionalFormatting>
  <conditionalFormatting sqref="D34:E34">
    <cfRule type="containsText" dxfId="12882" priority="20602" operator="containsText" text="프로젝트">
      <formula>NOT(ISERROR(SEARCH(("프로젝트"),(D34))))</formula>
    </cfRule>
    <cfRule type="containsText" dxfId="12881" priority="20603" operator="containsText" text="정규교과">
      <formula>NOT(ISERROR(SEARCH(("정규교과"),(D34))))</formula>
    </cfRule>
    <cfRule type="containsText" dxfId="12880" priority="20605" operator="containsText" text="프로젝트">
      <formula>NOT(ISERROR(SEARCH(("프로젝트"),(D34))))</formula>
    </cfRule>
    <cfRule type="containsText" dxfId="12879" priority="20606" operator="containsText" text="정규교과">
      <formula>NOT(ISERROR(SEARCH(("정규교과"),(D34))))</formula>
    </cfRule>
    <cfRule type="containsText" dxfId="12878" priority="20608" operator="containsText" text="프로젝트">
      <formula>NOT(ISERROR(SEARCH(("프로젝트"),(D34))))</formula>
    </cfRule>
    <cfRule type="containsText" dxfId="12877" priority="20609" operator="containsText" text="정규교과">
      <formula>NOT(ISERROR(SEARCH(("정규교과"),(D34))))</formula>
    </cfRule>
    <cfRule type="containsText" dxfId="12876" priority="20610" operator="containsText" text="기타">
      <formula>NOT(ISERROR(SEARCH(("기타"),(D34))))</formula>
    </cfRule>
    <cfRule type="containsText" dxfId="12875" priority="20607" operator="containsText" text="기타">
      <formula>NOT(ISERROR(SEARCH(("기타"),(D34))))</formula>
    </cfRule>
    <cfRule type="containsText" dxfId="12874" priority="20604" operator="containsText" text="기타">
      <formula>NOT(ISERROR(SEARCH(("기타"),(D34))))</formula>
    </cfRule>
  </conditionalFormatting>
  <conditionalFormatting sqref="D40:E40">
    <cfRule type="containsText" dxfId="12873" priority="14230" operator="containsText" text="프로젝트">
      <formula>NOT(ISERROR(SEARCH(("프로젝트"),(D40))))</formula>
    </cfRule>
    <cfRule type="containsText" dxfId="12872" priority="13864" operator="containsText" text="프로젝트">
      <formula>NOT(ISERROR(SEARCH(("프로젝트"),(D40))))</formula>
    </cfRule>
  </conditionalFormatting>
  <conditionalFormatting sqref="D44:E44">
    <cfRule type="containsText" dxfId="12871" priority="13666" operator="containsText" text="프로젝트">
      <formula>NOT(ISERROR(SEARCH(("프로젝트"),(D44))))</formula>
    </cfRule>
  </conditionalFormatting>
  <conditionalFormatting sqref="D48:E48">
    <cfRule type="containsText" dxfId="12870" priority="15376" operator="containsText" text="프로젝트">
      <formula>NOT(ISERROR(SEARCH(("프로젝트"),(D48))))</formula>
    </cfRule>
    <cfRule type="containsText" dxfId="12869" priority="13459" operator="containsText" text="프로젝트">
      <formula>NOT(ISERROR(SEARCH(("프로젝트"),(D48))))</formula>
    </cfRule>
    <cfRule type="containsText" dxfId="12868" priority="20467" operator="containsText" text="프로젝트">
      <formula>NOT(ISERROR(SEARCH(("프로젝트"),(D48))))</formula>
    </cfRule>
    <cfRule type="containsText" dxfId="12867" priority="20468" operator="containsText" text="정규교과">
      <formula>NOT(ISERROR(SEARCH(("정규교과"),(D48))))</formula>
    </cfRule>
    <cfRule type="containsText" dxfId="12866" priority="15378" operator="containsText" text="기타">
      <formula>NOT(ISERROR(SEARCH(("기타"),(D48))))</formula>
    </cfRule>
    <cfRule type="containsText" dxfId="12865" priority="20469" operator="containsText" text="기타">
      <formula>NOT(ISERROR(SEARCH(("기타"),(D48))))</formula>
    </cfRule>
    <cfRule type="containsText" dxfId="12864" priority="15377" operator="containsText" text="정규교과">
      <formula>NOT(ISERROR(SEARCH(("정규교과"),(D48))))</formula>
    </cfRule>
  </conditionalFormatting>
  <conditionalFormatting sqref="D53:E53">
    <cfRule type="containsText" dxfId="12863" priority="20476" operator="containsText" text="프로젝트">
      <formula>NOT(ISERROR(SEARCH(("프로젝트"),(D53))))</formula>
    </cfRule>
    <cfRule type="containsText" dxfId="12862" priority="20477" operator="containsText" text="정규교과">
      <formula>NOT(ISERROR(SEARCH(("정규교과"),(D53))))</formula>
    </cfRule>
    <cfRule type="containsText" dxfId="12861" priority="20478" operator="containsText" text="기타">
      <formula>NOT(ISERROR(SEARCH(("기타"),(D53))))</formula>
    </cfRule>
    <cfRule type="containsText" dxfId="12860" priority="13252" operator="containsText" text="프로젝트">
      <formula>NOT(ISERROR(SEARCH(("프로젝트"),(D53))))</formula>
    </cfRule>
  </conditionalFormatting>
  <conditionalFormatting sqref="D57:E57">
    <cfRule type="containsText" dxfId="12859" priority="20489" operator="containsText" text="정규교과">
      <formula>NOT(ISERROR(SEARCH(("정규교과"),(D57))))</formula>
    </cfRule>
    <cfRule type="containsText" dxfId="12858" priority="20490" operator="containsText" text="기타">
      <formula>NOT(ISERROR(SEARCH(("기타"),(D57))))</formula>
    </cfRule>
    <cfRule type="containsText" dxfId="12857" priority="13045" operator="containsText" text="프로젝트">
      <formula>NOT(ISERROR(SEARCH(("프로젝트"),(D57))))</formula>
    </cfRule>
    <cfRule type="containsText" dxfId="12856" priority="15367" operator="containsText" text="프로젝트">
      <formula>NOT(ISERROR(SEARCH(("프로젝트"),(D57))))</formula>
    </cfRule>
    <cfRule type="containsText" dxfId="12855" priority="15368" operator="containsText" text="정규교과">
      <formula>NOT(ISERROR(SEARCH(("정규교과"),(D57))))</formula>
    </cfRule>
    <cfRule type="containsText" dxfId="12854" priority="15369" operator="containsText" text="기타">
      <formula>NOT(ISERROR(SEARCH(("기타"),(D57))))</formula>
    </cfRule>
    <cfRule type="containsText" dxfId="12853" priority="15370" operator="containsText" text="프로젝트">
      <formula>NOT(ISERROR(SEARCH(("프로젝트"),(D57))))</formula>
    </cfRule>
    <cfRule type="containsText" dxfId="12852" priority="15371" operator="containsText" text="정규교과">
      <formula>NOT(ISERROR(SEARCH(("정규교과"),(D57))))</formula>
    </cfRule>
    <cfRule type="containsText" dxfId="12851" priority="15372" operator="containsText" text="기타">
      <formula>NOT(ISERROR(SEARCH(("기타"),(D57))))</formula>
    </cfRule>
    <cfRule type="containsText" dxfId="12850" priority="15373" operator="containsText" text="프로젝트">
      <formula>NOT(ISERROR(SEARCH(("프로젝트"),(D57))))</formula>
    </cfRule>
    <cfRule type="containsText" dxfId="12849" priority="15374" operator="containsText" text="정규교과">
      <formula>NOT(ISERROR(SEARCH(("정규교과"),(D57))))</formula>
    </cfRule>
    <cfRule type="containsText" dxfId="12848" priority="15375" operator="containsText" text="기타">
      <formula>NOT(ISERROR(SEARCH(("기타"),(D57))))</formula>
    </cfRule>
    <cfRule type="containsText" dxfId="12847" priority="20488" operator="containsText" text="프로젝트">
      <formula>NOT(ISERROR(SEARCH(("프로젝트"),(D57))))</formula>
    </cfRule>
  </conditionalFormatting>
  <conditionalFormatting sqref="D61:E61">
    <cfRule type="containsText" dxfId="12846" priority="15360" operator="containsText" text="기타">
      <formula>NOT(ISERROR(SEARCH(("기타"),(D61))))</formula>
    </cfRule>
    <cfRule type="containsText" dxfId="12845" priority="20502" operator="containsText" text="기타">
      <formula>NOT(ISERROR(SEARCH(("기타"),(D61))))</formula>
    </cfRule>
    <cfRule type="containsText" dxfId="12844" priority="20501" operator="containsText" text="정규교과">
      <formula>NOT(ISERROR(SEARCH(("정규교과"),(D61))))</formula>
    </cfRule>
    <cfRule type="containsText" dxfId="12843" priority="15364" operator="containsText" text="프로젝트">
      <formula>NOT(ISERROR(SEARCH(("프로젝트"),(D61))))</formula>
    </cfRule>
    <cfRule type="containsText" dxfId="12842" priority="15358" operator="containsText" text="프로젝트">
      <formula>NOT(ISERROR(SEARCH(("프로젝트"),(D61))))</formula>
    </cfRule>
    <cfRule type="containsText" dxfId="12841" priority="15365" operator="containsText" text="정규교과">
      <formula>NOT(ISERROR(SEARCH(("정규교과"),(D61))))</formula>
    </cfRule>
    <cfRule type="containsText" dxfId="12840" priority="15366" operator="containsText" text="기타">
      <formula>NOT(ISERROR(SEARCH(("기타"),(D61))))</formula>
    </cfRule>
    <cfRule type="containsText" dxfId="12839" priority="20500" operator="containsText" text="프로젝트">
      <formula>NOT(ISERROR(SEARCH(("프로젝트"),(D61))))</formula>
    </cfRule>
    <cfRule type="containsText" dxfId="12838" priority="12838" operator="containsText" text="프로젝트">
      <formula>NOT(ISERROR(SEARCH(("프로젝트"),(D61))))</formula>
    </cfRule>
    <cfRule type="containsText" dxfId="12837" priority="15363" operator="containsText" text="기타">
      <formula>NOT(ISERROR(SEARCH(("기타"),(D61))))</formula>
    </cfRule>
    <cfRule type="containsText" dxfId="12836" priority="15362" operator="containsText" text="정규교과">
      <formula>NOT(ISERROR(SEARCH(("정규교과"),(D61))))</formula>
    </cfRule>
    <cfRule type="containsText" dxfId="12835" priority="15361" operator="containsText" text="프로젝트">
      <formula>NOT(ISERROR(SEARCH(("프로젝트"),(D61))))</formula>
    </cfRule>
    <cfRule type="containsText" dxfId="12834" priority="15359" operator="containsText" text="정규교과">
      <formula>NOT(ISERROR(SEARCH(("정규교과"),(D61))))</formula>
    </cfRule>
  </conditionalFormatting>
  <conditionalFormatting sqref="D65:E65">
    <cfRule type="containsText" dxfId="12833" priority="20512" operator="containsText" text="프로젝트">
      <formula>NOT(ISERROR(SEARCH(("프로젝트"),(D65))))</formula>
    </cfRule>
    <cfRule type="containsText" dxfId="12832" priority="20513" operator="containsText" text="정규교과">
      <formula>NOT(ISERROR(SEARCH(("정규교과"),(D65))))</formula>
    </cfRule>
    <cfRule type="containsText" dxfId="12831" priority="20514" operator="containsText" text="기타">
      <formula>NOT(ISERROR(SEARCH(("기타"),(D65))))</formula>
    </cfRule>
    <cfRule type="containsText" dxfId="12830" priority="12631" operator="containsText" text="프로젝트">
      <formula>NOT(ISERROR(SEARCH(("프로젝트"),(D65))))</formula>
    </cfRule>
    <cfRule type="containsText" dxfId="12829" priority="15357" operator="containsText" text="기타">
      <formula>NOT(ISERROR(SEARCH(("기타"),(D65))))</formula>
    </cfRule>
    <cfRule type="containsText" dxfId="12828" priority="15356" operator="containsText" text="정규교과">
      <formula>NOT(ISERROR(SEARCH(("정규교과"),(D65))))</formula>
    </cfRule>
    <cfRule type="containsText" dxfId="12827" priority="15355" operator="containsText" text="프로젝트">
      <formula>NOT(ISERROR(SEARCH(("프로젝트"),(D65))))</formula>
    </cfRule>
    <cfRule type="containsText" dxfId="12826" priority="15354" operator="containsText" text="기타">
      <formula>NOT(ISERROR(SEARCH(("기타"),(D65))))</formula>
    </cfRule>
    <cfRule type="containsText" dxfId="12825" priority="15353" operator="containsText" text="정규교과">
      <formula>NOT(ISERROR(SEARCH(("정규교과"),(D65))))</formula>
    </cfRule>
    <cfRule type="containsText" dxfId="12824" priority="15352" operator="containsText" text="프로젝트">
      <formula>NOT(ISERROR(SEARCH(("프로젝트"),(D65))))</formula>
    </cfRule>
    <cfRule type="containsText" dxfId="12823" priority="15351" operator="containsText" text="기타">
      <formula>NOT(ISERROR(SEARCH(("기타"),(D65))))</formula>
    </cfRule>
    <cfRule type="containsText" dxfId="12822" priority="15350" operator="containsText" text="정규교과">
      <formula>NOT(ISERROR(SEARCH(("정규교과"),(D65))))</formula>
    </cfRule>
    <cfRule type="containsText" dxfId="12821" priority="15349" operator="containsText" text="프로젝트">
      <formula>NOT(ISERROR(SEARCH(("프로젝트"),(D65))))</formula>
    </cfRule>
  </conditionalFormatting>
  <conditionalFormatting sqref="D69:E69">
    <cfRule type="containsText" dxfId="12820" priority="15345" operator="containsText" text="기타">
      <formula>NOT(ISERROR(SEARCH(("기타"),(D69))))</formula>
    </cfRule>
    <cfRule type="containsText" dxfId="12819" priority="15344" operator="containsText" text="정규교과">
      <formula>NOT(ISERROR(SEARCH(("정규교과"),(D69))))</formula>
    </cfRule>
    <cfRule type="containsText" dxfId="12818" priority="15343" operator="containsText" text="프로젝트">
      <formula>NOT(ISERROR(SEARCH(("프로젝트"),(D69))))</formula>
    </cfRule>
    <cfRule type="containsText" dxfId="12817" priority="20524" operator="containsText" text="프로젝트">
      <formula>NOT(ISERROR(SEARCH(("프로젝트"),(D69))))</formula>
    </cfRule>
    <cfRule type="containsText" dxfId="12816" priority="20525" operator="containsText" text="정규교과">
      <formula>NOT(ISERROR(SEARCH(("정규교과"),(D69))))</formula>
    </cfRule>
    <cfRule type="containsText" dxfId="12815" priority="20526" operator="containsText" text="기타">
      <formula>NOT(ISERROR(SEARCH(("기타"),(D69))))</formula>
    </cfRule>
    <cfRule type="containsText" dxfId="12814" priority="15342" operator="containsText" text="기타">
      <formula>NOT(ISERROR(SEARCH(("기타"),(D69))))</formula>
    </cfRule>
    <cfRule type="containsText" dxfId="12813" priority="15341" operator="containsText" text="정규교과">
      <formula>NOT(ISERROR(SEARCH(("정규교과"),(D69))))</formula>
    </cfRule>
    <cfRule type="containsText" dxfId="12812" priority="15340" operator="containsText" text="프로젝트">
      <formula>NOT(ISERROR(SEARCH(("프로젝트"),(D69))))</formula>
    </cfRule>
    <cfRule type="containsText" dxfId="12811" priority="12424" operator="containsText" text="프로젝트">
      <formula>NOT(ISERROR(SEARCH(("프로젝트"),(D69))))</formula>
    </cfRule>
    <cfRule type="containsText" dxfId="12810" priority="15348" operator="containsText" text="기타">
      <formula>NOT(ISERROR(SEARCH(("기타"),(D69))))</formula>
    </cfRule>
    <cfRule type="containsText" dxfId="12809" priority="15347" operator="containsText" text="정규교과">
      <formula>NOT(ISERROR(SEARCH(("정규교과"),(D69))))</formula>
    </cfRule>
    <cfRule type="containsText" dxfId="12808" priority="15346" operator="containsText" text="프로젝트">
      <formula>NOT(ISERROR(SEARCH(("프로젝트"),(D69))))</formula>
    </cfRule>
  </conditionalFormatting>
  <conditionalFormatting sqref="D75:E75">
    <cfRule type="containsText" dxfId="12807" priority="10708" operator="containsText" text="정규교과">
      <formula>NOT(ISERROR(SEARCH(("정규교과"),(D75))))</formula>
    </cfRule>
    <cfRule type="containsText" dxfId="12806" priority="10706" operator="containsText" text="기타">
      <formula>NOT(ISERROR(SEARCH(("기타"),(D75))))</formula>
    </cfRule>
    <cfRule type="containsText" dxfId="12805" priority="10705" operator="containsText" text="정규교과">
      <formula>NOT(ISERROR(SEARCH(("정규교과"),(D75))))</formula>
    </cfRule>
    <cfRule type="containsText" dxfId="12804" priority="10755" operator="containsText" text="기타">
      <formula>NOT(ISERROR(SEARCH(("기타"),(D75))))</formula>
    </cfRule>
    <cfRule type="containsText" dxfId="12803" priority="10754" operator="containsText" text="정규교과">
      <formula>NOT(ISERROR(SEARCH(("정규교과"),(D75))))</formula>
    </cfRule>
    <cfRule type="containsText" dxfId="12802" priority="10753" operator="containsText" text="프로젝트">
      <formula>NOT(ISERROR(SEARCH(("프로젝트"),(D75))))</formula>
    </cfRule>
    <cfRule type="containsText" dxfId="12801" priority="10707" operator="containsText" text="프로젝트">
      <formula>NOT(ISERROR(SEARCH(("프로젝트"),(D75))))</formula>
    </cfRule>
    <cfRule type="containsText" dxfId="12800" priority="10751" operator="containsText" text="정규교과">
      <formula>NOT(ISERROR(SEARCH(("정규교과"),(D75))))</formula>
    </cfRule>
    <cfRule type="containsText" dxfId="12799" priority="10750" operator="containsText" text="프로젝트">
      <formula>NOT(ISERROR(SEARCH(("프로젝트"),(D75))))</formula>
    </cfRule>
    <cfRule type="containsText" dxfId="12798" priority="10749" operator="containsText" text="기타">
      <formula>NOT(ISERROR(SEARCH(("기타"),(D75))))</formula>
    </cfRule>
    <cfRule type="containsText" dxfId="12797" priority="10748" operator="containsText" text="정규교과">
      <formula>NOT(ISERROR(SEARCH(("정규교과"),(D75))))</formula>
    </cfRule>
    <cfRule type="containsText" dxfId="12796" priority="10747" operator="containsText" text="프로젝트">
      <formula>NOT(ISERROR(SEARCH(("프로젝트"),(D75))))</formula>
    </cfRule>
    <cfRule type="containsText" dxfId="12795" priority="10746" operator="containsText" text="기타">
      <formula>NOT(ISERROR(SEARCH(("기타"),(D75))))</formula>
    </cfRule>
    <cfRule type="containsText" dxfId="12794" priority="10730" operator="containsText" text="기타">
      <formula>NOT(ISERROR(SEARCH(("기타"),(D75))))</formula>
    </cfRule>
    <cfRule type="containsText" dxfId="12793" priority="10745" operator="containsText" text="정규교과">
      <formula>NOT(ISERROR(SEARCH(("정규교과"),(D75))))</formula>
    </cfRule>
    <cfRule type="containsText" dxfId="12792" priority="10744" operator="containsText" text="프로젝트">
      <formula>NOT(ISERROR(SEARCH(("프로젝트"),(D75))))</formula>
    </cfRule>
    <cfRule type="containsText" dxfId="12791" priority="10743" operator="containsText" text="기타">
      <formula>NOT(ISERROR(SEARCH(("기타"),(D75))))</formula>
    </cfRule>
    <cfRule type="containsText" dxfId="12790" priority="10742" operator="containsText" text="정규교과">
      <formula>NOT(ISERROR(SEARCH(("정규교과"),(D75))))</formula>
    </cfRule>
    <cfRule type="containsText" dxfId="12789" priority="10741" operator="containsText" text="프로젝트">
      <formula>NOT(ISERROR(SEARCH(("프로젝트"),(D75))))</formula>
    </cfRule>
    <cfRule type="containsText" dxfId="12788" priority="10740" operator="containsText" text="휴강">
      <formula>NOT(ISERROR(SEARCH(("휴강"),(D75))))</formula>
    </cfRule>
    <cfRule type="containsText" dxfId="12787" priority="10739" operator="containsText" text="기타">
      <formula>NOT(ISERROR(SEARCH(("기타"),(D75))))</formula>
    </cfRule>
    <cfRule type="containsText" dxfId="12786" priority="10738" operator="containsText" text="정규교과">
      <formula>NOT(ISERROR(SEARCH(("정규교과"),(D75))))</formula>
    </cfRule>
    <cfRule type="containsText" dxfId="12785" priority="10737" operator="containsText" text="프로젝트">
      <formula>NOT(ISERROR(SEARCH(("프로젝트"),(D75))))</formula>
    </cfRule>
    <cfRule type="containsText" dxfId="12784" priority="10736" operator="containsText" text="기타">
      <formula>NOT(ISERROR(SEARCH(("기타"),(D75))))</formula>
    </cfRule>
    <cfRule type="containsText" dxfId="12783" priority="10735" operator="containsText" text="정규교과">
      <formula>NOT(ISERROR(SEARCH(("정규교과"),(D75))))</formula>
    </cfRule>
    <cfRule type="containsText" dxfId="12782" priority="10734" operator="containsText" text="프로젝트">
      <formula>NOT(ISERROR(SEARCH(("프로젝트"),(D75))))</formula>
    </cfRule>
    <cfRule type="containsText" dxfId="12781" priority="10733" operator="containsText" text="기타">
      <formula>NOT(ISERROR(SEARCH(("기타"),(D75))))</formula>
    </cfRule>
    <cfRule type="containsText" dxfId="12780" priority="10732" operator="containsText" text="정규교과">
      <formula>NOT(ISERROR(SEARCH(("정규교과"),(D75))))</formula>
    </cfRule>
    <cfRule type="containsText" dxfId="12779" priority="10731" operator="containsText" text="프로젝트">
      <formula>NOT(ISERROR(SEARCH(("프로젝트"),(D75))))</formula>
    </cfRule>
    <cfRule type="containsText" dxfId="12778" priority="10729" operator="containsText" text="정규교과">
      <formula>NOT(ISERROR(SEARCH(("정규교과"),(D75))))</formula>
    </cfRule>
    <cfRule type="containsText" dxfId="12777" priority="10728" operator="containsText" text="프로젝트">
      <formula>NOT(ISERROR(SEARCH(("프로젝트"),(D75))))</formula>
    </cfRule>
    <cfRule type="containsText" dxfId="12776" priority="10727" operator="containsText" text="기타">
      <formula>NOT(ISERROR(SEARCH(("기타"),(D75))))</formula>
    </cfRule>
    <cfRule type="containsText" dxfId="12775" priority="10726" operator="containsText" text="정규교과">
      <formula>NOT(ISERROR(SEARCH(("정규교과"),(D75))))</formula>
    </cfRule>
    <cfRule type="containsText" dxfId="12774" priority="10725" operator="containsText" text="프로젝트">
      <formula>NOT(ISERROR(SEARCH(("프로젝트"),(D75))))</formula>
    </cfRule>
    <cfRule type="containsText" dxfId="12773" priority="10724" operator="containsText" text="기타">
      <formula>NOT(ISERROR(SEARCH(("기타"),(D75))))</formula>
    </cfRule>
    <cfRule type="containsText" dxfId="12772" priority="10723" operator="containsText" text="정규교과">
      <formula>NOT(ISERROR(SEARCH(("정규교과"),(D75))))</formula>
    </cfRule>
    <cfRule type="containsText" dxfId="12771" priority="10722" operator="containsText" text="프로젝트">
      <formula>NOT(ISERROR(SEARCH(("프로젝트"),(D75))))</formula>
    </cfRule>
    <cfRule type="containsText" dxfId="12770" priority="10721" operator="containsText" text="기타">
      <formula>NOT(ISERROR(SEARCH(("기타"),(D75))))</formula>
    </cfRule>
    <cfRule type="containsText" dxfId="12769" priority="10720" operator="containsText" text="정규교과">
      <formula>NOT(ISERROR(SEARCH(("정규교과"),(D75))))</formula>
    </cfRule>
    <cfRule type="containsText" dxfId="12768" priority="10719" operator="containsText" text="프로젝트">
      <formula>NOT(ISERROR(SEARCH(("프로젝트"),(D75))))</formula>
    </cfRule>
    <cfRule type="containsText" dxfId="12767" priority="10718" operator="containsText" text="기타">
      <formula>NOT(ISERROR(SEARCH(("기타"),(D75))))</formula>
    </cfRule>
    <cfRule type="containsText" dxfId="12766" priority="10752" operator="containsText" text="기타">
      <formula>NOT(ISERROR(SEARCH(("기타"),(D75))))</formula>
    </cfRule>
    <cfRule type="containsText" dxfId="12765" priority="10717" operator="containsText" text="정규교과">
      <formula>NOT(ISERROR(SEARCH(("정규교과"),(D75))))</formula>
    </cfRule>
    <cfRule type="containsText" dxfId="12764" priority="10716" operator="containsText" text="프로젝트">
      <formula>NOT(ISERROR(SEARCH(("프로젝트"),(D75))))</formula>
    </cfRule>
    <cfRule type="containsText" dxfId="12763" priority="10715" operator="containsText" text="기타">
      <formula>NOT(ISERROR(SEARCH(("기타"),(D75))))</formula>
    </cfRule>
    <cfRule type="containsText" dxfId="12762" priority="10714" operator="containsText" text="정규교과">
      <formula>NOT(ISERROR(SEARCH(("정규교과"),(D75))))</formula>
    </cfRule>
    <cfRule type="containsText" dxfId="12761" priority="10713" operator="containsText" text="프로젝트">
      <formula>NOT(ISERROR(SEARCH(("프로젝트"),(D75))))</formula>
    </cfRule>
    <cfRule type="containsText" dxfId="12760" priority="10712" operator="containsText" text="기타">
      <formula>NOT(ISERROR(SEARCH(("기타"),(D75))))</formula>
    </cfRule>
    <cfRule type="containsText" dxfId="12759" priority="10711" operator="containsText" text="정규교과">
      <formula>NOT(ISERROR(SEARCH(("정규교과"),(D75))))</formula>
    </cfRule>
    <cfRule type="containsText" dxfId="12758" priority="10710" operator="containsText" text="프로젝트">
      <formula>NOT(ISERROR(SEARCH(("프로젝트"),(D75))))</formula>
    </cfRule>
    <cfRule type="containsText" dxfId="12757" priority="10709" operator="containsText" text="기타">
      <formula>NOT(ISERROR(SEARCH(("기타"),(D75))))</formula>
    </cfRule>
  </conditionalFormatting>
  <conditionalFormatting sqref="D79:E79">
    <cfRule type="containsText" dxfId="12756" priority="10608" operator="containsText" text="기타">
      <formula>NOT(ISERROR(SEARCH(("기타"),(D79))))</formula>
    </cfRule>
    <cfRule type="containsText" dxfId="12755" priority="10615" operator="containsText" text="프로젝트">
      <formula>NOT(ISERROR(SEARCH(("프로젝트"),(D79))))</formula>
    </cfRule>
    <cfRule type="containsText" dxfId="12754" priority="10614" operator="containsText" text="기타">
      <formula>NOT(ISERROR(SEARCH(("기타"),(D79))))</formula>
    </cfRule>
    <cfRule type="containsText" dxfId="12753" priority="10613" operator="containsText" text="정규교과">
      <formula>NOT(ISERROR(SEARCH(("정규교과"),(D79))))</formula>
    </cfRule>
    <cfRule type="containsText" dxfId="12752" priority="10612" operator="containsText" text="프로젝트">
      <formula>NOT(ISERROR(SEARCH(("프로젝트"),(D79))))</formula>
    </cfRule>
    <cfRule type="containsText" dxfId="12751" priority="10611" operator="containsText" text="기타">
      <formula>NOT(ISERROR(SEARCH(("기타"),(D79))))</formula>
    </cfRule>
    <cfRule type="containsText" dxfId="12750" priority="10610" operator="containsText" text="정규교과">
      <formula>NOT(ISERROR(SEARCH(("정규교과"),(D79))))</formula>
    </cfRule>
    <cfRule type="containsText" dxfId="12749" priority="10609" operator="containsText" text="프로젝트">
      <formula>NOT(ISERROR(SEARCH(("프로젝트"),(D79))))</formula>
    </cfRule>
    <cfRule type="containsText" dxfId="12748" priority="10645" operator="containsText" text="기타">
      <formula>NOT(ISERROR(SEARCH(("기타"),(D79))))</formula>
    </cfRule>
    <cfRule type="containsText" dxfId="12747" priority="10607" operator="containsText" text="정규교과">
      <formula>NOT(ISERROR(SEARCH(("정규교과"),(D79))))</formula>
    </cfRule>
    <cfRule type="containsText" dxfId="12746" priority="10606" operator="containsText" text="프로젝트">
      <formula>NOT(ISERROR(SEARCH(("프로젝트"),(D79))))</formula>
    </cfRule>
    <cfRule type="containsText" dxfId="12745" priority="10605" operator="containsText" text="기타">
      <formula>NOT(ISERROR(SEARCH(("기타"),(D79))))</formula>
    </cfRule>
    <cfRule type="containsText" dxfId="12744" priority="10625" operator="containsText" text="정규교과">
      <formula>NOT(ISERROR(SEARCH(("정규교과"),(D79))))</formula>
    </cfRule>
    <cfRule type="containsText" dxfId="12743" priority="10604" operator="containsText" text="정규교과">
      <formula>NOT(ISERROR(SEARCH(("정규교과"),(D79))))</formula>
    </cfRule>
    <cfRule type="containsText" dxfId="12742" priority="10603" operator="containsText" text="프로젝트">
      <formula>NOT(ISERROR(SEARCH(("프로젝트"),(D79))))</formula>
    </cfRule>
    <cfRule type="containsText" dxfId="12741" priority="10602" operator="containsText" text="기타">
      <formula>NOT(ISERROR(SEARCH(("기타"),(D79))))</formula>
    </cfRule>
    <cfRule type="containsText" dxfId="12740" priority="10601" operator="containsText" text="정규교과">
      <formula>NOT(ISERROR(SEARCH(("정규교과"),(D79))))</formula>
    </cfRule>
    <cfRule type="containsText" dxfId="12739" priority="10651" operator="containsText" text="기타">
      <formula>NOT(ISERROR(SEARCH(("기타"),(D79))))</formula>
    </cfRule>
    <cfRule type="containsText" dxfId="12738" priority="10650" operator="containsText" text="정규교과">
      <formula>NOT(ISERROR(SEARCH(("정규교과"),(D79))))</formula>
    </cfRule>
    <cfRule type="containsText" dxfId="12737" priority="10649" operator="containsText" text="프로젝트">
      <formula>NOT(ISERROR(SEARCH(("프로젝트"),(D79))))</formula>
    </cfRule>
    <cfRule type="containsText" dxfId="12736" priority="10648" operator="containsText" text="기타">
      <formula>NOT(ISERROR(SEARCH(("기타"),(D79))))</formula>
    </cfRule>
    <cfRule type="containsText" dxfId="12735" priority="10647" operator="containsText" text="정규교과">
      <formula>NOT(ISERROR(SEARCH(("정규교과"),(D79))))</formula>
    </cfRule>
    <cfRule type="containsText" dxfId="12734" priority="10646" operator="containsText" text="프로젝트">
      <formula>NOT(ISERROR(SEARCH(("프로젝트"),(D79))))</formula>
    </cfRule>
    <cfRule type="containsText" dxfId="12733" priority="10644" operator="containsText" text="정규교과">
      <formula>NOT(ISERROR(SEARCH(("정규교과"),(D79))))</formula>
    </cfRule>
    <cfRule type="containsText" dxfId="12732" priority="10642" operator="containsText" text="기타">
      <formula>NOT(ISERROR(SEARCH(("기타"),(D79))))</formula>
    </cfRule>
    <cfRule type="containsText" dxfId="12731" priority="10641" operator="containsText" text="정규교과">
      <formula>NOT(ISERROR(SEARCH(("정규교과"),(D79))))</formula>
    </cfRule>
    <cfRule type="containsText" dxfId="12730" priority="10640" operator="containsText" text="프로젝트">
      <formula>NOT(ISERROR(SEARCH(("프로젝트"),(D79))))</formula>
    </cfRule>
    <cfRule type="containsText" dxfId="12729" priority="10639" operator="containsText" text="기타">
      <formula>NOT(ISERROR(SEARCH(("기타"),(D79))))</formula>
    </cfRule>
    <cfRule type="containsText" dxfId="12728" priority="10638" operator="containsText" text="정규교과">
      <formula>NOT(ISERROR(SEARCH(("정규교과"),(D79))))</formula>
    </cfRule>
    <cfRule type="containsText" dxfId="12727" priority="10637" operator="containsText" text="프로젝트">
      <formula>NOT(ISERROR(SEARCH(("프로젝트"),(D79))))</formula>
    </cfRule>
    <cfRule type="containsText" dxfId="12726" priority="10636" operator="containsText" text="휴강">
      <formula>NOT(ISERROR(SEARCH(("휴강"),(D79))))</formula>
    </cfRule>
    <cfRule type="containsText" dxfId="12725" priority="10635" operator="containsText" text="기타">
      <formula>NOT(ISERROR(SEARCH(("기타"),(D79))))</formula>
    </cfRule>
    <cfRule type="containsText" dxfId="12724" priority="10643" operator="containsText" text="프로젝트">
      <formula>NOT(ISERROR(SEARCH(("프로젝트"),(D79))))</formula>
    </cfRule>
    <cfRule type="containsText" dxfId="12723" priority="10634" operator="containsText" text="정규교과">
      <formula>NOT(ISERROR(SEARCH(("정규교과"),(D79))))</formula>
    </cfRule>
    <cfRule type="containsText" dxfId="12722" priority="10633" operator="containsText" text="프로젝트">
      <formula>NOT(ISERROR(SEARCH(("프로젝트"),(D79))))</formula>
    </cfRule>
    <cfRule type="containsText" dxfId="12721" priority="10632" operator="containsText" text="기타">
      <formula>NOT(ISERROR(SEARCH(("기타"),(D79))))</formula>
    </cfRule>
    <cfRule type="containsText" dxfId="12720" priority="10631" operator="containsText" text="정규교과">
      <formula>NOT(ISERROR(SEARCH(("정규교과"),(D79))))</formula>
    </cfRule>
    <cfRule type="containsText" dxfId="12719" priority="10630" operator="containsText" text="프로젝트">
      <formula>NOT(ISERROR(SEARCH(("프로젝트"),(D79))))</formula>
    </cfRule>
    <cfRule type="containsText" dxfId="12718" priority="10629" operator="containsText" text="기타">
      <formula>NOT(ISERROR(SEARCH(("기타"),(D79))))</formula>
    </cfRule>
    <cfRule type="containsText" dxfId="12717" priority="10628" operator="containsText" text="정규교과">
      <formula>NOT(ISERROR(SEARCH(("정규교과"),(D79))))</formula>
    </cfRule>
    <cfRule type="containsText" dxfId="12716" priority="10627" operator="containsText" text="프로젝트">
      <formula>NOT(ISERROR(SEARCH(("프로젝트"),(D79))))</formula>
    </cfRule>
    <cfRule type="containsText" dxfId="12715" priority="10626" operator="containsText" text="기타">
      <formula>NOT(ISERROR(SEARCH(("기타"),(D79))))</formula>
    </cfRule>
    <cfRule type="containsText" dxfId="12714" priority="10624" operator="containsText" text="프로젝트">
      <formula>NOT(ISERROR(SEARCH(("프로젝트"),(D79))))</formula>
    </cfRule>
    <cfRule type="containsText" dxfId="12713" priority="10623" operator="containsText" text="기타">
      <formula>NOT(ISERROR(SEARCH(("기타"),(D79))))</formula>
    </cfRule>
    <cfRule type="containsText" dxfId="12712" priority="10622" operator="containsText" text="정규교과">
      <formula>NOT(ISERROR(SEARCH(("정규교과"),(D79))))</formula>
    </cfRule>
    <cfRule type="containsText" dxfId="12711" priority="10621" operator="containsText" text="프로젝트">
      <formula>NOT(ISERROR(SEARCH(("프로젝트"),(D79))))</formula>
    </cfRule>
    <cfRule type="containsText" dxfId="12710" priority="10620" operator="containsText" text="기타">
      <formula>NOT(ISERROR(SEARCH(("기타"),(D79))))</formula>
    </cfRule>
    <cfRule type="containsText" dxfId="12709" priority="10619" operator="containsText" text="정규교과">
      <formula>NOT(ISERROR(SEARCH(("정규교과"),(D79))))</formula>
    </cfRule>
    <cfRule type="containsText" dxfId="12708" priority="10618" operator="containsText" text="프로젝트">
      <formula>NOT(ISERROR(SEARCH(("프로젝트"),(D79))))</formula>
    </cfRule>
    <cfRule type="containsText" dxfId="12707" priority="10617" operator="containsText" text="기타">
      <formula>NOT(ISERROR(SEARCH(("기타"),(D79))))</formula>
    </cfRule>
    <cfRule type="containsText" dxfId="12706" priority="10616" operator="containsText" text="정규교과">
      <formula>NOT(ISERROR(SEARCH(("정규교과"),(D79))))</formula>
    </cfRule>
  </conditionalFormatting>
  <conditionalFormatting sqref="D83:E83">
    <cfRule type="containsText" dxfId="12705" priority="10507" operator="containsText" text="기타">
      <formula>NOT(ISERROR(SEARCH(("기타"),(D83))))</formula>
    </cfRule>
    <cfRule type="containsText" dxfId="12704" priority="10500" operator="containsText" text="정규교과">
      <formula>NOT(ISERROR(SEARCH(("정규교과"),(D83))))</formula>
    </cfRule>
    <cfRule type="containsText" dxfId="12703" priority="10499" operator="containsText" text="프로젝트">
      <formula>NOT(ISERROR(SEARCH(("프로젝트"),(D83))))</formula>
    </cfRule>
    <cfRule type="containsText" dxfId="12702" priority="10501" operator="containsText" text="기타">
      <formula>NOT(ISERROR(SEARCH(("기타"),(D83))))</formula>
    </cfRule>
    <cfRule type="containsText" dxfId="12701" priority="10540" operator="containsText" text="정규교과">
      <formula>NOT(ISERROR(SEARCH(("정규교과"),(D83))))</formula>
    </cfRule>
    <cfRule type="containsText" dxfId="12700" priority="10502" operator="containsText" text="프로젝트">
      <formula>NOT(ISERROR(SEARCH(("프로젝트"),(D83))))</formula>
    </cfRule>
    <cfRule type="containsText" dxfId="12699" priority="10508" operator="containsText" text="프로젝트">
      <formula>NOT(ISERROR(SEARCH(("프로젝트"),(D83))))</formula>
    </cfRule>
    <cfRule type="containsText" dxfId="12698" priority="10509" operator="containsText" text="정규교과">
      <formula>NOT(ISERROR(SEARCH(("정규교과"),(D83))))</formula>
    </cfRule>
    <cfRule type="containsText" dxfId="12697" priority="10510" operator="containsText" text="기타">
      <formula>NOT(ISERROR(SEARCH(("기타"),(D83))))</formula>
    </cfRule>
    <cfRule type="containsText" dxfId="12696" priority="10511" operator="containsText" text="프로젝트">
      <formula>NOT(ISERROR(SEARCH(("프로젝트"),(D83))))</formula>
    </cfRule>
    <cfRule type="containsText" dxfId="12695" priority="10512" operator="containsText" text="정규교과">
      <formula>NOT(ISERROR(SEARCH(("정규교과"),(D83))))</formula>
    </cfRule>
    <cfRule type="containsText" dxfId="12694" priority="10535" operator="containsText" text="기타">
      <formula>NOT(ISERROR(SEARCH(("기타"),(D83))))</formula>
    </cfRule>
    <cfRule type="containsText" dxfId="12693" priority="10531" operator="containsText" text="기타">
      <formula>NOT(ISERROR(SEARCH(("기타"),(D83))))</formula>
    </cfRule>
    <cfRule type="containsText" dxfId="12692" priority="10513" operator="containsText" text="기타">
      <formula>NOT(ISERROR(SEARCH(("기타"),(D83))))</formula>
    </cfRule>
    <cfRule type="containsText" dxfId="12691" priority="10503" operator="containsText" text="정규교과">
      <formula>NOT(ISERROR(SEARCH(("정규교과"),(D83))))</formula>
    </cfRule>
    <cfRule type="containsText" dxfId="12690" priority="10514" operator="containsText" text="프로젝트">
      <formula>NOT(ISERROR(SEARCH(("프로젝트"),(D83))))</formula>
    </cfRule>
    <cfRule type="containsText" dxfId="12689" priority="10515" operator="containsText" text="정규교과">
      <formula>NOT(ISERROR(SEARCH(("정규교과"),(D83))))</formula>
    </cfRule>
    <cfRule type="containsText" dxfId="12688" priority="10516" operator="containsText" text="기타">
      <formula>NOT(ISERROR(SEARCH(("기타"),(D83))))</formula>
    </cfRule>
    <cfRule type="containsText" dxfId="12687" priority="10517" operator="containsText" text="프로젝트">
      <formula>NOT(ISERROR(SEARCH(("프로젝트"),(D83))))</formula>
    </cfRule>
    <cfRule type="containsText" dxfId="12686" priority="10519" operator="containsText" text="기타">
      <formula>NOT(ISERROR(SEARCH(("기타"),(D83))))</formula>
    </cfRule>
    <cfRule type="containsText" dxfId="12685" priority="10520" operator="containsText" text="프로젝트">
      <formula>NOT(ISERROR(SEARCH(("프로젝트"),(D83))))</formula>
    </cfRule>
    <cfRule type="containsText" dxfId="12684" priority="10521" operator="containsText" text="정규교과">
      <formula>NOT(ISERROR(SEARCH(("정규교과"),(D83))))</formula>
    </cfRule>
    <cfRule type="containsText" dxfId="12683" priority="10522" operator="containsText" text="기타">
      <formula>NOT(ISERROR(SEARCH(("기타"),(D83))))</formula>
    </cfRule>
    <cfRule type="containsText" dxfId="12682" priority="10498" operator="containsText" text="기타">
      <formula>NOT(ISERROR(SEARCH(("기타"),(D83))))</formula>
    </cfRule>
    <cfRule type="containsText" dxfId="12681" priority="10497" operator="containsText" text="정규교과">
      <formula>NOT(ISERROR(SEARCH(("정규교과"),(D83))))</formula>
    </cfRule>
    <cfRule type="containsText" dxfId="12680" priority="10534" operator="containsText" text="정규교과">
      <formula>NOT(ISERROR(SEARCH(("정규교과"),(D83))))</formula>
    </cfRule>
    <cfRule type="containsText" dxfId="12679" priority="10518" operator="containsText" text="정규교과">
      <formula>NOT(ISERROR(SEARCH(("정규교과"),(D83))))</formula>
    </cfRule>
    <cfRule type="containsText" dxfId="12678" priority="10533" operator="containsText" text="프로젝트">
      <formula>NOT(ISERROR(SEARCH(("프로젝트"),(D83))))</formula>
    </cfRule>
    <cfRule type="containsText" dxfId="12677" priority="10532" operator="containsText" text="휴강">
      <formula>NOT(ISERROR(SEARCH(("휴강"),(D83))))</formula>
    </cfRule>
    <cfRule type="containsText" dxfId="12676" priority="10523" operator="containsText" text="프로젝트">
      <formula>NOT(ISERROR(SEARCH(("프로젝트"),(D83))))</formula>
    </cfRule>
    <cfRule type="containsText" dxfId="12675" priority="10547" operator="containsText" text="기타">
      <formula>NOT(ISERROR(SEARCH(("기타"),(D83))))</formula>
    </cfRule>
    <cfRule type="containsText" dxfId="12674" priority="10546" operator="containsText" text="정규교과">
      <formula>NOT(ISERROR(SEARCH(("정규교과"),(D83))))</formula>
    </cfRule>
    <cfRule type="containsText" dxfId="12673" priority="10545" operator="containsText" text="프로젝트">
      <formula>NOT(ISERROR(SEARCH(("프로젝트"),(D83))))</formula>
    </cfRule>
    <cfRule type="containsText" dxfId="12672" priority="10544" operator="containsText" text="기타">
      <formula>NOT(ISERROR(SEARCH(("기타"),(D83))))</formula>
    </cfRule>
    <cfRule type="containsText" dxfId="12671" priority="10543" operator="containsText" text="정규교과">
      <formula>NOT(ISERROR(SEARCH(("정규교과"),(D83))))</formula>
    </cfRule>
    <cfRule type="containsText" dxfId="12670" priority="10542" operator="containsText" text="프로젝트">
      <formula>NOT(ISERROR(SEARCH(("프로젝트"),(D83))))</formula>
    </cfRule>
    <cfRule type="containsText" dxfId="12669" priority="10539" operator="containsText" text="프로젝트">
      <formula>NOT(ISERROR(SEARCH(("프로젝트"),(D83))))</formula>
    </cfRule>
    <cfRule type="containsText" dxfId="12668" priority="10538" operator="containsText" text="기타">
      <formula>NOT(ISERROR(SEARCH(("기타"),(D83))))</formula>
    </cfRule>
    <cfRule type="containsText" dxfId="12667" priority="10541" operator="containsText" text="기타">
      <formula>NOT(ISERROR(SEARCH(("기타"),(D83))))</formula>
    </cfRule>
    <cfRule type="containsText" dxfId="12666" priority="10537" operator="containsText" text="정규교과">
      <formula>NOT(ISERROR(SEARCH(("정규교과"),(D83))))</formula>
    </cfRule>
    <cfRule type="containsText" dxfId="12665" priority="10536" operator="containsText" text="프로젝트">
      <formula>NOT(ISERROR(SEARCH(("프로젝트"),(D83))))</formula>
    </cfRule>
    <cfRule type="containsText" dxfId="12664" priority="10524" operator="containsText" text="정규교과">
      <formula>NOT(ISERROR(SEARCH(("정규교과"),(D83))))</formula>
    </cfRule>
    <cfRule type="containsText" dxfId="12663" priority="10525" operator="containsText" text="기타">
      <formula>NOT(ISERROR(SEARCH(("기타"),(D83))))</formula>
    </cfRule>
    <cfRule type="containsText" dxfId="12662" priority="10526" operator="containsText" text="프로젝트">
      <formula>NOT(ISERROR(SEARCH(("프로젝트"),(D83))))</formula>
    </cfRule>
    <cfRule type="containsText" dxfId="12661" priority="10527" operator="containsText" text="정규교과">
      <formula>NOT(ISERROR(SEARCH(("정규교과"),(D83))))</formula>
    </cfRule>
    <cfRule type="containsText" dxfId="12660" priority="10528" operator="containsText" text="기타">
      <formula>NOT(ISERROR(SEARCH(("기타"),(D83))))</formula>
    </cfRule>
    <cfRule type="containsText" dxfId="12659" priority="10529" operator="containsText" text="프로젝트">
      <formula>NOT(ISERROR(SEARCH(("프로젝트"),(D83))))</formula>
    </cfRule>
    <cfRule type="containsText" dxfId="12658" priority="10530" operator="containsText" text="정규교과">
      <formula>NOT(ISERROR(SEARCH(("정규교과"),(D83))))</formula>
    </cfRule>
    <cfRule type="containsText" dxfId="12657" priority="10504" operator="containsText" text="기타">
      <formula>NOT(ISERROR(SEARCH(("기타"),(D83))))</formula>
    </cfRule>
    <cfRule type="containsText" dxfId="12656" priority="10505" operator="containsText" text="프로젝트">
      <formula>NOT(ISERROR(SEARCH(("프로젝트"),(D83))))</formula>
    </cfRule>
    <cfRule type="containsText" dxfId="12655" priority="10506" operator="containsText" text="정규교과">
      <formula>NOT(ISERROR(SEARCH(("정규교과"),(D83))))</formula>
    </cfRule>
  </conditionalFormatting>
  <conditionalFormatting sqref="D88:E88">
    <cfRule type="containsText" dxfId="12654" priority="10430" operator="containsText" text="정규교과">
      <formula>NOT(ISERROR(SEARCH(("정규교과"),(D88))))</formula>
    </cfRule>
    <cfRule type="containsText" dxfId="12653" priority="10429" operator="containsText" text="프로젝트">
      <formula>NOT(ISERROR(SEARCH(("프로젝트"),(D88))))</formula>
    </cfRule>
    <cfRule type="containsText" dxfId="12652" priority="10401" operator="containsText" text="프로젝트">
      <formula>NOT(ISERROR(SEARCH(("프로젝트"),(D88))))</formula>
    </cfRule>
    <cfRule type="containsText" dxfId="12651" priority="10402" operator="containsText" text="정규교과">
      <formula>NOT(ISERROR(SEARCH(("정규교과"),(D88))))</formula>
    </cfRule>
    <cfRule type="containsText" dxfId="12650" priority="10403" operator="containsText" text="기타">
      <formula>NOT(ISERROR(SEARCH(("기타"),(D88))))</formula>
    </cfRule>
    <cfRule type="containsText" dxfId="12649" priority="10428" operator="containsText" text="휴강">
      <formula>NOT(ISERROR(SEARCH(("휴강"),(D88))))</formula>
    </cfRule>
    <cfRule type="containsText" dxfId="12648" priority="10427" operator="containsText" text="기타">
      <formula>NOT(ISERROR(SEARCH(("기타"),(D88))))</formula>
    </cfRule>
    <cfRule type="containsText" dxfId="12647" priority="10426" operator="containsText" text="정규교과">
      <formula>NOT(ISERROR(SEARCH(("정규교과"),(D88))))</formula>
    </cfRule>
    <cfRule type="containsText" dxfId="12646" priority="10425" operator="containsText" text="프로젝트">
      <formula>NOT(ISERROR(SEARCH(("프로젝트"),(D88))))</formula>
    </cfRule>
    <cfRule type="containsText" dxfId="12645" priority="10424" operator="containsText" text="기타">
      <formula>NOT(ISERROR(SEARCH(("기타"),(D88))))</formula>
    </cfRule>
    <cfRule type="containsText" dxfId="12644" priority="10423" operator="containsText" text="정규교과">
      <formula>NOT(ISERROR(SEARCH(("정규교과"),(D88))))</formula>
    </cfRule>
    <cfRule type="containsText" dxfId="12643" priority="10422" operator="containsText" text="프로젝트">
      <formula>NOT(ISERROR(SEARCH(("프로젝트"),(D88))))</formula>
    </cfRule>
    <cfRule type="containsText" dxfId="12642" priority="10421" operator="containsText" text="기타">
      <formula>NOT(ISERROR(SEARCH(("기타"),(D88))))</formula>
    </cfRule>
    <cfRule type="containsText" dxfId="12641" priority="10420" operator="containsText" text="정규교과">
      <formula>NOT(ISERROR(SEARCH(("정규교과"),(D88))))</formula>
    </cfRule>
    <cfRule type="containsText" dxfId="12640" priority="10432" operator="containsText" text="프로젝트">
      <formula>NOT(ISERROR(SEARCH(("프로젝트"),(D88))))</formula>
    </cfRule>
    <cfRule type="containsText" dxfId="12639" priority="10404" operator="containsText" text="프로젝트">
      <formula>NOT(ISERROR(SEARCH(("프로젝트"),(D88))))</formula>
    </cfRule>
    <cfRule type="containsText" dxfId="12638" priority="10405" operator="containsText" text="정규교과">
      <formula>NOT(ISERROR(SEARCH(("정규교과"),(D88))))</formula>
    </cfRule>
    <cfRule type="containsText" dxfId="12637" priority="10393" operator="containsText" text="정규교과">
      <formula>NOT(ISERROR(SEARCH(("정규교과"),(D88))))</formula>
    </cfRule>
    <cfRule type="containsText" dxfId="12636" priority="10394" operator="containsText" text="기타">
      <formula>NOT(ISERROR(SEARCH(("기타"),(D88))))</formula>
    </cfRule>
    <cfRule type="containsText" dxfId="12635" priority="10406" operator="containsText" text="기타">
      <formula>NOT(ISERROR(SEARCH(("기타"),(D88))))</formula>
    </cfRule>
    <cfRule type="containsText" dxfId="12634" priority="10396" operator="containsText" text="정규교과">
      <formula>NOT(ISERROR(SEARCH(("정규교과"),(D88))))</formula>
    </cfRule>
    <cfRule type="containsText" dxfId="12633" priority="10397" operator="containsText" text="기타">
      <formula>NOT(ISERROR(SEARCH(("기타"),(D88))))</formula>
    </cfRule>
    <cfRule type="containsText" dxfId="12632" priority="10398" operator="containsText" text="프로젝트">
      <formula>NOT(ISERROR(SEARCH(("프로젝트"),(D88))))</formula>
    </cfRule>
    <cfRule type="containsText" dxfId="12631" priority="10399" operator="containsText" text="정규교과">
      <formula>NOT(ISERROR(SEARCH(("정규교과"),(D88))))</formula>
    </cfRule>
    <cfRule type="containsText" dxfId="12630" priority="10400" operator="containsText" text="기타">
      <formula>NOT(ISERROR(SEARCH(("기타"),(D88))))</formula>
    </cfRule>
    <cfRule type="containsText" dxfId="12629" priority="10407" operator="containsText" text="프로젝트">
      <formula>NOT(ISERROR(SEARCH(("프로젝트"),(D88))))</formula>
    </cfRule>
    <cfRule type="containsText" dxfId="12628" priority="10408" operator="containsText" text="정규교과">
      <formula>NOT(ISERROR(SEARCH(("정규교과"),(D88))))</formula>
    </cfRule>
    <cfRule type="containsText" dxfId="12627" priority="10395" operator="containsText" text="프로젝트">
      <formula>NOT(ISERROR(SEARCH(("프로젝트"),(D88))))</formula>
    </cfRule>
    <cfRule type="containsText" dxfId="12626" priority="10409" operator="containsText" text="기타">
      <formula>NOT(ISERROR(SEARCH(("기타"),(D88))))</formula>
    </cfRule>
    <cfRule type="containsText" dxfId="12625" priority="10410" operator="containsText" text="프로젝트">
      <formula>NOT(ISERROR(SEARCH(("프로젝트"),(D88))))</formula>
    </cfRule>
    <cfRule type="containsText" dxfId="12624" priority="10411" operator="containsText" text="정규교과">
      <formula>NOT(ISERROR(SEARCH(("정규교과"),(D88))))</formula>
    </cfRule>
    <cfRule type="containsText" dxfId="12623" priority="10412" operator="containsText" text="기타">
      <formula>NOT(ISERROR(SEARCH(("기타"),(D88))))</formula>
    </cfRule>
    <cfRule type="containsText" dxfId="12622" priority="10413" operator="containsText" text="프로젝트">
      <formula>NOT(ISERROR(SEARCH(("프로젝트"),(D88))))</formula>
    </cfRule>
    <cfRule type="containsText" dxfId="12621" priority="10414" operator="containsText" text="정규교과">
      <formula>NOT(ISERROR(SEARCH(("정규교과"),(D88))))</formula>
    </cfRule>
    <cfRule type="containsText" dxfId="12620" priority="10415" operator="containsText" text="기타">
      <formula>NOT(ISERROR(SEARCH(("기타"),(D88))))</formula>
    </cfRule>
    <cfRule type="containsText" dxfId="12619" priority="10416" operator="containsText" text="프로젝트">
      <formula>NOT(ISERROR(SEARCH(("프로젝트"),(D88))))</formula>
    </cfRule>
    <cfRule type="containsText" dxfId="12618" priority="10417" operator="containsText" text="정규교과">
      <formula>NOT(ISERROR(SEARCH(("정규교과"),(D88))))</formula>
    </cfRule>
    <cfRule type="containsText" dxfId="12617" priority="10418" operator="containsText" text="기타">
      <formula>NOT(ISERROR(SEARCH(("기타"),(D88))))</formula>
    </cfRule>
    <cfRule type="containsText" dxfId="12616" priority="10419" operator="containsText" text="프로젝트">
      <formula>NOT(ISERROR(SEARCH(("프로젝트"),(D88))))</formula>
    </cfRule>
    <cfRule type="containsText" dxfId="12615" priority="10443" operator="containsText" text="기타">
      <formula>NOT(ISERROR(SEARCH(("기타"),(D88))))</formula>
    </cfRule>
    <cfRule type="containsText" dxfId="12614" priority="10442" operator="containsText" text="정규교과">
      <formula>NOT(ISERROR(SEARCH(("정규교과"),(D88))))</formula>
    </cfRule>
    <cfRule type="containsText" dxfId="12613" priority="10441" operator="containsText" text="프로젝트">
      <formula>NOT(ISERROR(SEARCH(("프로젝트"),(D88))))</formula>
    </cfRule>
    <cfRule type="containsText" dxfId="12612" priority="10440" operator="containsText" text="기타">
      <formula>NOT(ISERROR(SEARCH(("기타"),(D88))))</formula>
    </cfRule>
    <cfRule type="containsText" dxfId="12611" priority="10439" operator="containsText" text="정규교과">
      <formula>NOT(ISERROR(SEARCH(("정규교과"),(D88))))</formula>
    </cfRule>
    <cfRule type="containsText" dxfId="12610" priority="10438" operator="containsText" text="프로젝트">
      <formula>NOT(ISERROR(SEARCH(("프로젝트"),(D88))))</formula>
    </cfRule>
    <cfRule type="containsText" dxfId="12609" priority="10437" operator="containsText" text="기타">
      <formula>NOT(ISERROR(SEARCH(("기타"),(D88))))</formula>
    </cfRule>
    <cfRule type="containsText" dxfId="12608" priority="10436" operator="containsText" text="정규교과">
      <formula>NOT(ISERROR(SEARCH(("정규교과"),(D88))))</formula>
    </cfRule>
    <cfRule type="containsText" dxfId="12607" priority="10435" operator="containsText" text="프로젝트">
      <formula>NOT(ISERROR(SEARCH(("프로젝트"),(D88))))</formula>
    </cfRule>
    <cfRule type="containsText" dxfId="12606" priority="10434" operator="containsText" text="기타">
      <formula>NOT(ISERROR(SEARCH(("기타"),(D88))))</formula>
    </cfRule>
    <cfRule type="containsText" dxfId="12605" priority="10433" operator="containsText" text="정규교과">
      <formula>NOT(ISERROR(SEARCH(("정규교과"),(D88))))</formula>
    </cfRule>
    <cfRule type="containsText" dxfId="12604" priority="10431" operator="containsText" text="기타">
      <formula>NOT(ISERROR(SEARCH(("기타"),(D88))))</formula>
    </cfRule>
  </conditionalFormatting>
  <conditionalFormatting sqref="D92:E92">
    <cfRule type="containsText" dxfId="12603" priority="10329" operator="containsText" text="정규교과">
      <formula>NOT(ISERROR(SEARCH(("정규교과"),(D92))))</formula>
    </cfRule>
    <cfRule type="containsText" dxfId="12602" priority="10336" operator="containsText" text="기타">
      <formula>NOT(ISERROR(SEARCH(("기타"),(D92))))</formula>
    </cfRule>
    <cfRule type="containsText" dxfId="12601" priority="10337" operator="containsText" text="프로젝트">
      <formula>NOT(ISERROR(SEARCH(("프로젝트"),(D92))))</formula>
    </cfRule>
    <cfRule type="containsText" dxfId="12600" priority="10308" operator="containsText" text="기타">
      <formula>NOT(ISERROR(SEARCH(("기타"),(D92))))</formula>
    </cfRule>
    <cfRule type="containsText" dxfId="12599" priority="10307" operator="containsText" text="정규교과">
      <formula>NOT(ISERROR(SEARCH(("정규교과"),(D92))))</formula>
    </cfRule>
    <cfRule type="containsText" dxfId="12598" priority="10306" operator="containsText" text="프로젝트">
      <formula>NOT(ISERROR(SEARCH(("프로젝트"),(D92))))</formula>
    </cfRule>
    <cfRule type="containsText" dxfId="12597" priority="10338" operator="containsText" text="정규교과">
      <formula>NOT(ISERROR(SEARCH(("정규교과"),(D92))))</formula>
    </cfRule>
    <cfRule type="containsText" dxfId="12596" priority="10332" operator="containsText" text="정규교과">
      <formula>NOT(ISERROR(SEARCH(("정규교과"),(D92))))</formula>
    </cfRule>
    <cfRule type="containsText" dxfId="12595" priority="10331" operator="containsText" text="프로젝트">
      <formula>NOT(ISERROR(SEARCH(("프로젝트"),(D92))))</formula>
    </cfRule>
    <cfRule type="containsText" dxfId="12594" priority="10330" operator="containsText" text="기타">
      <formula>NOT(ISERROR(SEARCH(("기타"),(D92))))</formula>
    </cfRule>
    <cfRule type="containsText" dxfId="12593" priority="10320" operator="containsText" text="기타">
      <formula>NOT(ISERROR(SEARCH(("기타"),(D92))))</formula>
    </cfRule>
    <cfRule type="containsText" dxfId="12592" priority="10328" operator="containsText" text="프로젝트">
      <formula>NOT(ISERROR(SEARCH(("프로젝트"),(D92))))</formula>
    </cfRule>
    <cfRule type="containsText" dxfId="12591" priority="10327" operator="containsText" text="기타">
      <formula>NOT(ISERROR(SEARCH(("기타"),(D92))))</formula>
    </cfRule>
    <cfRule type="containsText" dxfId="12590" priority="10326" operator="containsText" text="정규교과">
      <formula>NOT(ISERROR(SEARCH(("정규교과"),(D92))))</formula>
    </cfRule>
    <cfRule type="containsText" dxfId="12589" priority="10325" operator="containsText" text="프로젝트">
      <formula>NOT(ISERROR(SEARCH(("프로젝트"),(D92))))</formula>
    </cfRule>
    <cfRule type="containsText" dxfId="12588" priority="10324" operator="containsText" text="휴강">
      <formula>NOT(ISERROR(SEARCH(("휴강"),(D92))))</formula>
    </cfRule>
    <cfRule type="containsText" dxfId="12587" priority="10323" operator="containsText" text="기타">
      <formula>NOT(ISERROR(SEARCH(("기타"),(D92))))</formula>
    </cfRule>
    <cfRule type="containsText" dxfId="12586" priority="10321" operator="containsText" text="프로젝트">
      <formula>NOT(ISERROR(SEARCH(("프로젝트"),(D92))))</formula>
    </cfRule>
    <cfRule type="containsText" dxfId="12585" priority="10314" operator="containsText" text="기타">
      <formula>NOT(ISERROR(SEARCH(("기타"),(D92))))</formula>
    </cfRule>
    <cfRule type="containsText" dxfId="12584" priority="10309" operator="containsText" text="프로젝트">
      <formula>NOT(ISERROR(SEARCH(("프로젝트"),(D92))))</formula>
    </cfRule>
    <cfRule type="containsText" dxfId="12583" priority="10310" operator="containsText" text="정규교과">
      <formula>NOT(ISERROR(SEARCH(("정규교과"),(D92))))</formula>
    </cfRule>
    <cfRule type="containsText" dxfId="12582" priority="10311" operator="containsText" text="기타">
      <formula>NOT(ISERROR(SEARCH(("기타"),(D92))))</formula>
    </cfRule>
    <cfRule type="containsText" dxfId="12581" priority="10312" operator="containsText" text="프로젝트">
      <formula>NOT(ISERROR(SEARCH(("프로젝트"),(D92))))</formula>
    </cfRule>
    <cfRule type="containsText" dxfId="12580" priority="10313" operator="containsText" text="정규교과">
      <formula>NOT(ISERROR(SEARCH(("정규교과"),(D92))))</formula>
    </cfRule>
    <cfRule type="containsText" dxfId="12579" priority="10315" operator="containsText" text="프로젝트">
      <formula>NOT(ISERROR(SEARCH(("프로젝트"),(D92))))</formula>
    </cfRule>
    <cfRule type="containsText" dxfId="12578" priority="10316" operator="containsText" text="정규교과">
      <formula>NOT(ISERROR(SEARCH(("정규교과"),(D92))))</formula>
    </cfRule>
    <cfRule type="containsText" dxfId="12577" priority="10317" operator="containsText" text="기타">
      <formula>NOT(ISERROR(SEARCH(("기타"),(D92))))</formula>
    </cfRule>
    <cfRule type="containsText" dxfId="12576" priority="10318" operator="containsText" text="프로젝트">
      <formula>NOT(ISERROR(SEARCH(("프로젝트"),(D92))))</formula>
    </cfRule>
    <cfRule type="containsText" dxfId="12575" priority="10319" operator="containsText" text="정규교과">
      <formula>NOT(ISERROR(SEARCH(("정규교과"),(D92))))</formula>
    </cfRule>
    <cfRule type="containsText" dxfId="12574" priority="10305" operator="containsText" text="기타">
      <formula>NOT(ISERROR(SEARCH(("기타"),(D92))))</formula>
    </cfRule>
    <cfRule type="containsText" dxfId="12573" priority="10304" operator="containsText" text="정규교과">
      <formula>NOT(ISERROR(SEARCH(("정규교과"),(D92))))</formula>
    </cfRule>
    <cfRule type="containsText" dxfId="12572" priority="10303" operator="containsText" text="프로젝트">
      <formula>NOT(ISERROR(SEARCH(("프로젝트"),(D92))))</formula>
    </cfRule>
    <cfRule type="containsText" dxfId="12571" priority="10302" operator="containsText" text="기타">
      <formula>NOT(ISERROR(SEARCH(("기타"),(D92))))</formula>
    </cfRule>
    <cfRule type="containsText" dxfId="12570" priority="10301" operator="containsText" text="정규교과">
      <formula>NOT(ISERROR(SEARCH(("정규교과"),(D92))))</formula>
    </cfRule>
    <cfRule type="containsText" dxfId="12569" priority="10300" operator="containsText" text="프로젝트">
      <formula>NOT(ISERROR(SEARCH(("프로젝트"),(D92))))</formula>
    </cfRule>
    <cfRule type="containsText" dxfId="12568" priority="10299" operator="containsText" text="기타">
      <formula>NOT(ISERROR(SEARCH(("기타"),(D92))))</formula>
    </cfRule>
    <cfRule type="containsText" dxfId="12567" priority="10298" operator="containsText" text="정규교과">
      <formula>NOT(ISERROR(SEARCH(("정규교과"),(D92))))</formula>
    </cfRule>
    <cfRule type="containsText" dxfId="12566" priority="10297" operator="containsText" text="프로젝트">
      <formula>NOT(ISERROR(SEARCH(("프로젝트"),(D92))))</formula>
    </cfRule>
    <cfRule type="containsText" dxfId="12565" priority="10296" operator="containsText" text="기타">
      <formula>NOT(ISERROR(SEARCH(("기타"),(D92))))</formula>
    </cfRule>
    <cfRule type="containsText" dxfId="12564" priority="10295" operator="containsText" text="정규교과">
      <formula>NOT(ISERROR(SEARCH(("정규교과"),(D92))))</formula>
    </cfRule>
    <cfRule type="containsText" dxfId="12563" priority="10294" operator="containsText" text="프로젝트">
      <formula>NOT(ISERROR(SEARCH(("프로젝트"),(D92))))</formula>
    </cfRule>
    <cfRule type="containsText" dxfId="12562" priority="10293" operator="containsText" text="기타">
      <formula>NOT(ISERROR(SEARCH(("기타"),(D92))))</formula>
    </cfRule>
    <cfRule type="containsText" dxfId="12561" priority="10339" operator="containsText" text="기타">
      <formula>NOT(ISERROR(SEARCH(("기타"),(D92))))</formula>
    </cfRule>
    <cfRule type="containsText" dxfId="12560" priority="10292" operator="containsText" text="정규교과">
      <formula>NOT(ISERROR(SEARCH(("정규교과"),(D92))))</formula>
    </cfRule>
    <cfRule type="containsText" dxfId="12559" priority="10291" operator="containsText" text="프로젝트">
      <formula>NOT(ISERROR(SEARCH(("프로젝트"),(D92))))</formula>
    </cfRule>
    <cfRule type="containsText" dxfId="12558" priority="10289" operator="containsText" text="정규교과">
      <formula>NOT(ISERROR(SEARCH(("정규교과"),(D92))))</formula>
    </cfRule>
    <cfRule type="containsText" dxfId="12557" priority="10322" operator="containsText" text="정규교과">
      <formula>NOT(ISERROR(SEARCH(("정규교과"),(D92))))</formula>
    </cfRule>
    <cfRule type="containsText" dxfId="12556" priority="10290" operator="containsText" text="기타">
      <formula>NOT(ISERROR(SEARCH(("기타"),(D92))))</formula>
    </cfRule>
    <cfRule type="containsText" dxfId="12555" priority="10335" operator="containsText" text="정규교과">
      <formula>NOT(ISERROR(SEARCH(("정규교과"),(D92))))</formula>
    </cfRule>
    <cfRule type="containsText" dxfId="12554" priority="10334" operator="containsText" text="프로젝트">
      <formula>NOT(ISERROR(SEARCH(("프로젝트"),(D92))))</formula>
    </cfRule>
    <cfRule type="containsText" dxfId="12553" priority="10333" operator="containsText" text="기타">
      <formula>NOT(ISERROR(SEARCH(("기타"),(D92))))</formula>
    </cfRule>
  </conditionalFormatting>
  <conditionalFormatting sqref="D96:E96">
    <cfRule type="containsText" dxfId="12552" priority="10192" operator="containsText" text="기타">
      <formula>NOT(ISERROR(SEARCH(("기타"),(D96))))</formula>
    </cfRule>
    <cfRule type="containsText" dxfId="12551" priority="10191" operator="containsText" text="정규교과">
      <formula>NOT(ISERROR(SEARCH(("정규교과"),(D96))))</formula>
    </cfRule>
    <cfRule type="containsText" dxfId="12550" priority="10190" operator="containsText" text="프로젝트">
      <formula>NOT(ISERROR(SEARCH(("프로젝트"),(D96))))</formula>
    </cfRule>
    <cfRule type="containsText" dxfId="12549" priority="10234" operator="containsText" text="정규교과">
      <formula>NOT(ISERROR(SEARCH(("정규교과"),(D96))))</formula>
    </cfRule>
    <cfRule type="containsText" dxfId="12548" priority="10233" operator="containsText" text="프로젝트">
      <formula>NOT(ISERROR(SEARCH(("프로젝트"),(D96))))</formula>
    </cfRule>
    <cfRule type="containsText" dxfId="12547" priority="10232" operator="containsText" text="기타">
      <formula>NOT(ISERROR(SEARCH(("기타"),(D96))))</formula>
    </cfRule>
    <cfRule type="containsText" dxfId="12546" priority="10231" operator="containsText" text="정규교과">
      <formula>NOT(ISERROR(SEARCH(("정규교과"),(D96))))</formula>
    </cfRule>
    <cfRule type="containsText" dxfId="12545" priority="10230" operator="containsText" text="프로젝트">
      <formula>NOT(ISERROR(SEARCH(("프로젝트"),(D96))))</formula>
    </cfRule>
    <cfRule type="containsText" dxfId="12544" priority="10229" operator="containsText" text="기타">
      <formula>NOT(ISERROR(SEARCH(("기타"),(D96))))</formula>
    </cfRule>
    <cfRule type="containsText" dxfId="12543" priority="10228" operator="containsText" text="정규교과">
      <formula>NOT(ISERROR(SEARCH(("정규교과"),(D96))))</formula>
    </cfRule>
    <cfRule type="containsText" dxfId="12542" priority="10227" operator="containsText" text="프로젝트">
      <formula>NOT(ISERROR(SEARCH(("프로젝트"),(D96))))</formula>
    </cfRule>
    <cfRule type="containsText" dxfId="12541" priority="10226" operator="containsText" text="기타">
      <formula>NOT(ISERROR(SEARCH(("기타"),(D96))))</formula>
    </cfRule>
    <cfRule type="containsText" dxfId="12540" priority="10225" operator="containsText" text="정규교과">
      <formula>NOT(ISERROR(SEARCH(("정규교과"),(D96))))</formula>
    </cfRule>
    <cfRule type="containsText" dxfId="12539" priority="10224" operator="containsText" text="프로젝트">
      <formula>NOT(ISERROR(SEARCH(("프로젝트"),(D96))))</formula>
    </cfRule>
    <cfRule type="containsText" dxfId="12538" priority="10223" operator="containsText" text="기타">
      <formula>NOT(ISERROR(SEARCH(("기타"),(D96))))</formula>
    </cfRule>
    <cfRule type="containsText" dxfId="12537" priority="10189" operator="containsText" text="기타">
      <formula>NOT(ISERROR(SEARCH(("기타"),(D96))))</formula>
    </cfRule>
    <cfRule type="containsText" dxfId="12536" priority="10188" operator="containsText" text="정규교과">
      <formula>NOT(ISERROR(SEARCH(("정규교과"),(D96))))</formula>
    </cfRule>
    <cfRule type="containsText" dxfId="12535" priority="10187" operator="containsText" text="프로젝트">
      <formula>NOT(ISERROR(SEARCH(("프로젝트"),(D96))))</formula>
    </cfRule>
    <cfRule type="containsText" dxfId="12534" priority="10186" operator="containsText" text="기타">
      <formula>NOT(ISERROR(SEARCH(("기타"),(D96))))</formula>
    </cfRule>
    <cfRule type="containsText" dxfId="12533" priority="10185" operator="containsText" text="정규교과">
      <formula>NOT(ISERROR(SEARCH(("정규교과"),(D96))))</formula>
    </cfRule>
    <cfRule type="containsText" dxfId="12532" priority="10204" operator="containsText" text="기타">
      <formula>NOT(ISERROR(SEARCH(("기타"),(D96))))</formula>
    </cfRule>
    <cfRule type="containsText" dxfId="12531" priority="10221" operator="containsText" text="프로젝트">
      <formula>NOT(ISERROR(SEARCH(("프로젝트"),(D96))))</formula>
    </cfRule>
    <cfRule type="containsText" dxfId="12530" priority="10220" operator="containsText" text="휴강">
      <formula>NOT(ISERROR(SEARCH(("휴강"),(D96))))</formula>
    </cfRule>
    <cfRule type="containsText" dxfId="12529" priority="10219" operator="containsText" text="기타">
      <formula>NOT(ISERROR(SEARCH(("기타"),(D96))))</formula>
    </cfRule>
    <cfRule type="containsText" dxfId="12528" priority="10218" operator="containsText" text="정규교과">
      <formula>NOT(ISERROR(SEARCH(("정규교과"),(D96))))</formula>
    </cfRule>
    <cfRule type="containsText" dxfId="12527" priority="10222" operator="containsText" text="정규교과">
      <formula>NOT(ISERROR(SEARCH(("정규교과"),(D96))))</formula>
    </cfRule>
    <cfRule type="containsText" dxfId="12526" priority="10217" operator="containsText" text="프로젝트">
      <formula>NOT(ISERROR(SEARCH(("프로젝트"),(D96))))</formula>
    </cfRule>
    <cfRule type="containsText" dxfId="12525" priority="10216" operator="containsText" text="기타">
      <formula>NOT(ISERROR(SEARCH(("기타"),(D96))))</formula>
    </cfRule>
    <cfRule type="containsText" dxfId="12524" priority="10215" operator="containsText" text="정규교과">
      <formula>NOT(ISERROR(SEARCH(("정규교과"),(D96))))</formula>
    </cfRule>
    <cfRule type="containsText" dxfId="12523" priority="10214" operator="containsText" text="프로젝트">
      <formula>NOT(ISERROR(SEARCH(("프로젝트"),(D96))))</formula>
    </cfRule>
    <cfRule type="containsText" dxfId="12522" priority="10213" operator="containsText" text="기타">
      <formula>NOT(ISERROR(SEARCH(("기타"),(D96))))</formula>
    </cfRule>
    <cfRule type="containsText" dxfId="12521" priority="10212" operator="containsText" text="정규교과">
      <formula>NOT(ISERROR(SEARCH(("정규교과"),(D96))))</formula>
    </cfRule>
    <cfRule type="containsText" dxfId="12520" priority="10211" operator="containsText" text="프로젝트">
      <formula>NOT(ISERROR(SEARCH(("프로젝트"),(D96))))</formula>
    </cfRule>
    <cfRule type="containsText" dxfId="12519" priority="10210" operator="containsText" text="기타">
      <formula>NOT(ISERROR(SEARCH(("기타"),(D96))))</formula>
    </cfRule>
    <cfRule type="containsText" dxfId="12518" priority="10209" operator="containsText" text="정규교과">
      <formula>NOT(ISERROR(SEARCH(("정규교과"),(D96))))</formula>
    </cfRule>
    <cfRule type="containsText" dxfId="12517" priority="10208" operator="containsText" text="프로젝트">
      <formula>NOT(ISERROR(SEARCH(("프로젝트"),(D96))))</formula>
    </cfRule>
    <cfRule type="containsText" dxfId="12516" priority="10206" operator="containsText" text="정규교과">
      <formula>NOT(ISERROR(SEARCH(("정규교과"),(D96))))</formula>
    </cfRule>
    <cfRule type="containsText" dxfId="12515" priority="10205" operator="containsText" text="프로젝트">
      <formula>NOT(ISERROR(SEARCH(("프로젝트"),(D96))))</formula>
    </cfRule>
    <cfRule type="containsText" dxfId="12514" priority="10203" operator="containsText" text="정규교과">
      <formula>NOT(ISERROR(SEARCH(("정규교과"),(D96))))</formula>
    </cfRule>
    <cfRule type="containsText" dxfId="12513" priority="10202" operator="containsText" text="프로젝트">
      <formula>NOT(ISERROR(SEARCH(("프로젝트"),(D96))))</formula>
    </cfRule>
    <cfRule type="containsText" dxfId="12512" priority="10201" operator="containsText" text="기타">
      <formula>NOT(ISERROR(SEARCH(("기타"),(D96))))</formula>
    </cfRule>
    <cfRule type="containsText" dxfId="12511" priority="10200" operator="containsText" text="정규교과">
      <formula>NOT(ISERROR(SEARCH(("정규교과"),(D96))))</formula>
    </cfRule>
    <cfRule type="containsText" dxfId="12510" priority="10199" operator="containsText" text="프로젝트">
      <formula>NOT(ISERROR(SEARCH(("프로젝트"),(D96))))</formula>
    </cfRule>
    <cfRule type="containsText" dxfId="12509" priority="10198" operator="containsText" text="기타">
      <formula>NOT(ISERROR(SEARCH(("기타"),(D96))))</formula>
    </cfRule>
    <cfRule type="containsText" dxfId="12508" priority="10197" operator="containsText" text="정규교과">
      <formula>NOT(ISERROR(SEARCH(("정규교과"),(D96))))</formula>
    </cfRule>
    <cfRule type="containsText" dxfId="12507" priority="10196" operator="containsText" text="프로젝트">
      <formula>NOT(ISERROR(SEARCH(("프로젝트"),(D96))))</formula>
    </cfRule>
    <cfRule type="containsText" dxfId="12506" priority="10195" operator="containsText" text="기타">
      <formula>NOT(ISERROR(SEARCH(("기타"),(D96))))</formula>
    </cfRule>
    <cfRule type="containsText" dxfId="12505" priority="10194" operator="containsText" text="정규교과">
      <formula>NOT(ISERROR(SEARCH(("정규교과"),(D96))))</formula>
    </cfRule>
    <cfRule type="containsText" dxfId="12504" priority="10193" operator="containsText" text="프로젝트">
      <formula>NOT(ISERROR(SEARCH(("프로젝트"),(D96))))</formula>
    </cfRule>
    <cfRule type="containsText" dxfId="12503" priority="10235" operator="containsText" text="기타">
      <formula>NOT(ISERROR(SEARCH(("기타"),(D96))))</formula>
    </cfRule>
    <cfRule type="containsText" dxfId="12502" priority="10207" operator="containsText" text="기타">
      <formula>NOT(ISERROR(SEARCH(("기타"),(D96))))</formula>
    </cfRule>
  </conditionalFormatting>
  <conditionalFormatting sqref="D100:E100">
    <cfRule type="containsText" dxfId="12501" priority="10102" operator="containsText" text="정규교과">
      <formula>NOT(ISERROR(SEARCH(("정규교과"),(D100))))</formula>
    </cfRule>
    <cfRule type="containsText" dxfId="12500" priority="10103" operator="containsText" text="기타">
      <formula>NOT(ISERROR(SEARCH(("기타"),(D100))))</formula>
    </cfRule>
    <cfRule type="containsText" dxfId="12499" priority="10104" operator="containsText" text="프로젝트">
      <formula>NOT(ISERROR(SEARCH(("프로젝트"),(D100))))</formula>
    </cfRule>
    <cfRule type="containsText" dxfId="12498" priority="10090" operator="containsText" text="정규교과">
      <formula>NOT(ISERROR(SEARCH(("정규교과"),(D100))))</formula>
    </cfRule>
    <cfRule type="containsText" dxfId="12497" priority="10089" operator="containsText" text="프로젝트">
      <formula>NOT(ISERROR(SEARCH(("프로젝트"),(D100))))</formula>
    </cfRule>
    <cfRule type="containsText" dxfId="12496" priority="10088" operator="containsText" text="기타">
      <formula>NOT(ISERROR(SEARCH(("기타"),(D100))))</formula>
    </cfRule>
    <cfRule type="containsText" dxfId="12495" priority="10087" operator="containsText" text="정규교과">
      <formula>NOT(ISERROR(SEARCH(("정규교과"),(D100))))</formula>
    </cfRule>
    <cfRule type="containsText" dxfId="12494" priority="10086" operator="containsText" text="프로젝트">
      <formula>NOT(ISERROR(SEARCH(("프로젝트"),(D100))))</formula>
    </cfRule>
    <cfRule type="containsText" dxfId="12493" priority="10085" operator="containsText" text="기타">
      <formula>NOT(ISERROR(SEARCH(("기타"),(D100))))</formula>
    </cfRule>
    <cfRule type="containsText" dxfId="12492" priority="10091" operator="containsText" text="기타">
      <formula>NOT(ISERROR(SEARCH(("기타"),(D100))))</formula>
    </cfRule>
    <cfRule type="containsText" dxfId="12491" priority="10083" operator="containsText" text="프로젝트">
      <formula>NOT(ISERROR(SEARCH(("프로젝트"),(D100))))</formula>
    </cfRule>
    <cfRule type="containsText" dxfId="12490" priority="10082" operator="containsText" text="기타">
      <formula>NOT(ISERROR(SEARCH(("기타"),(D100))))</formula>
    </cfRule>
    <cfRule type="containsText" dxfId="12489" priority="10121" operator="containsText" text="정규교과">
      <formula>NOT(ISERROR(SEARCH(("정규교과"),(D100))))</formula>
    </cfRule>
    <cfRule type="containsText" dxfId="12488" priority="10081" operator="containsText" text="정규교과">
      <formula>NOT(ISERROR(SEARCH(("정규교과"),(D100))))</formula>
    </cfRule>
    <cfRule type="containsText" dxfId="12487" priority="10124" operator="containsText" text="정규교과">
      <formula>NOT(ISERROR(SEARCH(("정규교과"),(D100))))</formula>
    </cfRule>
    <cfRule type="containsText" dxfId="12486" priority="10123" operator="containsText" text="프로젝트">
      <formula>NOT(ISERROR(SEARCH(("프로젝트"),(D100))))</formula>
    </cfRule>
    <cfRule type="containsText" dxfId="12485" priority="10105" operator="containsText" text="정규교과">
      <formula>NOT(ISERROR(SEARCH(("정규교과"),(D100))))</formula>
    </cfRule>
    <cfRule type="containsText" dxfId="12484" priority="10106" operator="containsText" text="기타">
      <formula>NOT(ISERROR(SEARCH(("기타"),(D100))))</formula>
    </cfRule>
    <cfRule type="containsText" dxfId="12483" priority="10122" operator="containsText" text="기타">
      <formula>NOT(ISERROR(SEARCH(("기타"),(D100))))</formula>
    </cfRule>
    <cfRule type="containsText" dxfId="12482" priority="10125" operator="containsText" text="기타">
      <formula>NOT(ISERROR(SEARCH(("기타"),(D100))))</formula>
    </cfRule>
    <cfRule type="containsText" dxfId="12481" priority="10092" operator="containsText" text="프로젝트">
      <formula>NOT(ISERROR(SEARCH(("프로젝트"),(D100))))</formula>
    </cfRule>
    <cfRule type="containsText" dxfId="12480" priority="10093" operator="containsText" text="정규교과">
      <formula>NOT(ISERROR(SEARCH(("정규교과"),(D100))))</formula>
    </cfRule>
    <cfRule type="containsText" dxfId="12479" priority="10094" operator="containsText" text="기타">
      <formula>NOT(ISERROR(SEARCH(("기타"),(D100))))</formula>
    </cfRule>
    <cfRule type="containsText" dxfId="12478" priority="10095" operator="containsText" text="프로젝트">
      <formula>NOT(ISERROR(SEARCH(("프로젝트"),(D100))))</formula>
    </cfRule>
    <cfRule type="containsText" dxfId="12477" priority="10120" operator="containsText" text="프로젝트">
      <formula>NOT(ISERROR(SEARCH(("프로젝트"),(D100))))</formula>
    </cfRule>
    <cfRule type="containsText" dxfId="12476" priority="10096" operator="containsText" text="정규교과">
      <formula>NOT(ISERROR(SEARCH(("정규교과"),(D100))))</formula>
    </cfRule>
    <cfRule type="containsText" dxfId="12475" priority="10097" operator="containsText" text="기타">
      <formula>NOT(ISERROR(SEARCH(("기타"),(D100))))</formula>
    </cfRule>
    <cfRule type="containsText" dxfId="12474" priority="10098" operator="containsText" text="프로젝트">
      <formula>NOT(ISERROR(SEARCH(("프로젝트"),(D100))))</formula>
    </cfRule>
    <cfRule type="containsText" dxfId="12473" priority="10099" operator="containsText" text="정규교과">
      <formula>NOT(ISERROR(SEARCH(("정규교과"),(D100))))</formula>
    </cfRule>
    <cfRule type="containsText" dxfId="12472" priority="10100" operator="containsText" text="기타">
      <formula>NOT(ISERROR(SEARCH(("기타"),(D100))))</formula>
    </cfRule>
    <cfRule type="containsText" dxfId="12471" priority="10119" operator="containsText" text="기타">
      <formula>NOT(ISERROR(SEARCH(("기타"),(D100))))</formula>
    </cfRule>
    <cfRule type="containsText" dxfId="12470" priority="10084" operator="containsText" text="정규교과">
      <formula>NOT(ISERROR(SEARCH(("정규교과"),(D100))))</formula>
    </cfRule>
    <cfRule type="containsText" dxfId="12469" priority="10118" operator="containsText" text="정규교과">
      <formula>NOT(ISERROR(SEARCH(("정규교과"),(D100))))</formula>
    </cfRule>
    <cfRule type="containsText" dxfId="12468" priority="10117" operator="containsText" text="프로젝트">
      <formula>NOT(ISERROR(SEARCH(("프로젝트"),(D100))))</formula>
    </cfRule>
    <cfRule type="containsText" dxfId="12467" priority="10116" operator="containsText" text="휴강">
      <formula>NOT(ISERROR(SEARCH(("휴강"),(D100))))</formula>
    </cfRule>
    <cfRule type="containsText" dxfId="12466" priority="10115" operator="containsText" text="기타">
      <formula>NOT(ISERROR(SEARCH(("기타"),(D100))))</formula>
    </cfRule>
    <cfRule type="containsText" dxfId="12465" priority="10114" operator="containsText" text="정규교과">
      <formula>NOT(ISERROR(SEARCH(("정규교과"),(D100))))</formula>
    </cfRule>
    <cfRule type="containsText" dxfId="12464" priority="10113" operator="containsText" text="프로젝트">
      <formula>NOT(ISERROR(SEARCH(("프로젝트"),(D100))))</formula>
    </cfRule>
    <cfRule type="containsText" dxfId="12463" priority="10112" operator="containsText" text="기타">
      <formula>NOT(ISERROR(SEARCH(("기타"),(D100))))</formula>
    </cfRule>
    <cfRule type="containsText" dxfId="12462" priority="10111" operator="containsText" text="정규교과">
      <formula>NOT(ISERROR(SEARCH(("정규교과"),(D100))))</formula>
    </cfRule>
    <cfRule type="containsText" dxfId="12461" priority="10110" operator="containsText" text="프로젝트">
      <formula>NOT(ISERROR(SEARCH(("프로젝트"),(D100))))</formula>
    </cfRule>
    <cfRule type="containsText" dxfId="12460" priority="10126" operator="containsText" text="프로젝트">
      <formula>NOT(ISERROR(SEARCH(("프로젝트"),(D100))))</formula>
    </cfRule>
    <cfRule type="containsText" dxfId="12459" priority="10127" operator="containsText" text="정규교과">
      <formula>NOT(ISERROR(SEARCH(("정규교과"),(D100))))</formula>
    </cfRule>
    <cfRule type="containsText" dxfId="12458" priority="10128" operator="containsText" text="기타">
      <formula>NOT(ISERROR(SEARCH(("기타"),(D100))))</formula>
    </cfRule>
    <cfRule type="containsText" dxfId="12457" priority="10129" operator="containsText" text="프로젝트">
      <formula>NOT(ISERROR(SEARCH(("프로젝트"),(D100))))</formula>
    </cfRule>
    <cfRule type="containsText" dxfId="12456" priority="10130" operator="containsText" text="정규교과">
      <formula>NOT(ISERROR(SEARCH(("정규교과"),(D100))))</formula>
    </cfRule>
    <cfRule type="containsText" dxfId="12455" priority="10131" operator="containsText" text="기타">
      <formula>NOT(ISERROR(SEARCH(("기타"),(D100))))</formula>
    </cfRule>
    <cfRule type="containsText" dxfId="12454" priority="10109" operator="containsText" text="기타">
      <formula>NOT(ISERROR(SEARCH(("기타"),(D100))))</formula>
    </cfRule>
    <cfRule type="containsText" dxfId="12453" priority="10108" operator="containsText" text="정규교과">
      <formula>NOT(ISERROR(SEARCH(("정규교과"),(D100))))</formula>
    </cfRule>
    <cfRule type="containsText" dxfId="12452" priority="10107" operator="containsText" text="프로젝트">
      <formula>NOT(ISERROR(SEARCH(("프로젝트"),(D100))))</formula>
    </cfRule>
    <cfRule type="containsText" dxfId="12451" priority="10101" operator="containsText" text="프로젝트">
      <formula>NOT(ISERROR(SEARCH(("프로젝트"),(D100))))</formula>
    </cfRule>
  </conditionalFormatting>
  <conditionalFormatting sqref="D104:E104">
    <cfRule type="containsText" dxfId="12450" priority="10013" operator="containsText" text="프로젝트">
      <formula>NOT(ISERROR(SEARCH(("프로젝트"),(D104))))</formula>
    </cfRule>
    <cfRule type="containsText" dxfId="12449" priority="10014" operator="containsText" text="정규교과">
      <formula>NOT(ISERROR(SEARCH(("정규교과"),(D104))))</formula>
    </cfRule>
    <cfRule type="containsText" dxfId="12448" priority="10017" operator="containsText" text="정규교과">
      <formula>NOT(ISERROR(SEARCH(("정규교과"),(D104))))</formula>
    </cfRule>
    <cfRule type="containsText" dxfId="12447" priority="10018" operator="containsText" text="기타">
      <formula>NOT(ISERROR(SEARCH(("기타"),(D104))))</formula>
    </cfRule>
    <cfRule type="containsText" dxfId="12446" priority="10019" operator="containsText" text="프로젝트">
      <formula>NOT(ISERROR(SEARCH(("프로젝트"),(D104))))</formula>
    </cfRule>
    <cfRule type="containsText" dxfId="12445" priority="10020" operator="containsText" text="정규교과">
      <formula>NOT(ISERROR(SEARCH(("정규교과"),(D104))))</formula>
    </cfRule>
    <cfRule type="containsText" dxfId="12444" priority="10021" operator="containsText" text="기타">
      <formula>NOT(ISERROR(SEARCH(("기타"),(D104))))</formula>
    </cfRule>
    <cfRule type="containsText" dxfId="12443" priority="10022" operator="containsText" text="프로젝트">
      <formula>NOT(ISERROR(SEARCH(("프로젝트"),(D104))))</formula>
    </cfRule>
    <cfRule type="containsText" dxfId="12442" priority="10023" operator="containsText" text="정규교과">
      <formula>NOT(ISERROR(SEARCH(("정규교과"),(D104))))</formula>
    </cfRule>
    <cfRule type="containsText" dxfId="12441" priority="10024" operator="containsText" text="기타">
      <formula>NOT(ISERROR(SEARCH(("기타"),(D104))))</formula>
    </cfRule>
    <cfRule type="containsText" dxfId="12440" priority="10025" operator="containsText" text="프로젝트">
      <formula>NOT(ISERROR(SEARCH(("프로젝트"),(D104))))</formula>
    </cfRule>
    <cfRule type="containsText" dxfId="12439" priority="10026" operator="containsText" text="정규교과">
      <formula>NOT(ISERROR(SEARCH(("정규교과"),(D104))))</formula>
    </cfRule>
    <cfRule type="containsText" dxfId="12438" priority="10027" operator="containsText" text="기타">
      <formula>NOT(ISERROR(SEARCH(("기타"),(D104))))</formula>
    </cfRule>
    <cfRule type="containsText" dxfId="12437" priority="10009" operator="containsText" text="프로젝트">
      <formula>NOT(ISERROR(SEARCH(("프로젝트"),(D104))))</formula>
    </cfRule>
    <cfRule type="containsText" dxfId="12436" priority="10016" operator="containsText" text="프로젝트">
      <formula>NOT(ISERROR(SEARCH(("프로젝트"),(D104))))</formula>
    </cfRule>
    <cfRule type="containsText" dxfId="12435" priority="10015" operator="containsText" text="기타">
      <formula>NOT(ISERROR(SEARCH(("기타"),(D104))))</formula>
    </cfRule>
    <cfRule type="containsText" dxfId="12434" priority="9990" operator="containsText" text="기타">
      <formula>NOT(ISERROR(SEARCH(("기타"),(D104))))</formula>
    </cfRule>
    <cfRule type="containsText" dxfId="12433" priority="9991" operator="containsText" text="프로젝트">
      <formula>NOT(ISERROR(SEARCH(("프로젝트"),(D104))))</formula>
    </cfRule>
    <cfRule type="containsText" dxfId="12432" priority="9992" operator="containsText" text="정규교과">
      <formula>NOT(ISERROR(SEARCH(("정규교과"),(D104))))</formula>
    </cfRule>
    <cfRule type="containsText" dxfId="12431" priority="9993" operator="containsText" text="기타">
      <formula>NOT(ISERROR(SEARCH(("기타"),(D104))))</formula>
    </cfRule>
    <cfRule type="containsText" dxfId="12430" priority="9994" operator="containsText" text="프로젝트">
      <formula>NOT(ISERROR(SEARCH(("프로젝트"),(D104))))</formula>
    </cfRule>
    <cfRule type="containsText" dxfId="12429" priority="9995" operator="containsText" text="정규교과">
      <formula>NOT(ISERROR(SEARCH(("정규교과"),(D104))))</formula>
    </cfRule>
    <cfRule type="containsText" dxfId="12428" priority="9996" operator="containsText" text="기타">
      <formula>NOT(ISERROR(SEARCH(("기타"),(D104))))</formula>
    </cfRule>
    <cfRule type="containsText" dxfId="12427" priority="9997" operator="containsText" text="프로젝트">
      <formula>NOT(ISERROR(SEARCH(("프로젝트"),(D104))))</formula>
    </cfRule>
    <cfRule type="containsText" dxfId="12426" priority="9998" operator="containsText" text="정규교과">
      <formula>NOT(ISERROR(SEARCH(("정규교과"),(D104))))</formula>
    </cfRule>
    <cfRule type="containsText" dxfId="12425" priority="9999" operator="containsText" text="기타">
      <formula>NOT(ISERROR(SEARCH(("기타"),(D104))))</formula>
    </cfRule>
    <cfRule type="containsText" dxfId="12424" priority="10000" operator="containsText" text="프로젝트">
      <formula>NOT(ISERROR(SEARCH(("프로젝트"),(D104))))</formula>
    </cfRule>
    <cfRule type="containsText" dxfId="12423" priority="10001" operator="containsText" text="정규교과">
      <formula>NOT(ISERROR(SEARCH(("정규교과"),(D104))))</formula>
    </cfRule>
    <cfRule type="containsText" dxfId="12422" priority="10002" operator="containsText" text="기타">
      <formula>NOT(ISERROR(SEARCH(("기타"),(D104))))</formula>
    </cfRule>
    <cfRule type="containsText" dxfId="12421" priority="10003" operator="containsText" text="프로젝트">
      <formula>NOT(ISERROR(SEARCH(("프로젝트"),(D104))))</formula>
    </cfRule>
    <cfRule type="containsText" dxfId="12420" priority="10004" operator="containsText" text="정규교과">
      <formula>NOT(ISERROR(SEARCH(("정규교과"),(D104))))</formula>
    </cfRule>
    <cfRule type="containsText" dxfId="12419" priority="10005" operator="containsText" text="기타">
      <formula>NOT(ISERROR(SEARCH(("기타"),(D104))))</formula>
    </cfRule>
    <cfRule type="containsText" dxfId="12418" priority="10006" operator="containsText" text="프로젝트">
      <formula>NOT(ISERROR(SEARCH(("프로젝트"),(D104))))</formula>
    </cfRule>
    <cfRule type="containsText" dxfId="12417" priority="10007" operator="containsText" text="정규교과">
      <formula>NOT(ISERROR(SEARCH(("정규교과"),(D104))))</formula>
    </cfRule>
    <cfRule type="containsText" dxfId="12416" priority="10008" operator="containsText" text="기타">
      <formula>NOT(ISERROR(SEARCH(("기타"),(D104))))</formula>
    </cfRule>
    <cfRule type="containsText" dxfId="12415" priority="10010" operator="containsText" text="정규교과">
      <formula>NOT(ISERROR(SEARCH(("정규교과"),(D104))))</formula>
    </cfRule>
    <cfRule type="containsText" dxfId="12414" priority="10011" operator="containsText" text="기타">
      <formula>NOT(ISERROR(SEARCH(("기타"),(D104))))</formula>
    </cfRule>
    <cfRule type="containsText" dxfId="12413" priority="10012" operator="containsText" text="휴강">
      <formula>NOT(ISERROR(SEARCH(("휴강"),(D104))))</formula>
    </cfRule>
    <cfRule type="containsText" dxfId="12412" priority="9989" operator="containsText" text="정규교과">
      <formula>NOT(ISERROR(SEARCH(("정규교과"),(D104))))</formula>
    </cfRule>
    <cfRule type="containsText" dxfId="12411" priority="9988" operator="containsText" text="프로젝트">
      <formula>NOT(ISERROR(SEARCH(("프로젝트"),(D104))))</formula>
    </cfRule>
    <cfRule type="containsText" dxfId="12410" priority="9987" operator="containsText" text="기타">
      <formula>NOT(ISERROR(SEARCH(("기타"),(D104))))</formula>
    </cfRule>
    <cfRule type="containsText" dxfId="12409" priority="9986" operator="containsText" text="정규교과">
      <formula>NOT(ISERROR(SEARCH(("정규교과"),(D104))))</formula>
    </cfRule>
    <cfRule type="containsText" dxfId="12408" priority="9985" operator="containsText" text="프로젝트">
      <formula>NOT(ISERROR(SEARCH(("프로젝트"),(D104))))</formula>
    </cfRule>
    <cfRule type="containsText" dxfId="12407" priority="9984" operator="containsText" text="기타">
      <formula>NOT(ISERROR(SEARCH(("기타"),(D104))))</formula>
    </cfRule>
    <cfRule type="containsText" dxfId="12406" priority="9983" operator="containsText" text="정규교과">
      <formula>NOT(ISERROR(SEARCH(("정규교과"),(D104))))</formula>
    </cfRule>
    <cfRule type="containsText" dxfId="12405" priority="9982" operator="containsText" text="프로젝트">
      <formula>NOT(ISERROR(SEARCH(("프로젝트"),(D104))))</formula>
    </cfRule>
    <cfRule type="containsText" dxfId="12404" priority="9981" operator="containsText" text="기타">
      <formula>NOT(ISERROR(SEARCH(("기타"),(D104))))</formula>
    </cfRule>
    <cfRule type="containsText" dxfId="12403" priority="9980" operator="containsText" text="정규교과">
      <formula>NOT(ISERROR(SEARCH(("정규교과"),(D104))))</formula>
    </cfRule>
    <cfRule type="containsText" dxfId="12402" priority="9979" operator="containsText" text="프로젝트">
      <formula>NOT(ISERROR(SEARCH(("프로젝트"),(D104))))</formula>
    </cfRule>
    <cfRule type="containsText" dxfId="12401" priority="9978" operator="containsText" text="기타">
      <formula>NOT(ISERROR(SEARCH(("기타"),(D104))))</formula>
    </cfRule>
    <cfRule type="containsText" dxfId="12400" priority="9977" operator="containsText" text="정규교과">
      <formula>NOT(ISERROR(SEARCH(("정규교과"),(D104))))</formula>
    </cfRule>
  </conditionalFormatting>
  <conditionalFormatting sqref="D250:E250">
    <cfRule type="containsText" dxfId="12399" priority="3897" operator="containsText" text="휴강">
      <formula>NOT(ISERROR(SEARCH(("휴강"),(D250))))</formula>
    </cfRule>
    <cfRule type="containsText" dxfId="12398" priority="3903" operator="containsText" text="기타">
      <formula>NOT(ISERROR(SEARCH(("기타"),(D250))))</formula>
    </cfRule>
    <cfRule type="containsText" dxfId="12397" priority="3902" operator="containsText" text="정규교과">
      <formula>NOT(ISERROR(SEARCH(("정규교과"),(D250))))</formula>
    </cfRule>
    <cfRule type="containsText" dxfId="12396" priority="3901" operator="containsText" text="프로젝트">
      <formula>NOT(ISERROR(SEARCH(("프로젝트"),(D250))))</formula>
    </cfRule>
    <cfRule type="containsText" dxfId="12395" priority="3898" operator="containsText" text="프로젝트">
      <formula>NOT(ISERROR(SEARCH(("프로젝트"),(D250))))</formula>
    </cfRule>
    <cfRule type="containsText" dxfId="12394" priority="3900" operator="containsText" text="기타">
      <formula>NOT(ISERROR(SEARCH(("기타"),(D250))))</formula>
    </cfRule>
    <cfRule type="containsText" dxfId="12393" priority="3899" operator="containsText" text="정규교과">
      <formula>NOT(ISERROR(SEARCH(("정규교과"),(D250))))</formula>
    </cfRule>
    <cfRule type="containsText" dxfId="12392" priority="3907" operator="containsText" text="프로젝트">
      <formula>NOT(ISERROR(SEARCH(("프로젝트"),(D250))))</formula>
    </cfRule>
    <cfRule type="containsText" dxfId="12391" priority="3905" operator="containsText" text="정규교과">
      <formula>NOT(ISERROR(SEARCH(("정규교과"),(D250))))</formula>
    </cfRule>
    <cfRule type="containsText" dxfId="12390" priority="3906" operator="containsText" text="기타">
      <formula>NOT(ISERROR(SEARCH(("기타"),(D250))))</formula>
    </cfRule>
    <cfRule type="containsText" dxfId="12389" priority="3908" operator="containsText" text="정규교과">
      <formula>NOT(ISERROR(SEARCH(("정규교과"),(D250))))</formula>
    </cfRule>
    <cfRule type="containsText" dxfId="12388" priority="3909" operator="containsText" text="기타">
      <formula>NOT(ISERROR(SEARCH(("기타"),(D250))))</formula>
    </cfRule>
    <cfRule type="containsText" dxfId="12387" priority="3904" operator="containsText" text="프로젝트">
      <formula>NOT(ISERROR(SEARCH(("프로젝트"),(D250))))</formula>
    </cfRule>
  </conditionalFormatting>
  <conditionalFormatting sqref="D254:E254">
    <cfRule type="containsText" dxfId="12386" priority="3789" operator="containsText" text="기타">
      <formula>NOT(ISERROR(SEARCH(("기타"),(D254))))</formula>
    </cfRule>
    <cfRule type="containsText" dxfId="12385" priority="3788" operator="containsText" text="정규교과">
      <formula>NOT(ISERROR(SEARCH(("정규교과"),(D254))))</formula>
    </cfRule>
    <cfRule type="containsText" dxfId="12384" priority="3787" operator="containsText" text="프로젝트">
      <formula>NOT(ISERROR(SEARCH(("프로젝트"),(D254))))</formula>
    </cfRule>
    <cfRule type="containsText" dxfId="12383" priority="3786" operator="containsText" text="휴강">
      <formula>NOT(ISERROR(SEARCH(("휴강"),(D254))))</formula>
    </cfRule>
    <cfRule type="containsText" dxfId="12382" priority="3791" operator="containsText" text="정규교과">
      <formula>NOT(ISERROR(SEARCH(("정규교과"),(D254))))</formula>
    </cfRule>
    <cfRule type="containsText" dxfId="12381" priority="3792" operator="containsText" text="기타">
      <formula>NOT(ISERROR(SEARCH(("기타"),(D254))))</formula>
    </cfRule>
    <cfRule type="containsText" dxfId="12380" priority="3790" operator="containsText" text="프로젝트">
      <formula>NOT(ISERROR(SEARCH(("프로젝트"),(D254))))</formula>
    </cfRule>
    <cfRule type="containsText" dxfId="12379" priority="3795" operator="containsText" text="기타">
      <formula>NOT(ISERROR(SEARCH(("기타"),(D254))))</formula>
    </cfRule>
    <cfRule type="containsText" dxfId="12378" priority="3796" operator="containsText" text="프로젝트">
      <formula>NOT(ISERROR(SEARCH(("프로젝트"),(D254))))</formula>
    </cfRule>
    <cfRule type="containsText" dxfId="12377" priority="3797" operator="containsText" text="정규교과">
      <formula>NOT(ISERROR(SEARCH(("정규교과"),(D254))))</formula>
    </cfRule>
    <cfRule type="containsText" dxfId="12376" priority="3798" operator="containsText" text="기타">
      <formula>NOT(ISERROR(SEARCH(("기타"),(D254))))</formula>
    </cfRule>
    <cfRule type="containsText" dxfId="12375" priority="3794" operator="containsText" text="정규교과">
      <formula>NOT(ISERROR(SEARCH(("정규교과"),(D254))))</formula>
    </cfRule>
    <cfRule type="containsText" dxfId="12374" priority="3793" operator="containsText" text="프로젝트">
      <formula>NOT(ISERROR(SEARCH(("프로젝트"),(D254))))</formula>
    </cfRule>
  </conditionalFormatting>
  <conditionalFormatting sqref="D258:E258">
    <cfRule type="containsText" dxfId="12373" priority="3683" operator="containsText" text="정규교과">
      <formula>NOT(ISERROR(SEARCH(("정규교과"),(D258))))</formula>
    </cfRule>
    <cfRule type="containsText" dxfId="12372" priority="3679" operator="containsText" text="프로젝트">
      <formula>NOT(ISERROR(SEARCH(("프로젝트"),(D258))))</formula>
    </cfRule>
    <cfRule type="containsText" dxfId="12371" priority="3678" operator="containsText" text="기타">
      <formula>NOT(ISERROR(SEARCH(("기타"),(D258))))</formula>
    </cfRule>
    <cfRule type="containsText" dxfId="12370" priority="3677" operator="containsText" text="정규교과">
      <formula>NOT(ISERROR(SEARCH(("정규교과"),(D258))))</formula>
    </cfRule>
    <cfRule type="containsText" dxfId="12369" priority="3676" operator="containsText" text="프로젝트">
      <formula>NOT(ISERROR(SEARCH(("프로젝트"),(D258))))</formula>
    </cfRule>
    <cfRule type="containsText" dxfId="12368" priority="3675" operator="containsText" text="휴강">
      <formula>NOT(ISERROR(SEARCH(("휴강"),(D258))))</formula>
    </cfRule>
    <cfRule type="containsText" dxfId="12367" priority="3681" operator="containsText" text="기타">
      <formula>NOT(ISERROR(SEARCH(("기타"),(D258))))</formula>
    </cfRule>
    <cfRule type="containsText" dxfId="12366" priority="3680" operator="containsText" text="정규교과">
      <formula>NOT(ISERROR(SEARCH(("정규교과"),(D258))))</formula>
    </cfRule>
    <cfRule type="containsText" dxfId="12365" priority="3682" operator="containsText" text="프로젝트">
      <formula>NOT(ISERROR(SEARCH(("프로젝트"),(D258))))</formula>
    </cfRule>
    <cfRule type="containsText" dxfId="12364" priority="3687" operator="containsText" text="기타">
      <formula>NOT(ISERROR(SEARCH(("기타"),(D258))))</formula>
    </cfRule>
    <cfRule type="containsText" dxfId="12363" priority="3685" operator="containsText" text="프로젝트">
      <formula>NOT(ISERROR(SEARCH(("프로젝트"),(D258))))</formula>
    </cfRule>
    <cfRule type="containsText" dxfId="12362" priority="3686" operator="containsText" text="정규교과">
      <formula>NOT(ISERROR(SEARCH(("정규교과"),(D258))))</formula>
    </cfRule>
    <cfRule type="containsText" dxfId="12361" priority="3684" operator="containsText" text="기타">
      <formula>NOT(ISERROR(SEARCH(("기타"),(D258))))</formula>
    </cfRule>
  </conditionalFormatting>
  <conditionalFormatting sqref="D263:E263">
    <cfRule type="containsText" dxfId="12360" priority="3567" operator="containsText" text="기타">
      <formula>NOT(ISERROR(SEARCH(("기타"),(D263))))</formula>
    </cfRule>
    <cfRule type="containsText" dxfId="12359" priority="3574" operator="containsText" text="프로젝트">
      <formula>NOT(ISERROR(SEARCH(("프로젝트"),(D263))))</formula>
    </cfRule>
    <cfRule type="containsText" dxfId="12358" priority="3564" operator="containsText" text="휴강">
      <formula>NOT(ISERROR(SEARCH(("휴강"),(D263))))</formula>
    </cfRule>
    <cfRule type="containsText" dxfId="12357" priority="3565" operator="containsText" text="프로젝트">
      <formula>NOT(ISERROR(SEARCH(("프로젝트"),(D263))))</formula>
    </cfRule>
    <cfRule type="containsText" dxfId="12356" priority="3566" operator="containsText" text="정규교과">
      <formula>NOT(ISERROR(SEARCH(("정규교과"),(D263))))</formula>
    </cfRule>
    <cfRule type="containsText" dxfId="12355" priority="3568" operator="containsText" text="프로젝트">
      <formula>NOT(ISERROR(SEARCH(("프로젝트"),(D263))))</formula>
    </cfRule>
    <cfRule type="containsText" dxfId="12354" priority="3569" operator="containsText" text="정규교과">
      <formula>NOT(ISERROR(SEARCH(("정규교과"),(D263))))</formula>
    </cfRule>
    <cfRule type="containsText" dxfId="12353" priority="3570" operator="containsText" text="기타">
      <formula>NOT(ISERROR(SEARCH(("기타"),(D263))))</formula>
    </cfRule>
    <cfRule type="containsText" dxfId="12352" priority="3571" operator="containsText" text="프로젝트">
      <formula>NOT(ISERROR(SEARCH(("프로젝트"),(D263))))</formula>
    </cfRule>
    <cfRule type="containsText" dxfId="12351" priority="3572" operator="containsText" text="정규교과">
      <formula>NOT(ISERROR(SEARCH(("정규교과"),(D263))))</formula>
    </cfRule>
    <cfRule type="containsText" dxfId="12350" priority="3573" operator="containsText" text="기타">
      <formula>NOT(ISERROR(SEARCH(("기타"),(D263))))</formula>
    </cfRule>
    <cfRule type="containsText" dxfId="12349" priority="3575" operator="containsText" text="정규교과">
      <formula>NOT(ISERROR(SEARCH(("정규교과"),(D263))))</formula>
    </cfRule>
    <cfRule type="containsText" dxfId="12348" priority="3576" operator="containsText" text="기타">
      <formula>NOT(ISERROR(SEARCH(("기타"),(D263))))</formula>
    </cfRule>
  </conditionalFormatting>
  <conditionalFormatting sqref="D267:E267">
    <cfRule type="containsText" dxfId="12347" priority="3457" operator="containsText" text="프로젝트">
      <formula>NOT(ISERROR(SEARCH(("프로젝트"),(D267))))</formula>
    </cfRule>
    <cfRule type="containsText" dxfId="12346" priority="3456" operator="containsText" text="기타">
      <formula>NOT(ISERROR(SEARCH(("기타"),(D267))))</formula>
    </cfRule>
    <cfRule type="containsText" dxfId="12345" priority="3455" operator="containsText" text="정규교과">
      <formula>NOT(ISERROR(SEARCH(("정규교과"),(D267))))</formula>
    </cfRule>
    <cfRule type="containsText" dxfId="12344" priority="3454" operator="containsText" text="프로젝트">
      <formula>NOT(ISERROR(SEARCH(("프로젝트"),(D267))))</formula>
    </cfRule>
    <cfRule type="containsText" dxfId="12343" priority="3465" operator="containsText" text="기타">
      <formula>NOT(ISERROR(SEARCH(("기타"),(D267))))</formula>
    </cfRule>
    <cfRule type="containsText" dxfId="12342" priority="3453" operator="containsText" text="휴강">
      <formula>NOT(ISERROR(SEARCH(("휴강"),(D267))))</formula>
    </cfRule>
    <cfRule type="containsText" dxfId="12341" priority="3464" operator="containsText" text="정규교과">
      <formula>NOT(ISERROR(SEARCH(("정규교과"),(D267))))</formula>
    </cfRule>
    <cfRule type="containsText" dxfId="12340" priority="3459" operator="containsText" text="기타">
      <formula>NOT(ISERROR(SEARCH(("기타"),(D267))))</formula>
    </cfRule>
    <cfRule type="containsText" dxfId="12339" priority="3460" operator="containsText" text="프로젝트">
      <formula>NOT(ISERROR(SEARCH(("프로젝트"),(D267))))</formula>
    </cfRule>
    <cfRule type="containsText" dxfId="12338" priority="3461" operator="containsText" text="정규교과">
      <formula>NOT(ISERROR(SEARCH(("정규교과"),(D267))))</formula>
    </cfRule>
    <cfRule type="containsText" dxfId="12337" priority="3462" operator="containsText" text="기타">
      <formula>NOT(ISERROR(SEARCH(("기타"),(D267))))</formula>
    </cfRule>
    <cfRule type="containsText" dxfId="12336" priority="3463" operator="containsText" text="프로젝트">
      <formula>NOT(ISERROR(SEARCH(("프로젝트"),(D267))))</formula>
    </cfRule>
    <cfRule type="containsText" dxfId="12335" priority="3458" operator="containsText" text="정규교과">
      <formula>NOT(ISERROR(SEARCH(("정규교과"),(D267))))</formula>
    </cfRule>
  </conditionalFormatting>
  <conditionalFormatting sqref="D271:E271">
    <cfRule type="containsText" dxfId="12334" priority="3346" operator="containsText" text="프로젝트">
      <formula>NOT(ISERROR(SEARCH(("프로젝트"),(D271))))</formula>
    </cfRule>
    <cfRule type="containsText" dxfId="12333" priority="3350" operator="containsText" text="정규교과">
      <formula>NOT(ISERROR(SEARCH(("정규교과"),(D271))))</formula>
    </cfRule>
    <cfRule type="containsText" dxfId="12332" priority="3348" operator="containsText" text="기타">
      <formula>NOT(ISERROR(SEARCH(("기타"),(D271))))</formula>
    </cfRule>
    <cfRule type="containsText" dxfId="12331" priority="3347" operator="containsText" text="정규교과">
      <formula>NOT(ISERROR(SEARCH(("정규교과"),(D271))))</formula>
    </cfRule>
    <cfRule type="containsText" dxfId="12330" priority="3342" operator="containsText" text="휴강">
      <formula>NOT(ISERROR(SEARCH(("휴강"),(D271))))</formula>
    </cfRule>
    <cfRule type="containsText" dxfId="12329" priority="3349" operator="containsText" text="프로젝트">
      <formula>NOT(ISERROR(SEARCH(("프로젝트"),(D271))))</formula>
    </cfRule>
    <cfRule type="containsText" dxfId="12328" priority="3343" operator="containsText" text="프로젝트">
      <formula>NOT(ISERROR(SEARCH(("프로젝트"),(D271))))</formula>
    </cfRule>
    <cfRule type="containsText" dxfId="12327" priority="3344" operator="containsText" text="정규교과">
      <formula>NOT(ISERROR(SEARCH(("정규교과"),(D271))))</formula>
    </cfRule>
    <cfRule type="containsText" dxfId="12326" priority="3345" operator="containsText" text="기타">
      <formula>NOT(ISERROR(SEARCH(("기타"),(D271))))</formula>
    </cfRule>
    <cfRule type="containsText" dxfId="12325" priority="3354" operator="containsText" text="기타">
      <formula>NOT(ISERROR(SEARCH(("기타"),(D271))))</formula>
    </cfRule>
    <cfRule type="containsText" dxfId="12324" priority="3353" operator="containsText" text="정규교과">
      <formula>NOT(ISERROR(SEARCH(("정규교과"),(D271))))</formula>
    </cfRule>
    <cfRule type="containsText" dxfId="12323" priority="3352" operator="containsText" text="프로젝트">
      <formula>NOT(ISERROR(SEARCH(("프로젝트"),(D271))))</formula>
    </cfRule>
    <cfRule type="containsText" dxfId="12322" priority="3351" operator="containsText" text="기타">
      <formula>NOT(ISERROR(SEARCH(("기타"),(D271))))</formula>
    </cfRule>
  </conditionalFormatting>
  <conditionalFormatting sqref="D275:E275">
    <cfRule type="containsText" dxfId="12321" priority="3232" operator="containsText" text="프로젝트">
      <formula>NOT(ISERROR(SEARCH(("프로젝트"),(D275))))</formula>
    </cfRule>
    <cfRule type="containsText" dxfId="12320" priority="3231" operator="containsText" text="휴강">
      <formula>NOT(ISERROR(SEARCH(("휴강"),(D275))))</formula>
    </cfRule>
    <cfRule type="containsText" dxfId="12319" priority="3243" operator="containsText" text="기타">
      <formula>NOT(ISERROR(SEARCH(("기타"),(D275))))</formula>
    </cfRule>
    <cfRule type="containsText" dxfId="12318" priority="3242" operator="containsText" text="정규교과">
      <formula>NOT(ISERROR(SEARCH(("정규교과"),(D275))))</formula>
    </cfRule>
    <cfRule type="containsText" dxfId="12317" priority="3241" operator="containsText" text="프로젝트">
      <formula>NOT(ISERROR(SEARCH(("프로젝트"),(D275))))</formula>
    </cfRule>
    <cfRule type="containsText" dxfId="12316" priority="3240" operator="containsText" text="기타">
      <formula>NOT(ISERROR(SEARCH(("기타"),(D275))))</formula>
    </cfRule>
    <cfRule type="containsText" dxfId="12315" priority="3239" operator="containsText" text="정규교과">
      <formula>NOT(ISERROR(SEARCH(("정규교과"),(D275))))</formula>
    </cfRule>
    <cfRule type="containsText" dxfId="12314" priority="3238" operator="containsText" text="프로젝트">
      <formula>NOT(ISERROR(SEARCH(("프로젝트"),(D275))))</formula>
    </cfRule>
    <cfRule type="containsText" dxfId="12313" priority="3237" operator="containsText" text="기타">
      <formula>NOT(ISERROR(SEARCH(("기타"),(D275))))</formula>
    </cfRule>
    <cfRule type="containsText" dxfId="12312" priority="3236" operator="containsText" text="정규교과">
      <formula>NOT(ISERROR(SEARCH(("정규교과"),(D275))))</formula>
    </cfRule>
    <cfRule type="containsText" dxfId="12311" priority="3235" operator="containsText" text="프로젝트">
      <formula>NOT(ISERROR(SEARCH(("프로젝트"),(D275))))</formula>
    </cfRule>
    <cfRule type="containsText" dxfId="12310" priority="3234" operator="containsText" text="기타">
      <formula>NOT(ISERROR(SEARCH(("기타"),(D275))))</formula>
    </cfRule>
    <cfRule type="containsText" dxfId="12309" priority="3233" operator="containsText" text="정규교과">
      <formula>NOT(ISERROR(SEARCH(("정규교과"),(D275))))</formula>
    </cfRule>
  </conditionalFormatting>
  <conditionalFormatting sqref="D279:E279">
    <cfRule type="containsText" dxfId="12308" priority="3132" operator="containsText" text="기타">
      <formula>NOT(ISERROR(SEARCH(("기타"),(D279))))</formula>
    </cfRule>
    <cfRule type="containsText" dxfId="12307" priority="3120" operator="containsText" text="휴강">
      <formula>NOT(ISERROR(SEARCH(("휴강"),(D279))))</formula>
    </cfRule>
    <cfRule type="containsText" dxfId="12306" priority="3121" operator="containsText" text="프로젝트">
      <formula>NOT(ISERROR(SEARCH(("프로젝트"),(D279))))</formula>
    </cfRule>
    <cfRule type="containsText" dxfId="12305" priority="3122" operator="containsText" text="정규교과">
      <formula>NOT(ISERROR(SEARCH(("정규교과"),(D279))))</formula>
    </cfRule>
    <cfRule type="containsText" dxfId="12304" priority="3123" operator="containsText" text="기타">
      <formula>NOT(ISERROR(SEARCH(("기타"),(D279))))</formula>
    </cfRule>
    <cfRule type="containsText" dxfId="12303" priority="3124" operator="containsText" text="프로젝트">
      <formula>NOT(ISERROR(SEARCH(("프로젝트"),(D279))))</formula>
    </cfRule>
    <cfRule type="containsText" dxfId="12302" priority="3125" operator="containsText" text="정규교과">
      <formula>NOT(ISERROR(SEARCH(("정규교과"),(D279))))</formula>
    </cfRule>
    <cfRule type="containsText" dxfId="12301" priority="3126" operator="containsText" text="기타">
      <formula>NOT(ISERROR(SEARCH(("기타"),(D279))))</formula>
    </cfRule>
    <cfRule type="containsText" dxfId="12300" priority="3127" operator="containsText" text="프로젝트">
      <formula>NOT(ISERROR(SEARCH(("프로젝트"),(D279))))</formula>
    </cfRule>
    <cfRule type="containsText" dxfId="12299" priority="3128" operator="containsText" text="정규교과">
      <formula>NOT(ISERROR(SEARCH(("정규교과"),(D279))))</formula>
    </cfRule>
    <cfRule type="containsText" dxfId="12298" priority="3129" operator="containsText" text="기타">
      <formula>NOT(ISERROR(SEARCH(("기타"),(D279))))</formula>
    </cfRule>
    <cfRule type="containsText" dxfId="12297" priority="3130" operator="containsText" text="프로젝트">
      <formula>NOT(ISERROR(SEARCH(("프로젝트"),(D279))))</formula>
    </cfRule>
    <cfRule type="containsText" dxfId="12296" priority="3131" operator="containsText" text="정규교과">
      <formula>NOT(ISERROR(SEARCH(("정규교과"),(D279))))</formula>
    </cfRule>
  </conditionalFormatting>
  <conditionalFormatting sqref="D285:E285">
    <cfRule type="containsText" dxfId="12295" priority="2736" operator="containsText" text="프로젝트">
      <formula>NOT(ISERROR(SEARCH(("프로젝트"),(D285))))</formula>
    </cfRule>
    <cfRule type="containsText" dxfId="12294" priority="2737" operator="containsText" text="정규교과">
      <formula>NOT(ISERROR(SEARCH(("정규교과"),(D285))))</formula>
    </cfRule>
    <cfRule type="containsText" dxfId="12293" priority="2738" operator="containsText" text="기타">
      <formula>NOT(ISERROR(SEARCH(("기타"),(D285))))</formula>
    </cfRule>
    <cfRule type="containsText" dxfId="12292" priority="2735" operator="containsText" text="휴강">
      <formula>NOT(ISERROR(SEARCH(("휴강"),(D285))))</formula>
    </cfRule>
  </conditionalFormatting>
  <conditionalFormatting sqref="D289:E289">
    <cfRule type="containsText" dxfId="12291" priority="2733" operator="containsText" text="정규교과">
      <formula>NOT(ISERROR(SEARCH(("정규교과"),(D289))))</formula>
    </cfRule>
    <cfRule type="containsText" dxfId="12290" priority="2734" operator="containsText" text="기타">
      <formula>NOT(ISERROR(SEARCH(("기타"),(D289))))</formula>
    </cfRule>
    <cfRule type="containsText" dxfId="12289" priority="2732" operator="containsText" text="프로젝트">
      <formula>NOT(ISERROR(SEARCH(("프로젝트"),(D289))))</formula>
    </cfRule>
    <cfRule type="containsText" dxfId="12288" priority="2731" operator="containsText" text="휴강">
      <formula>NOT(ISERROR(SEARCH(("휴강"),(D289))))</formula>
    </cfRule>
  </conditionalFormatting>
  <conditionalFormatting sqref="D293:E293">
    <cfRule type="containsText" dxfId="12287" priority="2730" operator="containsText" text="기타">
      <formula>NOT(ISERROR(SEARCH(("기타"),(D293))))</formula>
    </cfRule>
    <cfRule type="containsText" dxfId="12286" priority="2729" operator="containsText" text="정규교과">
      <formula>NOT(ISERROR(SEARCH(("정규교과"),(D293))))</formula>
    </cfRule>
    <cfRule type="containsText" dxfId="12285" priority="2728" operator="containsText" text="프로젝트">
      <formula>NOT(ISERROR(SEARCH(("프로젝트"),(D293))))</formula>
    </cfRule>
    <cfRule type="containsText" dxfId="12284" priority="2727" operator="containsText" text="휴강">
      <formula>NOT(ISERROR(SEARCH(("휴강"),(D293))))</formula>
    </cfRule>
  </conditionalFormatting>
  <conditionalFormatting sqref="D298:E298">
    <cfRule type="containsText" dxfId="12283" priority="2726" operator="containsText" text="기타">
      <formula>NOT(ISERROR(SEARCH(("기타"),(D298))))</formula>
    </cfRule>
    <cfRule type="containsText" dxfId="12282" priority="2725" operator="containsText" text="정규교과">
      <formula>NOT(ISERROR(SEARCH(("정규교과"),(D298))))</formula>
    </cfRule>
    <cfRule type="containsText" dxfId="12281" priority="2724" operator="containsText" text="프로젝트">
      <formula>NOT(ISERROR(SEARCH(("프로젝트"),(D298))))</formula>
    </cfRule>
    <cfRule type="containsText" dxfId="12280" priority="2723" operator="containsText" text="휴강">
      <formula>NOT(ISERROR(SEARCH(("휴강"),(D298))))</formula>
    </cfRule>
  </conditionalFormatting>
  <conditionalFormatting sqref="D302:E302">
    <cfRule type="containsText" dxfId="12279" priority="2722" operator="containsText" text="기타">
      <formula>NOT(ISERROR(SEARCH(("기타"),(D302))))</formula>
    </cfRule>
    <cfRule type="containsText" dxfId="12278" priority="2721" operator="containsText" text="정규교과">
      <formula>NOT(ISERROR(SEARCH(("정규교과"),(D302))))</formula>
    </cfRule>
    <cfRule type="containsText" dxfId="12277" priority="2720" operator="containsText" text="프로젝트">
      <formula>NOT(ISERROR(SEARCH(("프로젝트"),(D302))))</formula>
    </cfRule>
    <cfRule type="containsText" dxfId="12276" priority="2719" operator="containsText" text="휴강">
      <formula>NOT(ISERROR(SEARCH(("휴강"),(D302))))</formula>
    </cfRule>
  </conditionalFormatting>
  <conditionalFormatting sqref="D306:E306">
    <cfRule type="containsText" dxfId="12275" priority="2715" operator="containsText" text="휴강">
      <formula>NOT(ISERROR(SEARCH(("휴강"),(D306))))</formula>
    </cfRule>
    <cfRule type="containsText" dxfId="12274" priority="2716" operator="containsText" text="프로젝트">
      <formula>NOT(ISERROR(SEARCH(("프로젝트"),(D306))))</formula>
    </cfRule>
    <cfRule type="containsText" dxfId="12273" priority="2718" operator="containsText" text="기타">
      <formula>NOT(ISERROR(SEARCH(("기타"),(D306))))</formula>
    </cfRule>
    <cfRule type="containsText" dxfId="12272" priority="2717" operator="containsText" text="정규교과">
      <formula>NOT(ISERROR(SEARCH(("정규교과"),(D306))))</formula>
    </cfRule>
  </conditionalFormatting>
  <conditionalFormatting sqref="D310:E310">
    <cfRule type="containsText" dxfId="12271" priority="2713" operator="containsText" text="정규교과">
      <formula>NOT(ISERROR(SEARCH(("정규교과"),(D310))))</formula>
    </cfRule>
    <cfRule type="containsText" dxfId="12270" priority="2712" operator="containsText" text="프로젝트">
      <formula>NOT(ISERROR(SEARCH(("프로젝트"),(D310))))</formula>
    </cfRule>
    <cfRule type="containsText" dxfId="12269" priority="2714" operator="containsText" text="기타">
      <formula>NOT(ISERROR(SEARCH(("기타"),(D310))))</formula>
    </cfRule>
    <cfRule type="containsText" dxfId="12268" priority="2711" operator="containsText" text="휴강">
      <formula>NOT(ISERROR(SEARCH(("휴강"),(D310))))</formula>
    </cfRule>
  </conditionalFormatting>
  <conditionalFormatting sqref="D314:E314">
    <cfRule type="containsText" dxfId="12267" priority="2710" operator="containsText" text="기타">
      <formula>NOT(ISERROR(SEARCH(("기타"),(D314))))</formula>
    </cfRule>
    <cfRule type="containsText" dxfId="12266" priority="2709" operator="containsText" text="정규교과">
      <formula>NOT(ISERROR(SEARCH(("정규교과"),(D314))))</formula>
    </cfRule>
    <cfRule type="containsText" dxfId="12265" priority="2707" operator="containsText" text="휴강">
      <formula>NOT(ISERROR(SEARCH(("휴강"),(D314))))</formula>
    </cfRule>
    <cfRule type="containsText" dxfId="12264" priority="2708" operator="containsText" text="프로젝트">
      <formula>NOT(ISERROR(SEARCH(("프로젝트"),(D314))))</formula>
    </cfRule>
  </conditionalFormatting>
  <conditionalFormatting sqref="D320:F320">
    <cfRule type="containsText" dxfId="12263" priority="2671" operator="containsText" text="휴강">
      <formula>NOT(ISERROR(SEARCH(("휴강"),(D320))))</formula>
    </cfRule>
    <cfRule type="containsText" dxfId="12262" priority="2672" operator="containsText" text="프로젝트">
      <formula>NOT(ISERROR(SEARCH(("프로젝트"),(D320))))</formula>
    </cfRule>
    <cfRule type="containsText" dxfId="12261" priority="2673" operator="containsText" text="정규교과">
      <formula>NOT(ISERROR(SEARCH(("정규교과"),(D320))))</formula>
    </cfRule>
    <cfRule type="containsText" dxfId="12260" priority="2674" operator="containsText" text="기타">
      <formula>NOT(ISERROR(SEARCH(("기타"),(D320))))</formula>
    </cfRule>
  </conditionalFormatting>
  <conditionalFormatting sqref="D75:H75">
    <cfRule type="containsText" dxfId="12259" priority="10701" operator="containsText" text="프로젝트">
      <formula>NOT(ISERROR(SEARCH(("프로젝트"),(D75))))</formula>
    </cfRule>
  </conditionalFormatting>
  <conditionalFormatting sqref="D79:H79">
    <cfRule type="containsText" dxfId="12258" priority="10597" operator="containsText" text="프로젝트">
      <formula>NOT(ISERROR(SEARCH(("프로젝트"),(D79))))</formula>
    </cfRule>
  </conditionalFormatting>
  <conditionalFormatting sqref="D83:H83">
    <cfRule type="containsText" dxfId="12257" priority="10493" operator="containsText" text="프로젝트">
      <formula>NOT(ISERROR(SEARCH(("프로젝트"),(D83))))</formula>
    </cfRule>
  </conditionalFormatting>
  <conditionalFormatting sqref="D88:H88">
    <cfRule type="containsText" dxfId="12256" priority="10389" operator="containsText" text="프로젝트">
      <formula>NOT(ISERROR(SEARCH(("프로젝트"),(D88))))</formula>
    </cfRule>
  </conditionalFormatting>
  <conditionalFormatting sqref="D92:H92">
    <cfRule type="containsText" dxfId="12255" priority="10285" operator="containsText" text="프로젝트">
      <formula>NOT(ISERROR(SEARCH(("프로젝트"),(D92))))</formula>
    </cfRule>
  </conditionalFormatting>
  <conditionalFormatting sqref="D96:H96">
    <cfRule type="containsText" dxfId="12254" priority="10181" operator="containsText" text="프로젝트">
      <formula>NOT(ISERROR(SEARCH(("프로젝트"),(D96))))</formula>
    </cfRule>
  </conditionalFormatting>
  <conditionalFormatting sqref="D100:H100">
    <cfRule type="containsText" dxfId="12253" priority="10077" operator="containsText" text="프로젝트">
      <formula>NOT(ISERROR(SEARCH(("프로젝트"),(D100))))</formula>
    </cfRule>
  </conditionalFormatting>
  <conditionalFormatting sqref="D104:H104">
    <cfRule type="containsText" dxfId="12252" priority="9973" operator="containsText" text="프로젝트">
      <formula>NOT(ISERROR(SEARCH(("프로젝트"),(D104))))</formula>
    </cfRule>
  </conditionalFormatting>
  <conditionalFormatting sqref="D359:H359">
    <cfRule type="containsText" dxfId="12251" priority="1250" operator="containsText" text="프로젝트">
      <formula>NOT(ISERROR(SEARCH(("프로젝트"),(D359))))</formula>
    </cfRule>
    <cfRule type="containsText" dxfId="12250" priority="1251" operator="containsText" text="정규교과">
      <formula>NOT(ISERROR(SEARCH(("정규교과"),(D359))))</formula>
    </cfRule>
    <cfRule type="containsText" dxfId="12249" priority="1252" operator="containsText" text="기타">
      <formula>NOT(ISERROR(SEARCH(("기타"),(D359))))</formula>
    </cfRule>
    <cfRule type="containsText" dxfId="12248" priority="1253" operator="containsText" text="프로젝트">
      <formula>NOT(ISERROR(SEARCH(("프로젝트"),(D359))))</formula>
    </cfRule>
    <cfRule type="containsText" dxfId="12247" priority="1260" operator="containsText" text="정규교과">
      <formula>NOT(ISERROR(SEARCH(("정규교과"),(D359))))</formula>
    </cfRule>
    <cfRule type="containsText" dxfId="12246" priority="1254" operator="containsText" text="정규교과">
      <formula>NOT(ISERROR(SEARCH(("정규교과"),(D359))))</formula>
    </cfRule>
    <cfRule type="containsText" dxfId="12245" priority="1256" operator="containsText" text="프로젝트">
      <formula>NOT(ISERROR(SEARCH(("프로젝트"),(D359))))</formula>
    </cfRule>
    <cfRule type="containsText" dxfId="12244" priority="1257" operator="containsText" text="정규교과">
      <formula>NOT(ISERROR(SEARCH(("정규교과"),(D359))))</formula>
    </cfRule>
    <cfRule type="containsText" dxfId="12243" priority="1258" operator="containsText" text="기타">
      <formula>NOT(ISERROR(SEARCH(("기타"),(D359))))</formula>
    </cfRule>
    <cfRule type="containsText" dxfId="12242" priority="1259" operator="containsText" text="프로젝트">
      <formula>NOT(ISERROR(SEARCH(("프로젝트"),(D359))))</formula>
    </cfRule>
    <cfRule type="containsText" dxfId="12241" priority="1255" operator="containsText" text="기타">
      <formula>NOT(ISERROR(SEARCH(("기타"),(D359))))</formula>
    </cfRule>
    <cfRule type="containsText" dxfId="12240" priority="1246" operator="containsText" text="휴강">
      <formula>NOT(ISERROR(SEARCH(("휴강"),(D359))))</formula>
    </cfRule>
    <cfRule type="containsText" dxfId="12239" priority="1247" operator="containsText" text="프로젝트">
      <formula>NOT(ISERROR(SEARCH(("프로젝트"),(D359))))</formula>
    </cfRule>
    <cfRule type="containsText" dxfId="12238" priority="1248" operator="containsText" text="정규교과">
      <formula>NOT(ISERROR(SEARCH(("정규교과"),(D359))))</formula>
    </cfRule>
    <cfRule type="containsText" dxfId="12237" priority="1249" operator="containsText" text="기타">
      <formula>NOT(ISERROR(SEARCH(("기타"),(D359))))</formula>
    </cfRule>
    <cfRule type="containsText" dxfId="12236" priority="1261" operator="containsText" text="기타">
      <formula>NOT(ISERROR(SEARCH(("기타"),(D359))))</formula>
    </cfRule>
  </conditionalFormatting>
  <conditionalFormatting sqref="D363:H363">
    <cfRule type="containsText" dxfId="12235" priority="1121" operator="containsText" text="정규교과">
      <formula>NOT(ISERROR(SEARCH(("정규교과"),(D363))))</formula>
    </cfRule>
    <cfRule type="containsText" dxfId="12234" priority="1122" operator="containsText" text="기타">
      <formula>NOT(ISERROR(SEARCH(("기타"),(D363))))</formula>
    </cfRule>
    <cfRule type="containsText" dxfId="12233" priority="1123" operator="containsText" text="프로젝트">
      <formula>NOT(ISERROR(SEARCH(("프로젝트"),(D363))))</formula>
    </cfRule>
    <cfRule type="containsText" dxfId="12232" priority="1124" operator="containsText" text="정규교과">
      <formula>NOT(ISERROR(SEARCH(("정규교과"),(D363))))</formula>
    </cfRule>
    <cfRule type="containsText" dxfId="12231" priority="1126" operator="containsText" text="프로젝트">
      <formula>NOT(ISERROR(SEARCH(("프로젝트"),(D363))))</formula>
    </cfRule>
    <cfRule type="containsText" dxfId="12230" priority="1127" operator="containsText" text="정규교과">
      <formula>NOT(ISERROR(SEARCH(("정규교과"),(D363))))</formula>
    </cfRule>
    <cfRule type="containsText" dxfId="12229" priority="1128" operator="containsText" text="기타">
      <formula>NOT(ISERROR(SEARCH(("기타"),(D363))))</formula>
    </cfRule>
    <cfRule type="containsText" dxfId="12228" priority="1129" operator="containsText" text="프로젝트">
      <formula>NOT(ISERROR(SEARCH(("프로젝트"),(D363))))</formula>
    </cfRule>
    <cfRule type="containsText" dxfId="12227" priority="1116" operator="containsText" text="휴강">
      <formula>NOT(ISERROR(SEARCH(("휴강"),(D363))))</formula>
    </cfRule>
    <cfRule type="containsText" dxfId="12226" priority="1117" operator="containsText" text="프로젝트">
      <formula>NOT(ISERROR(SEARCH(("프로젝트"),(D363))))</formula>
    </cfRule>
    <cfRule type="containsText" dxfId="12225" priority="1125" operator="containsText" text="기타">
      <formula>NOT(ISERROR(SEARCH(("기타"),(D363))))</formula>
    </cfRule>
    <cfRule type="containsText" dxfId="12224" priority="1120" operator="containsText" text="프로젝트">
      <formula>NOT(ISERROR(SEARCH(("프로젝트"),(D363))))</formula>
    </cfRule>
    <cfRule type="containsText" dxfId="12223" priority="1130" operator="containsText" text="정규교과">
      <formula>NOT(ISERROR(SEARCH(("정규교과"),(D363))))</formula>
    </cfRule>
    <cfRule type="containsText" dxfId="12222" priority="1131" operator="containsText" text="기타">
      <formula>NOT(ISERROR(SEARCH(("기타"),(D363))))</formula>
    </cfRule>
    <cfRule type="containsText" dxfId="12221" priority="1118" operator="containsText" text="정규교과">
      <formula>NOT(ISERROR(SEARCH(("정규교과"),(D363))))</formula>
    </cfRule>
    <cfRule type="containsText" dxfId="12220" priority="1119" operator="containsText" text="기타">
      <formula>NOT(ISERROR(SEARCH(("기타"),(D363))))</formula>
    </cfRule>
  </conditionalFormatting>
  <conditionalFormatting sqref="D368:H368">
    <cfRule type="containsText" dxfId="12219" priority="991" operator="containsText" text="정규교과">
      <formula>NOT(ISERROR(SEARCH(("정규교과"),(D368))))</formula>
    </cfRule>
    <cfRule type="containsText" dxfId="12218" priority="992" operator="containsText" text="기타">
      <formula>NOT(ISERROR(SEARCH(("기타"),(D368))))</formula>
    </cfRule>
    <cfRule type="containsText" dxfId="12217" priority="993" operator="containsText" text="프로젝트">
      <formula>NOT(ISERROR(SEARCH(("프로젝트"),(D368))))</formula>
    </cfRule>
    <cfRule type="containsText" dxfId="12216" priority="994" operator="containsText" text="정규교과">
      <formula>NOT(ISERROR(SEARCH(("정규교과"),(D368))))</formula>
    </cfRule>
    <cfRule type="containsText" dxfId="12215" priority="995" operator="containsText" text="기타">
      <formula>NOT(ISERROR(SEARCH(("기타"),(D368))))</formula>
    </cfRule>
    <cfRule type="containsText" dxfId="12214" priority="996" operator="containsText" text="프로젝트">
      <formula>NOT(ISERROR(SEARCH(("프로젝트"),(D368))))</formula>
    </cfRule>
    <cfRule type="containsText" dxfId="12213" priority="997" operator="containsText" text="정규교과">
      <formula>NOT(ISERROR(SEARCH(("정규교과"),(D368))))</formula>
    </cfRule>
    <cfRule type="containsText" dxfId="12212" priority="998" operator="containsText" text="기타">
      <formula>NOT(ISERROR(SEARCH(("기타"),(D368))))</formula>
    </cfRule>
    <cfRule type="containsText" dxfId="12211" priority="986" operator="containsText" text="휴강">
      <formula>NOT(ISERROR(SEARCH(("휴강"),(D368))))</formula>
    </cfRule>
    <cfRule type="containsText" dxfId="12210" priority="987" operator="containsText" text="프로젝트">
      <formula>NOT(ISERROR(SEARCH(("프로젝트"),(D368))))</formula>
    </cfRule>
    <cfRule type="containsText" dxfId="12209" priority="989" operator="containsText" text="기타">
      <formula>NOT(ISERROR(SEARCH(("기타"),(D368))))</formula>
    </cfRule>
    <cfRule type="containsText" dxfId="12208" priority="1001" operator="containsText" text="기타">
      <formula>NOT(ISERROR(SEARCH(("기타"),(D368))))</formula>
    </cfRule>
    <cfRule type="containsText" dxfId="12207" priority="1000" operator="containsText" text="정규교과">
      <formula>NOT(ISERROR(SEARCH(("정규교과"),(D368))))</formula>
    </cfRule>
    <cfRule type="containsText" dxfId="12206" priority="999" operator="containsText" text="프로젝트">
      <formula>NOT(ISERROR(SEARCH(("프로젝트"),(D368))))</formula>
    </cfRule>
    <cfRule type="containsText" dxfId="12205" priority="988" operator="containsText" text="정규교과">
      <formula>NOT(ISERROR(SEARCH(("정규교과"),(D368))))</formula>
    </cfRule>
    <cfRule type="containsText" dxfId="12204" priority="990" operator="containsText" text="프로젝트">
      <formula>NOT(ISERROR(SEARCH(("프로젝트"),(D368))))</formula>
    </cfRule>
  </conditionalFormatting>
  <conditionalFormatting sqref="D372:H372">
    <cfRule type="containsText" dxfId="12203" priority="863" operator="containsText" text="프로젝트">
      <formula>NOT(ISERROR(SEARCH(("프로젝트"),(D372))))</formula>
    </cfRule>
    <cfRule type="containsText" dxfId="12202" priority="869" operator="containsText" text="프로젝트">
      <formula>NOT(ISERROR(SEARCH(("프로젝트"),(D372))))</formula>
    </cfRule>
    <cfRule type="containsText" dxfId="12201" priority="864" operator="containsText" text="정규교과">
      <formula>NOT(ISERROR(SEARCH(("정규교과"),(D372))))</formula>
    </cfRule>
    <cfRule type="containsText" dxfId="12200" priority="865" operator="containsText" text="기타">
      <formula>NOT(ISERROR(SEARCH(("기타"),(D372))))</formula>
    </cfRule>
    <cfRule type="containsText" dxfId="12199" priority="856" operator="containsText" text="휴강">
      <formula>NOT(ISERROR(SEARCH(("휴강"),(D372))))</formula>
    </cfRule>
    <cfRule type="containsText" dxfId="12198" priority="867" operator="containsText" text="정규교과">
      <formula>NOT(ISERROR(SEARCH(("정규교과"),(D372))))</formula>
    </cfRule>
    <cfRule type="containsText" dxfId="12197" priority="868" operator="containsText" text="기타">
      <formula>NOT(ISERROR(SEARCH(("기타"),(D372))))</formula>
    </cfRule>
    <cfRule type="containsText" dxfId="12196" priority="862" operator="containsText" text="기타">
      <formula>NOT(ISERROR(SEARCH(("기타"),(D372))))</formula>
    </cfRule>
    <cfRule type="containsText" dxfId="12195" priority="870" operator="containsText" text="정규교과">
      <formula>NOT(ISERROR(SEARCH(("정규교과"),(D372))))</formula>
    </cfRule>
    <cfRule type="containsText" dxfId="12194" priority="861" operator="containsText" text="정규교과">
      <formula>NOT(ISERROR(SEARCH(("정규교과"),(D372))))</formula>
    </cfRule>
    <cfRule type="containsText" dxfId="12193" priority="858" operator="containsText" text="정규교과">
      <formula>NOT(ISERROR(SEARCH(("정규교과"),(D372))))</formula>
    </cfRule>
    <cfRule type="containsText" dxfId="12192" priority="866" operator="containsText" text="프로젝트">
      <formula>NOT(ISERROR(SEARCH(("프로젝트"),(D372))))</formula>
    </cfRule>
    <cfRule type="containsText" dxfId="12191" priority="860" operator="containsText" text="프로젝트">
      <formula>NOT(ISERROR(SEARCH(("프로젝트"),(D372))))</formula>
    </cfRule>
    <cfRule type="containsText" dxfId="12190" priority="857" operator="containsText" text="프로젝트">
      <formula>NOT(ISERROR(SEARCH(("프로젝트"),(D372))))</formula>
    </cfRule>
    <cfRule type="containsText" dxfId="12189" priority="871" operator="containsText" text="기타">
      <formula>NOT(ISERROR(SEARCH(("기타"),(D372))))</formula>
    </cfRule>
    <cfRule type="containsText" dxfId="12188" priority="859" operator="containsText" text="기타">
      <formula>NOT(ISERROR(SEARCH(("기타"),(D372))))</formula>
    </cfRule>
  </conditionalFormatting>
  <conditionalFormatting sqref="D376:H376">
    <cfRule type="containsText" dxfId="12187" priority="731" operator="containsText" text="정규교과">
      <formula>NOT(ISERROR(SEARCH(("정규교과"),(D376))))</formula>
    </cfRule>
    <cfRule type="containsText" dxfId="12186" priority="730" operator="containsText" text="프로젝트">
      <formula>NOT(ISERROR(SEARCH(("프로젝트"),(D376))))</formula>
    </cfRule>
    <cfRule type="containsText" dxfId="12185" priority="726" operator="containsText" text="휴강">
      <formula>NOT(ISERROR(SEARCH(("휴강"),(D376))))</formula>
    </cfRule>
    <cfRule type="containsText" dxfId="12184" priority="727" operator="containsText" text="프로젝트">
      <formula>NOT(ISERROR(SEARCH(("프로젝트"),(D376))))</formula>
    </cfRule>
    <cfRule type="containsText" dxfId="12183" priority="728" operator="containsText" text="정규교과">
      <formula>NOT(ISERROR(SEARCH(("정규교과"),(D376))))</formula>
    </cfRule>
    <cfRule type="containsText" dxfId="12182" priority="729" operator="containsText" text="기타">
      <formula>NOT(ISERROR(SEARCH(("기타"),(D376))))</formula>
    </cfRule>
    <cfRule type="containsText" dxfId="12181" priority="738" operator="containsText" text="기타">
      <formula>NOT(ISERROR(SEARCH(("기타"),(D376))))</formula>
    </cfRule>
    <cfRule type="containsText" dxfId="12180" priority="739" operator="containsText" text="프로젝트">
      <formula>NOT(ISERROR(SEARCH(("프로젝트"),(D376))))</formula>
    </cfRule>
    <cfRule type="containsText" dxfId="12179" priority="740" operator="containsText" text="정규교과">
      <formula>NOT(ISERROR(SEARCH(("정규교과"),(D376))))</formula>
    </cfRule>
    <cfRule type="containsText" dxfId="12178" priority="741" operator="containsText" text="기타">
      <formula>NOT(ISERROR(SEARCH(("기타"),(D376))))</formula>
    </cfRule>
    <cfRule type="containsText" dxfId="12177" priority="736" operator="containsText" text="프로젝트">
      <formula>NOT(ISERROR(SEARCH(("프로젝트"),(D376))))</formula>
    </cfRule>
    <cfRule type="containsText" dxfId="12176" priority="735" operator="containsText" text="기타">
      <formula>NOT(ISERROR(SEARCH(("기타"),(D376))))</formula>
    </cfRule>
    <cfRule type="containsText" dxfId="12175" priority="737" operator="containsText" text="정규교과">
      <formula>NOT(ISERROR(SEARCH(("정규교과"),(D376))))</formula>
    </cfRule>
    <cfRule type="containsText" dxfId="12174" priority="732" operator="containsText" text="기타">
      <formula>NOT(ISERROR(SEARCH(("기타"),(D376))))</formula>
    </cfRule>
    <cfRule type="containsText" dxfId="12173" priority="733" operator="containsText" text="프로젝트">
      <formula>NOT(ISERROR(SEARCH(("프로젝트"),(D376))))</formula>
    </cfRule>
    <cfRule type="containsText" dxfId="12172" priority="734" operator="containsText" text="정규교과">
      <formula>NOT(ISERROR(SEARCH(("정규교과"),(D376))))</formula>
    </cfRule>
  </conditionalFormatting>
  <conditionalFormatting sqref="D380:H380">
    <cfRule type="containsText" dxfId="12171" priority="598" operator="containsText" text="정규교과">
      <formula>NOT(ISERROR(SEARCH(("정규교과"),(D380))))</formula>
    </cfRule>
    <cfRule type="containsText" dxfId="12170" priority="596" operator="containsText" text="휴강">
      <formula>NOT(ISERROR(SEARCH(("휴강"),(D380))))</formula>
    </cfRule>
    <cfRule type="containsText" dxfId="12169" priority="599" operator="containsText" text="기타">
      <formula>NOT(ISERROR(SEARCH(("기타"),(D380))))</formula>
    </cfRule>
    <cfRule type="containsText" dxfId="12168" priority="600" operator="containsText" text="프로젝트">
      <formula>NOT(ISERROR(SEARCH(("프로젝트"),(D380))))</formula>
    </cfRule>
    <cfRule type="containsText" dxfId="12167" priority="603" operator="containsText" text="프로젝트">
      <formula>NOT(ISERROR(SEARCH(("프로젝트"),(D380))))</formula>
    </cfRule>
    <cfRule type="containsText" dxfId="12166" priority="601" operator="containsText" text="정규교과">
      <formula>NOT(ISERROR(SEARCH(("정규교과"),(D380))))</formula>
    </cfRule>
    <cfRule type="containsText" dxfId="12165" priority="608" operator="containsText" text="기타">
      <formula>NOT(ISERROR(SEARCH(("기타"),(D380))))</formula>
    </cfRule>
    <cfRule type="containsText" dxfId="12164" priority="607" operator="containsText" text="정규교과">
      <formula>NOT(ISERROR(SEARCH(("정규교과"),(D380))))</formula>
    </cfRule>
    <cfRule type="containsText" dxfId="12163" priority="606" operator="containsText" text="프로젝트">
      <formula>NOT(ISERROR(SEARCH(("프로젝트"),(D380))))</formula>
    </cfRule>
    <cfRule type="containsText" dxfId="12162" priority="602" operator="containsText" text="기타">
      <formula>NOT(ISERROR(SEARCH(("기타"),(D380))))</formula>
    </cfRule>
    <cfRule type="containsText" dxfId="12161" priority="604" operator="containsText" text="정규교과">
      <formula>NOT(ISERROR(SEARCH(("정규교과"),(D380))))</formula>
    </cfRule>
    <cfRule type="containsText" dxfId="12160" priority="611" operator="containsText" text="기타">
      <formula>NOT(ISERROR(SEARCH(("기타"),(D380))))</formula>
    </cfRule>
    <cfRule type="containsText" dxfId="12159" priority="610" operator="containsText" text="정규교과">
      <formula>NOT(ISERROR(SEARCH(("정규교과"),(D380))))</formula>
    </cfRule>
    <cfRule type="containsText" dxfId="12158" priority="609" operator="containsText" text="프로젝트">
      <formula>NOT(ISERROR(SEARCH(("프로젝트"),(D380))))</formula>
    </cfRule>
    <cfRule type="containsText" dxfId="12157" priority="597" operator="containsText" text="프로젝트">
      <formula>NOT(ISERROR(SEARCH(("프로젝트"),(D380))))</formula>
    </cfRule>
    <cfRule type="containsText" dxfId="12156" priority="605" operator="containsText" text="기타">
      <formula>NOT(ISERROR(SEARCH(("기타"),(D380))))</formula>
    </cfRule>
  </conditionalFormatting>
  <conditionalFormatting sqref="D384:H384">
    <cfRule type="containsText" dxfId="12155" priority="470" operator="containsText" text="프로젝트">
      <formula>NOT(ISERROR(SEARCH(("프로젝트"),(D384))))</formula>
    </cfRule>
    <cfRule type="containsText" dxfId="12154" priority="469" operator="containsText" text="기타">
      <formula>NOT(ISERROR(SEARCH(("기타"),(D384))))</formula>
    </cfRule>
    <cfRule type="containsText" dxfId="12153" priority="468" operator="containsText" text="정규교과">
      <formula>NOT(ISERROR(SEARCH(("정규교과"),(D384))))</formula>
    </cfRule>
    <cfRule type="containsText" dxfId="12152" priority="467" operator="containsText" text="프로젝트">
      <formula>NOT(ISERROR(SEARCH(("프로젝트"),(D384))))</formula>
    </cfRule>
    <cfRule type="containsText" dxfId="12151" priority="466" operator="containsText" text="휴강">
      <formula>NOT(ISERROR(SEARCH(("휴강"),(D384))))</formula>
    </cfRule>
    <cfRule type="containsText" dxfId="12150" priority="481" operator="containsText" text="기타">
      <formula>NOT(ISERROR(SEARCH(("기타"),(D384))))</formula>
    </cfRule>
    <cfRule type="containsText" dxfId="12149" priority="480" operator="containsText" text="정규교과">
      <formula>NOT(ISERROR(SEARCH(("정규교과"),(D384))))</formula>
    </cfRule>
    <cfRule type="containsText" dxfId="12148" priority="479" operator="containsText" text="프로젝트">
      <formula>NOT(ISERROR(SEARCH(("프로젝트"),(D384))))</formula>
    </cfRule>
    <cfRule type="containsText" dxfId="12147" priority="478" operator="containsText" text="기타">
      <formula>NOT(ISERROR(SEARCH(("기타"),(D384))))</formula>
    </cfRule>
    <cfRule type="containsText" dxfId="12146" priority="477" operator="containsText" text="정규교과">
      <formula>NOT(ISERROR(SEARCH(("정규교과"),(D384))))</formula>
    </cfRule>
    <cfRule type="containsText" dxfId="12145" priority="476" operator="containsText" text="프로젝트">
      <formula>NOT(ISERROR(SEARCH(("프로젝트"),(D384))))</formula>
    </cfRule>
    <cfRule type="containsText" dxfId="12144" priority="475" operator="containsText" text="기타">
      <formula>NOT(ISERROR(SEARCH(("기타"),(D384))))</formula>
    </cfRule>
    <cfRule type="containsText" dxfId="12143" priority="474" operator="containsText" text="정규교과">
      <formula>NOT(ISERROR(SEARCH(("정규교과"),(D384))))</formula>
    </cfRule>
    <cfRule type="containsText" dxfId="12142" priority="473" operator="containsText" text="프로젝트">
      <formula>NOT(ISERROR(SEARCH(("프로젝트"),(D384))))</formula>
    </cfRule>
    <cfRule type="containsText" dxfId="12141" priority="472" operator="containsText" text="기타">
      <formula>NOT(ISERROR(SEARCH(("기타"),(D384))))</formula>
    </cfRule>
    <cfRule type="containsText" dxfId="12140" priority="471" operator="containsText" text="정규교과">
      <formula>NOT(ISERROR(SEARCH(("정규교과"),(D384))))</formula>
    </cfRule>
  </conditionalFormatting>
  <conditionalFormatting sqref="D44:I44">
    <cfRule type="containsText" dxfId="12139" priority="20329" operator="containsText" text="프로젝트">
      <formula>NOT(ISERROR(SEARCH(("프로젝트"),(D44))))</formula>
    </cfRule>
    <cfRule type="containsText" dxfId="12138" priority="20331" operator="containsText" text="기타">
      <formula>NOT(ISERROR(SEARCH(("기타"),(D44))))</formula>
    </cfRule>
    <cfRule type="containsText" dxfId="12137" priority="20330" operator="containsText" text="정규교과">
      <formula>NOT(ISERROR(SEARCH(("정규교과"),(D44))))</formula>
    </cfRule>
  </conditionalFormatting>
  <conditionalFormatting sqref="D52:I53">
    <cfRule type="containsText" dxfId="12136" priority="16184" operator="containsText" text="기타">
      <formula>NOT(ISERROR(SEARCH(("기타"),(D52))))</formula>
    </cfRule>
    <cfRule type="containsText" dxfId="12135" priority="16183" operator="containsText" text="정규교과">
      <formula>NOT(ISERROR(SEARCH(("정규교과"),(D52))))</formula>
    </cfRule>
    <cfRule type="containsText" dxfId="12134" priority="16182" operator="containsText" text="프로젝트">
      <formula>NOT(ISERROR(SEARCH(("프로젝트"),(D52))))</formula>
    </cfRule>
  </conditionalFormatting>
  <conditionalFormatting sqref="D355:I355">
    <cfRule type="containsText" dxfId="12133" priority="1376" operator="containsText" text="휴강">
      <formula>NOT(ISERROR(SEARCH(("휴강"),(D355))))</formula>
    </cfRule>
    <cfRule type="containsText" dxfId="12132" priority="1378" operator="containsText" text="정규교과">
      <formula>NOT(ISERROR(SEARCH(("정규교과"),(D355))))</formula>
    </cfRule>
    <cfRule type="containsText" dxfId="12131" priority="1379" operator="containsText" text="기타">
      <formula>NOT(ISERROR(SEARCH(("기타"),(D355))))</formula>
    </cfRule>
    <cfRule type="containsText" dxfId="12130" priority="1389" operator="containsText" text="프로젝트">
      <formula>NOT(ISERROR(SEARCH(("프로젝트"),(D355))))</formula>
    </cfRule>
    <cfRule type="containsText" dxfId="12129" priority="1388" operator="containsText" text="기타">
      <formula>NOT(ISERROR(SEARCH(("기타"),(D355))))</formula>
    </cfRule>
    <cfRule type="containsText" dxfId="12128" priority="1377" operator="containsText" text="프로젝트">
      <formula>NOT(ISERROR(SEARCH(("프로젝트"),(D355))))</formula>
    </cfRule>
    <cfRule type="containsText" dxfId="12127" priority="1380" operator="containsText" text="프로젝트">
      <formula>NOT(ISERROR(SEARCH(("프로젝트"),(D355))))</formula>
    </cfRule>
    <cfRule type="containsText" dxfId="12126" priority="1381" operator="containsText" text="정규교과">
      <formula>NOT(ISERROR(SEARCH(("정규교과"),(D355))))</formula>
    </cfRule>
    <cfRule type="containsText" dxfId="12125" priority="1382" operator="containsText" text="기타">
      <formula>NOT(ISERROR(SEARCH(("기타"),(D355))))</formula>
    </cfRule>
    <cfRule type="containsText" dxfId="12124" priority="1383" operator="containsText" text="프로젝트">
      <formula>NOT(ISERROR(SEARCH(("프로젝트"),(D355))))</formula>
    </cfRule>
    <cfRule type="containsText" dxfId="12123" priority="1384" operator="containsText" text="정규교과">
      <formula>NOT(ISERROR(SEARCH(("정규교과"),(D355))))</formula>
    </cfRule>
    <cfRule type="containsText" dxfId="12122" priority="1385" operator="containsText" text="기타">
      <formula>NOT(ISERROR(SEARCH(("기타"),(D355))))</formula>
    </cfRule>
    <cfRule type="containsText" dxfId="12121" priority="1386" operator="containsText" text="프로젝트">
      <formula>NOT(ISERROR(SEARCH(("프로젝트"),(D355))))</formula>
    </cfRule>
    <cfRule type="containsText" dxfId="12120" priority="1387" operator="containsText" text="정규교과">
      <formula>NOT(ISERROR(SEARCH(("정규교과"),(D355))))</formula>
    </cfRule>
    <cfRule type="containsText" dxfId="12119" priority="1391" operator="containsText" text="기타">
      <formula>NOT(ISERROR(SEARCH(("기타"),(D355))))</formula>
    </cfRule>
    <cfRule type="containsText" dxfId="12118" priority="1390" operator="containsText" text="정규교과">
      <formula>NOT(ISERROR(SEARCH(("정규교과"),(D355))))</formula>
    </cfRule>
  </conditionalFormatting>
  <conditionalFormatting sqref="J355:K355 J368:K368 D381:K383 D385:K387 J359:K359 J363:K363 J372:K372 J376:K376 J380:K380 J384:K384 D356:K358 D360:K362 D364:K367 D369:K371 D373:K375 D377:K379">
    <cfRule type="containsText" dxfId="12117" priority="14317" operator="containsText" text="휴강">
      <formula>NOT(ISERROR(SEARCH(("휴강"),(D355))))</formula>
    </cfRule>
    <cfRule type="containsText" dxfId="12116" priority="14319" operator="containsText" text="정규교과">
      <formula>NOT(ISERROR(SEARCH(("정규교과"),(D355))))</formula>
    </cfRule>
    <cfRule type="containsText" dxfId="12115" priority="14320" operator="containsText" text="기타">
      <formula>NOT(ISERROR(SEARCH(("기타"),(D355))))</formula>
    </cfRule>
  </conditionalFormatting>
  <conditionalFormatting sqref="D367:K367 J368:K368">
    <cfRule type="containsText" dxfId="12114" priority="14330" operator="containsText" text="프로젝트">
      <formula>NOT(ISERROR(SEARCH(("프로젝트"),(D367))))</formula>
    </cfRule>
    <cfRule type="containsText" dxfId="12113" priority="14331" operator="containsText" text="정규교과">
      <formula>NOT(ISERROR(SEARCH(("정규교과"),(D367))))</formula>
    </cfRule>
    <cfRule type="containsText" dxfId="12112" priority="14332" operator="containsText" text="기타">
      <formula>NOT(ISERROR(SEARCH(("기타"),(D367))))</formula>
    </cfRule>
  </conditionalFormatting>
  <conditionalFormatting sqref="D5:M37 D40:M72">
    <cfRule type="containsText" dxfId="12111" priority="20644" operator="containsText" text="기타">
      <formula>NOT(ISERROR(SEARCH(("기타"),(D5))))</formula>
    </cfRule>
    <cfRule type="containsText" dxfId="12110" priority="20641" operator="containsText" text="휴강">
      <formula>NOT(ISERROR(SEARCH(("휴강"),(D5))))</formula>
    </cfRule>
    <cfRule type="containsText" dxfId="12109" priority="20642" operator="containsText" text="프로젝트">
      <formula>NOT(ISERROR(SEARCH(("프로젝트"),(D5))))</formula>
    </cfRule>
    <cfRule type="containsText" dxfId="12108" priority="20643" operator="containsText" text="정규교과">
      <formula>NOT(ISERROR(SEARCH(("정규교과"),(D5))))</formula>
    </cfRule>
  </conditionalFormatting>
  <conditionalFormatting sqref="D9:M9">
    <cfRule type="containsText" dxfId="12107" priority="20646" operator="containsText" text="정규교과">
      <formula>NOT(ISERROR(SEARCH(("정규교과"),(D9))))</formula>
    </cfRule>
    <cfRule type="containsText" dxfId="12106" priority="20645" operator="containsText" text="프로젝트">
      <formula>NOT(ISERROR(SEARCH(("프로젝트"),(D9))))</formula>
    </cfRule>
    <cfRule type="containsText" dxfId="12105" priority="20647" operator="containsText" text="기타">
      <formula>NOT(ISERROR(SEARCH(("기타"),(D9))))</formula>
    </cfRule>
  </conditionalFormatting>
  <conditionalFormatting sqref="D13:M13">
    <cfRule type="containsText" dxfId="12104" priority="20652" operator="containsText" text="정규교과">
      <formula>NOT(ISERROR(SEARCH(("정규교과"),(D13))))</formula>
    </cfRule>
    <cfRule type="containsText" dxfId="12103" priority="20653" operator="containsText" text="기타">
      <formula>NOT(ISERROR(SEARCH(("기타"),(D13))))</formula>
    </cfRule>
    <cfRule type="containsText" dxfId="12102" priority="20651" operator="containsText" text="프로젝트">
      <formula>NOT(ISERROR(SEARCH(("프로젝트"),(D13))))</formula>
    </cfRule>
    <cfRule type="containsText" dxfId="12101" priority="20650" operator="containsText" text="기타">
      <formula>NOT(ISERROR(SEARCH(("기타"),(D13))))</formula>
    </cfRule>
    <cfRule type="containsText" dxfId="12100" priority="20649" operator="containsText" text="정규교과">
      <formula>NOT(ISERROR(SEARCH(("정규교과"),(D13))))</formula>
    </cfRule>
    <cfRule type="containsText" dxfId="12099" priority="20648" operator="containsText" text="프로젝트">
      <formula>NOT(ISERROR(SEARCH(("프로젝트"),(D13))))</formula>
    </cfRule>
  </conditionalFormatting>
  <conditionalFormatting sqref="D17:M18">
    <cfRule type="containsText" dxfId="12098" priority="20656" operator="containsText" text="기타">
      <formula>NOT(ISERROR(SEARCH(("기타"),(D17))))</formula>
    </cfRule>
    <cfRule type="containsText" dxfId="12097" priority="20655" operator="containsText" text="정규교과">
      <formula>NOT(ISERROR(SEARCH(("정규교과"),(D17))))</formula>
    </cfRule>
    <cfRule type="containsText" dxfId="12096" priority="20654" operator="containsText" text="프로젝트">
      <formula>NOT(ISERROR(SEARCH(("프로젝트"),(D17))))</formula>
    </cfRule>
  </conditionalFormatting>
  <conditionalFormatting sqref="D18:M18">
    <cfRule type="containsText" dxfId="12095" priority="20662" operator="containsText" text="기타">
      <formula>NOT(ISERROR(SEARCH(("기타"),(D18))))</formula>
    </cfRule>
    <cfRule type="containsText" dxfId="12094" priority="20658" operator="containsText" text="정규교과">
      <formula>NOT(ISERROR(SEARCH(("정규교과"),(D18))))</formula>
    </cfRule>
    <cfRule type="containsText" dxfId="12093" priority="20661" operator="containsText" text="정규교과">
      <formula>NOT(ISERROR(SEARCH(("정규교과"),(D18))))</formula>
    </cfRule>
    <cfRule type="containsText" dxfId="12092" priority="20659" operator="containsText" text="기타">
      <formula>NOT(ISERROR(SEARCH(("기타"),(D18))))</formula>
    </cfRule>
    <cfRule type="containsText" dxfId="12091" priority="20660" operator="containsText" text="프로젝트">
      <formula>NOT(ISERROR(SEARCH(("프로젝트"),(D18))))</formula>
    </cfRule>
    <cfRule type="containsText" dxfId="12090" priority="20657" operator="containsText" text="프로젝트">
      <formula>NOT(ISERROR(SEARCH(("프로젝트"),(D18))))</formula>
    </cfRule>
  </conditionalFormatting>
  <conditionalFormatting sqref="D22:M22">
    <cfRule type="containsText" dxfId="12089" priority="20668" operator="containsText" text="기타">
      <formula>NOT(ISERROR(SEARCH(("기타"),(D22))))</formula>
    </cfRule>
    <cfRule type="containsText" dxfId="12088" priority="20663" operator="containsText" text="프로젝트">
      <formula>NOT(ISERROR(SEARCH(("프로젝트"),(D22))))</formula>
    </cfRule>
    <cfRule type="containsText" dxfId="12087" priority="20667" operator="containsText" text="정규교과">
      <formula>NOT(ISERROR(SEARCH(("정규교과"),(D22))))</formula>
    </cfRule>
    <cfRule type="containsText" dxfId="12086" priority="20666" operator="containsText" text="프로젝트">
      <formula>NOT(ISERROR(SEARCH(("프로젝트"),(D22))))</formula>
    </cfRule>
    <cfRule type="containsText" dxfId="12085" priority="20665" operator="containsText" text="기타">
      <formula>NOT(ISERROR(SEARCH(("기타"),(D22))))</formula>
    </cfRule>
    <cfRule type="containsText" dxfId="12084" priority="20664" operator="containsText" text="정규교과">
      <formula>NOT(ISERROR(SEARCH(("정규교과"),(D22))))</formula>
    </cfRule>
    <cfRule type="containsText" dxfId="12083" priority="20669" operator="containsText" text="프로젝트">
      <formula>NOT(ISERROR(SEARCH(("프로젝트"),(D22))))</formula>
    </cfRule>
    <cfRule type="containsText" dxfId="12082" priority="20670" operator="containsText" text="정규교과">
      <formula>NOT(ISERROR(SEARCH(("정규교과"),(D22))))</formula>
    </cfRule>
    <cfRule type="containsText" dxfId="12081" priority="20671" operator="containsText" text="기타">
      <formula>NOT(ISERROR(SEARCH(("기타"),(D22))))</formula>
    </cfRule>
    <cfRule type="containsText" dxfId="12080" priority="20672" operator="containsText" text="프로젝트">
      <formula>NOT(ISERROR(SEARCH(("프로젝트"),(D22))))</formula>
    </cfRule>
    <cfRule type="containsText" dxfId="12079" priority="20673" operator="containsText" text="정규교과">
      <formula>NOT(ISERROR(SEARCH(("정규교과"),(D22))))</formula>
    </cfRule>
    <cfRule type="containsText" dxfId="12078" priority="20674" operator="containsText" text="기타">
      <formula>NOT(ISERROR(SEARCH(("기타"),(D22))))</formula>
    </cfRule>
  </conditionalFormatting>
  <conditionalFormatting sqref="D26:M26">
    <cfRule type="containsText" dxfId="12077" priority="20680" operator="containsText" text="기타">
      <formula>NOT(ISERROR(SEARCH(("기타"),(D26))))</formula>
    </cfRule>
    <cfRule type="containsText" dxfId="12076" priority="20677" operator="containsText" text="기타">
      <formula>NOT(ISERROR(SEARCH(("기타"),(D26))))</formula>
    </cfRule>
    <cfRule type="containsText" dxfId="12075" priority="20675" operator="containsText" text="프로젝트">
      <formula>NOT(ISERROR(SEARCH(("프로젝트"),(D26))))</formula>
    </cfRule>
    <cfRule type="containsText" dxfId="12074" priority="20676" operator="containsText" text="정규교과">
      <formula>NOT(ISERROR(SEARCH(("정규교과"),(D26))))</formula>
    </cfRule>
    <cfRule type="containsText" dxfId="12073" priority="20679" operator="containsText" text="정규교과">
      <formula>NOT(ISERROR(SEARCH(("정규교과"),(D26))))</formula>
    </cfRule>
    <cfRule type="containsText" dxfId="12072" priority="20684" operator="containsText" text="프로젝트">
      <formula>NOT(ISERROR(SEARCH(("프로젝트"),(D26))))</formula>
    </cfRule>
    <cfRule type="containsText" dxfId="12071" priority="20686" operator="containsText" text="기타">
      <formula>NOT(ISERROR(SEARCH(("기타"),(D26))))</formula>
    </cfRule>
    <cfRule type="containsText" dxfId="12070" priority="20685" operator="containsText" text="정규교과">
      <formula>NOT(ISERROR(SEARCH(("정규교과"),(D26))))</formula>
    </cfRule>
    <cfRule type="containsText" dxfId="12069" priority="20683" operator="containsText" text="기타">
      <formula>NOT(ISERROR(SEARCH(("기타"),(D26))))</formula>
    </cfRule>
    <cfRule type="containsText" dxfId="12068" priority="20678" operator="containsText" text="프로젝트">
      <formula>NOT(ISERROR(SEARCH(("프로젝트"),(D26))))</formula>
    </cfRule>
    <cfRule type="containsText" dxfId="12067" priority="20682" operator="containsText" text="정규교과">
      <formula>NOT(ISERROR(SEARCH(("정규교과"),(D26))))</formula>
    </cfRule>
    <cfRule type="containsText" dxfId="12066" priority="20681" operator="containsText" text="프로젝트">
      <formula>NOT(ISERROR(SEARCH(("프로젝트"),(D26))))</formula>
    </cfRule>
  </conditionalFormatting>
  <conditionalFormatting sqref="D30:M30">
    <cfRule type="containsText" dxfId="12065" priority="20688" operator="containsText" text="정규교과">
      <formula>NOT(ISERROR(SEARCH(("정규교과"),(D30))))</formula>
    </cfRule>
    <cfRule type="containsText" dxfId="12064" priority="20689" operator="containsText" text="기타">
      <formula>NOT(ISERROR(SEARCH(("기타"),(D30))))</formula>
    </cfRule>
    <cfRule type="containsText" dxfId="12063" priority="20696" operator="containsText" text="프로젝트">
      <formula>NOT(ISERROR(SEARCH(("프로젝트"),(D30))))</formula>
    </cfRule>
    <cfRule type="containsText" dxfId="12062" priority="20695" operator="containsText" text="기타">
      <formula>NOT(ISERROR(SEARCH(("기타"),(D30))))</formula>
    </cfRule>
    <cfRule type="containsText" dxfId="12061" priority="20697" operator="containsText" text="정규교과">
      <formula>NOT(ISERROR(SEARCH(("정규교과"),(D30))))</formula>
    </cfRule>
    <cfRule type="containsText" dxfId="12060" priority="20698" operator="containsText" text="기타">
      <formula>NOT(ISERROR(SEARCH(("기타"),(D30))))</formula>
    </cfRule>
    <cfRule type="containsText" dxfId="12059" priority="20693" operator="containsText" text="프로젝트">
      <formula>NOT(ISERROR(SEARCH(("프로젝트"),(D30))))</formula>
    </cfRule>
    <cfRule type="containsText" dxfId="12058" priority="20692" operator="containsText" text="기타">
      <formula>NOT(ISERROR(SEARCH(("기타"),(D30))))</formula>
    </cfRule>
    <cfRule type="containsText" dxfId="12057" priority="20691" operator="containsText" text="정규교과">
      <formula>NOT(ISERROR(SEARCH(("정규교과"),(D30))))</formula>
    </cfRule>
    <cfRule type="containsText" dxfId="12056" priority="20690" operator="containsText" text="프로젝트">
      <formula>NOT(ISERROR(SEARCH(("프로젝트"),(D30))))</formula>
    </cfRule>
    <cfRule type="containsText" dxfId="12055" priority="20694" operator="containsText" text="정규교과">
      <formula>NOT(ISERROR(SEARCH(("정규교과"),(D30))))</formula>
    </cfRule>
    <cfRule type="containsText" dxfId="12054" priority="20687" operator="containsText" text="프로젝트">
      <formula>NOT(ISERROR(SEARCH(("프로젝트"),(D30))))</formula>
    </cfRule>
  </conditionalFormatting>
  <conditionalFormatting sqref="D34:M34">
    <cfRule type="containsText" dxfId="12053" priority="20700" operator="containsText" text="정규교과">
      <formula>NOT(ISERROR(SEARCH(("정규교과"),(D34))))</formula>
    </cfRule>
    <cfRule type="containsText" dxfId="12052" priority="20701" operator="containsText" text="기타">
      <formula>NOT(ISERROR(SEARCH(("기타"),(D34))))</formula>
    </cfRule>
    <cfRule type="containsText" dxfId="12051" priority="20702" operator="containsText" text="프로젝트">
      <formula>NOT(ISERROR(SEARCH(("프로젝트"),(D34))))</formula>
    </cfRule>
    <cfRule type="containsText" dxfId="12050" priority="20703" operator="containsText" text="정규교과">
      <formula>NOT(ISERROR(SEARCH(("정규교과"),(D34))))</formula>
    </cfRule>
    <cfRule type="containsText" dxfId="12049" priority="20704" operator="containsText" text="기타">
      <formula>NOT(ISERROR(SEARCH(("기타"),(D34))))</formula>
    </cfRule>
    <cfRule type="containsText" dxfId="12048" priority="20705" operator="containsText" text="프로젝트">
      <formula>NOT(ISERROR(SEARCH(("프로젝트"),(D34))))</formula>
    </cfRule>
    <cfRule type="containsText" dxfId="12047" priority="20706" operator="containsText" text="정규교과">
      <formula>NOT(ISERROR(SEARCH(("정규교과"),(D34))))</formula>
    </cfRule>
    <cfRule type="containsText" dxfId="12046" priority="20707" operator="containsText" text="기타">
      <formula>NOT(ISERROR(SEARCH(("기타"),(D34))))</formula>
    </cfRule>
    <cfRule type="containsText" dxfId="12045" priority="20708" operator="containsText" text="프로젝트">
      <formula>NOT(ISERROR(SEARCH(("프로젝트"),(D34))))</formula>
    </cfRule>
    <cfRule type="containsText" dxfId="12044" priority="20709" operator="containsText" text="정규교과">
      <formula>NOT(ISERROR(SEARCH(("정규교과"),(D34))))</formula>
    </cfRule>
    <cfRule type="containsText" dxfId="12043" priority="20710" operator="containsText" text="기타">
      <formula>NOT(ISERROR(SEARCH(("기타"),(D34))))</formula>
    </cfRule>
    <cfRule type="containsText" dxfId="12042" priority="20699" operator="containsText" text="프로젝트">
      <formula>NOT(ISERROR(SEARCH(("프로젝트"),(D34))))</formula>
    </cfRule>
  </conditionalFormatting>
  <conditionalFormatting sqref="D44:M44">
    <cfRule type="containsText" dxfId="12041" priority="15379" operator="containsText" text="프로젝트">
      <formula>NOT(ISERROR(SEARCH(("프로젝트"),(D44))))</formula>
    </cfRule>
    <cfRule type="containsText" dxfId="12040" priority="20711" operator="containsText" text="프로젝트">
      <formula>NOT(ISERROR(SEARCH(("프로젝트"),(D44))))</formula>
    </cfRule>
    <cfRule type="containsText" dxfId="12039" priority="20712" operator="containsText" text="정규교과">
      <formula>NOT(ISERROR(SEARCH(("정규교과"),(D44))))</formula>
    </cfRule>
    <cfRule type="containsText" dxfId="12038" priority="20713" operator="containsText" text="기타">
      <formula>NOT(ISERROR(SEARCH(("기타"),(D44))))</formula>
    </cfRule>
    <cfRule type="containsText" dxfId="12037" priority="15380" operator="containsText" text="정규교과">
      <formula>NOT(ISERROR(SEARCH(("정규교과"),(D44))))</formula>
    </cfRule>
    <cfRule type="containsText" dxfId="12036" priority="15381" operator="containsText" text="기타">
      <formula>NOT(ISERROR(SEARCH(("기타"),(D44))))</formula>
    </cfRule>
  </conditionalFormatting>
  <conditionalFormatting sqref="D48:M48">
    <cfRule type="containsText" dxfId="12035" priority="20714" operator="containsText" text="프로젝트">
      <formula>NOT(ISERROR(SEARCH(("프로젝트"),(D48))))</formula>
    </cfRule>
    <cfRule type="containsText" dxfId="12034" priority="20715" operator="containsText" text="정규교과">
      <formula>NOT(ISERROR(SEARCH(("정규교과"),(D48))))</formula>
    </cfRule>
    <cfRule type="containsText" dxfId="12033" priority="20716" operator="containsText" text="기타">
      <formula>NOT(ISERROR(SEARCH(("기타"),(D48))))</formula>
    </cfRule>
    <cfRule type="containsText" dxfId="12032" priority="20717" operator="containsText" text="프로젝트">
      <formula>NOT(ISERROR(SEARCH(("프로젝트"),(D48))))</formula>
    </cfRule>
    <cfRule type="containsText" dxfId="12031" priority="20718" operator="containsText" text="정규교과">
      <formula>NOT(ISERROR(SEARCH(("정규교과"),(D48))))</formula>
    </cfRule>
    <cfRule type="containsText" dxfId="12030" priority="20719" operator="containsText" text="기타">
      <formula>NOT(ISERROR(SEARCH(("기타"),(D48))))</formula>
    </cfRule>
    <cfRule type="containsText" dxfId="12029" priority="15382" operator="containsText" text="프로젝트">
      <formula>NOT(ISERROR(SEARCH(("프로젝트"),(D48))))</formula>
    </cfRule>
    <cfRule type="containsText" dxfId="12028" priority="15383" operator="containsText" text="정규교과">
      <formula>NOT(ISERROR(SEARCH(("정규교과"),(D48))))</formula>
    </cfRule>
    <cfRule type="containsText" dxfId="12027" priority="15384" operator="containsText" text="기타">
      <formula>NOT(ISERROR(SEARCH(("기타"),(D48))))</formula>
    </cfRule>
    <cfRule type="containsText" dxfId="12026" priority="15385" operator="containsText" text="프로젝트">
      <formula>NOT(ISERROR(SEARCH(("프로젝트"),(D48))))</formula>
    </cfRule>
    <cfRule type="containsText" dxfId="12025" priority="15386" operator="containsText" text="정규교과">
      <formula>NOT(ISERROR(SEARCH(("정규교과"),(D48))))</formula>
    </cfRule>
    <cfRule type="containsText" dxfId="12024" priority="15387" operator="containsText" text="기타">
      <formula>NOT(ISERROR(SEARCH(("기타"),(D48))))</formula>
    </cfRule>
  </conditionalFormatting>
  <conditionalFormatting sqref="D52:M53">
    <cfRule type="containsText" dxfId="12023" priority="20722" operator="containsText" text="기타">
      <formula>NOT(ISERROR(SEARCH(("기타"),(D52))))</formula>
    </cfRule>
    <cfRule type="containsText" dxfId="12022" priority="20721" operator="containsText" text="정규교과">
      <formula>NOT(ISERROR(SEARCH(("정규교과"),(D52))))</formula>
    </cfRule>
    <cfRule type="containsText" dxfId="12021" priority="15390" operator="containsText" text="기타">
      <formula>NOT(ISERROR(SEARCH(("기타"),(D52))))</formula>
    </cfRule>
    <cfRule type="containsText" dxfId="12020" priority="20720" operator="containsText" text="프로젝트">
      <formula>NOT(ISERROR(SEARCH(("프로젝트"),(D52))))</formula>
    </cfRule>
    <cfRule type="containsText" dxfId="12019" priority="15388" operator="containsText" text="프로젝트">
      <formula>NOT(ISERROR(SEARCH(("프로젝트"),(D52))))</formula>
    </cfRule>
    <cfRule type="containsText" dxfId="12018" priority="15389" operator="containsText" text="정규교과">
      <formula>NOT(ISERROR(SEARCH(("정규교과"),(D52))))</formula>
    </cfRule>
  </conditionalFormatting>
  <conditionalFormatting sqref="D53:M53">
    <cfRule type="containsText" dxfId="12017" priority="20727" operator="containsText" text="정규교과">
      <formula>NOT(ISERROR(SEARCH(("정규교과"),(D53))))</formula>
    </cfRule>
    <cfRule type="containsText" dxfId="12016" priority="20728" operator="containsText" text="기타">
      <formula>NOT(ISERROR(SEARCH(("기타"),(D53))))</formula>
    </cfRule>
    <cfRule type="containsText" dxfId="12015" priority="15396" operator="containsText" text="기타">
      <formula>NOT(ISERROR(SEARCH(("기타"),(D53))))</formula>
    </cfRule>
    <cfRule type="containsText" dxfId="12014" priority="15395" operator="containsText" text="정규교과">
      <formula>NOT(ISERROR(SEARCH(("정규교과"),(D53))))</formula>
    </cfRule>
    <cfRule type="containsText" dxfId="12013" priority="15394" operator="containsText" text="프로젝트">
      <formula>NOT(ISERROR(SEARCH(("프로젝트"),(D53))))</formula>
    </cfRule>
    <cfRule type="containsText" dxfId="12012" priority="15393" operator="containsText" text="기타">
      <formula>NOT(ISERROR(SEARCH(("기타"),(D53))))</formula>
    </cfRule>
    <cfRule type="containsText" dxfId="12011" priority="15392" operator="containsText" text="정규교과">
      <formula>NOT(ISERROR(SEARCH(("정규교과"),(D53))))</formula>
    </cfRule>
    <cfRule type="containsText" dxfId="12010" priority="15391" operator="containsText" text="프로젝트">
      <formula>NOT(ISERROR(SEARCH(("프로젝트"),(D53))))</formula>
    </cfRule>
    <cfRule type="containsText" dxfId="12009" priority="20723" operator="containsText" text="프로젝트">
      <formula>NOT(ISERROR(SEARCH(("프로젝트"),(D53))))</formula>
    </cfRule>
    <cfRule type="containsText" dxfId="12008" priority="20724" operator="containsText" text="정규교과">
      <formula>NOT(ISERROR(SEARCH(("정규교과"),(D53))))</formula>
    </cfRule>
    <cfRule type="containsText" dxfId="12007" priority="20725" operator="containsText" text="기타">
      <formula>NOT(ISERROR(SEARCH(("기타"),(D53))))</formula>
    </cfRule>
    <cfRule type="containsText" dxfId="12006" priority="20726" operator="containsText" text="프로젝트">
      <formula>NOT(ISERROR(SEARCH(("프로젝트"),(D53))))</formula>
    </cfRule>
  </conditionalFormatting>
  <conditionalFormatting sqref="D57:M57">
    <cfRule type="containsText" dxfId="12005" priority="15407" operator="containsText" text="정규교과">
      <formula>NOT(ISERROR(SEARCH(("정규교과"),(D57))))</formula>
    </cfRule>
    <cfRule type="containsText" dxfId="12004" priority="15408" operator="containsText" text="기타">
      <formula>NOT(ISERROR(SEARCH(("기타"),(D57))))</formula>
    </cfRule>
    <cfRule type="containsText" dxfId="12003" priority="20729" operator="containsText" text="프로젝트">
      <formula>NOT(ISERROR(SEARCH(("프로젝트"),(D57))))</formula>
    </cfRule>
    <cfRule type="containsText" dxfId="12002" priority="20730" operator="containsText" text="정규교과">
      <formula>NOT(ISERROR(SEARCH(("정규교과"),(D57))))</formula>
    </cfRule>
    <cfRule type="containsText" dxfId="12001" priority="20732" operator="containsText" text="프로젝트">
      <formula>NOT(ISERROR(SEARCH(("프로젝트"),(D57))))</formula>
    </cfRule>
    <cfRule type="containsText" dxfId="12000" priority="20733" operator="containsText" text="정규교과">
      <formula>NOT(ISERROR(SEARCH(("정규교과"),(D57))))</formula>
    </cfRule>
    <cfRule type="containsText" dxfId="11999" priority="20731" operator="containsText" text="기타">
      <formula>NOT(ISERROR(SEARCH(("기타"),(D57))))</formula>
    </cfRule>
    <cfRule type="containsText" dxfId="11998" priority="20734" operator="containsText" text="기타">
      <formula>NOT(ISERROR(SEARCH(("기타"),(D57))))</formula>
    </cfRule>
    <cfRule type="containsText" dxfId="11997" priority="20735" operator="containsText" text="프로젝트">
      <formula>NOT(ISERROR(SEARCH(("프로젝트"),(D57))))</formula>
    </cfRule>
    <cfRule type="containsText" dxfId="11996" priority="20736" operator="containsText" text="정규교과">
      <formula>NOT(ISERROR(SEARCH(("정규교과"),(D57))))</formula>
    </cfRule>
    <cfRule type="containsText" dxfId="11995" priority="20737" operator="containsText" text="기타">
      <formula>NOT(ISERROR(SEARCH(("기타"),(D57))))</formula>
    </cfRule>
    <cfRule type="containsText" dxfId="11994" priority="20738" operator="containsText" text="프로젝트">
      <formula>NOT(ISERROR(SEARCH(("프로젝트"),(D57))))</formula>
    </cfRule>
    <cfRule type="containsText" dxfId="11993" priority="20739" operator="containsText" text="정규교과">
      <formula>NOT(ISERROR(SEARCH(("정규교과"),(D57))))</formula>
    </cfRule>
    <cfRule type="containsText" dxfId="11992" priority="20740" operator="containsText" text="기타">
      <formula>NOT(ISERROR(SEARCH(("기타"),(D57))))</formula>
    </cfRule>
    <cfRule type="containsText" dxfId="11991" priority="15397" operator="containsText" text="프로젝트">
      <formula>NOT(ISERROR(SEARCH(("프로젝트"),(D57))))</formula>
    </cfRule>
    <cfRule type="containsText" dxfId="11990" priority="15398" operator="containsText" text="정규교과">
      <formula>NOT(ISERROR(SEARCH(("정규교과"),(D57))))</formula>
    </cfRule>
    <cfRule type="containsText" dxfId="11989" priority="15399" operator="containsText" text="기타">
      <formula>NOT(ISERROR(SEARCH(("기타"),(D57))))</formula>
    </cfRule>
    <cfRule type="containsText" dxfId="11988" priority="15400" operator="containsText" text="프로젝트">
      <formula>NOT(ISERROR(SEARCH(("프로젝트"),(D57))))</formula>
    </cfRule>
    <cfRule type="containsText" dxfId="11987" priority="15401" operator="containsText" text="정규교과">
      <formula>NOT(ISERROR(SEARCH(("정규교과"),(D57))))</formula>
    </cfRule>
    <cfRule type="containsText" dxfId="11986" priority="15402" operator="containsText" text="기타">
      <formula>NOT(ISERROR(SEARCH(("기타"),(D57))))</formula>
    </cfRule>
    <cfRule type="containsText" dxfId="11985" priority="15403" operator="containsText" text="프로젝트">
      <formula>NOT(ISERROR(SEARCH(("프로젝트"),(D57))))</formula>
    </cfRule>
    <cfRule type="containsText" dxfId="11984" priority="15404" operator="containsText" text="정규교과">
      <formula>NOT(ISERROR(SEARCH(("정규교과"),(D57))))</formula>
    </cfRule>
    <cfRule type="containsText" dxfId="11983" priority="15405" operator="containsText" text="기타">
      <formula>NOT(ISERROR(SEARCH(("기타"),(D57))))</formula>
    </cfRule>
    <cfRule type="containsText" dxfId="11982" priority="15406" operator="containsText" text="프로젝트">
      <formula>NOT(ISERROR(SEARCH(("프로젝트"),(D57))))</formula>
    </cfRule>
  </conditionalFormatting>
  <conditionalFormatting sqref="D61:M61">
    <cfRule type="containsText" dxfId="11981" priority="20752" operator="containsText" text="기타">
      <formula>NOT(ISERROR(SEARCH(("기타"),(D61))))</formula>
    </cfRule>
    <cfRule type="containsText" dxfId="11980" priority="15412" operator="containsText" text="프로젝트">
      <formula>NOT(ISERROR(SEARCH(("프로젝트"),(D61))))</formula>
    </cfRule>
    <cfRule type="containsText" dxfId="11979" priority="15413" operator="containsText" text="정규교과">
      <formula>NOT(ISERROR(SEARCH(("정규교과"),(D61))))</formula>
    </cfRule>
    <cfRule type="containsText" dxfId="11978" priority="20750" operator="containsText" text="프로젝트">
      <formula>NOT(ISERROR(SEARCH(("프로젝트"),(D61))))</formula>
    </cfRule>
    <cfRule type="containsText" dxfId="11977" priority="20749" operator="containsText" text="기타">
      <formula>NOT(ISERROR(SEARCH(("기타"),(D61))))</formula>
    </cfRule>
    <cfRule type="containsText" dxfId="11976" priority="20748" operator="containsText" text="정규교과">
      <formula>NOT(ISERROR(SEARCH(("정규교과"),(D61))))</formula>
    </cfRule>
    <cfRule type="containsText" dxfId="11975" priority="20747" operator="containsText" text="프로젝트">
      <formula>NOT(ISERROR(SEARCH(("프로젝트"),(D61))))</formula>
    </cfRule>
    <cfRule type="containsText" dxfId="11974" priority="15414" operator="containsText" text="기타">
      <formula>NOT(ISERROR(SEARCH(("기타"),(D61))))</formula>
    </cfRule>
    <cfRule type="containsText" dxfId="11973" priority="20751" operator="containsText" text="정규교과">
      <formula>NOT(ISERROR(SEARCH(("정규교과"),(D61))))</formula>
    </cfRule>
    <cfRule type="containsText" dxfId="11972" priority="15415" operator="containsText" text="프로젝트">
      <formula>NOT(ISERROR(SEARCH(("프로젝트"),(D61))))</formula>
    </cfRule>
    <cfRule type="containsText" dxfId="11971" priority="15416" operator="containsText" text="정규교과">
      <formula>NOT(ISERROR(SEARCH(("정규교과"),(D61))))</formula>
    </cfRule>
    <cfRule type="containsText" dxfId="11970" priority="15417" operator="containsText" text="기타">
      <formula>NOT(ISERROR(SEARCH(("기타"),(D61))))</formula>
    </cfRule>
    <cfRule type="containsText" dxfId="11969" priority="20746" operator="containsText" text="기타">
      <formula>NOT(ISERROR(SEARCH(("기타"),(D61))))</formula>
    </cfRule>
    <cfRule type="containsText" dxfId="11968" priority="20745" operator="containsText" text="정규교과">
      <formula>NOT(ISERROR(SEARCH(("정규교과"),(D61))))</formula>
    </cfRule>
    <cfRule type="containsText" dxfId="11967" priority="20744" operator="containsText" text="프로젝트">
      <formula>NOT(ISERROR(SEARCH(("프로젝트"),(D61))))</formula>
    </cfRule>
    <cfRule type="containsText" dxfId="11966" priority="20743" operator="containsText" text="기타">
      <formula>NOT(ISERROR(SEARCH(("기타"),(D61))))</formula>
    </cfRule>
    <cfRule type="containsText" dxfId="11965" priority="20742" operator="containsText" text="정규교과">
      <formula>NOT(ISERROR(SEARCH(("정규교과"),(D61))))</formula>
    </cfRule>
    <cfRule type="containsText" dxfId="11964" priority="20741" operator="containsText" text="프로젝트">
      <formula>NOT(ISERROR(SEARCH(("프로젝트"),(D61))))</formula>
    </cfRule>
    <cfRule type="containsText" dxfId="11963" priority="15409" operator="containsText" text="프로젝트">
      <formula>NOT(ISERROR(SEARCH(("프로젝트"),(D61))))</formula>
    </cfRule>
    <cfRule type="containsText" dxfId="11962" priority="15418" operator="containsText" text="프로젝트">
      <formula>NOT(ISERROR(SEARCH(("프로젝트"),(D61))))</formula>
    </cfRule>
    <cfRule type="containsText" dxfId="11961" priority="15419" operator="containsText" text="정규교과">
      <formula>NOT(ISERROR(SEARCH(("정규교과"),(D61))))</formula>
    </cfRule>
    <cfRule type="containsText" dxfId="11960" priority="15420" operator="containsText" text="기타">
      <formula>NOT(ISERROR(SEARCH(("기타"),(D61))))</formula>
    </cfRule>
    <cfRule type="containsText" dxfId="11959" priority="15410" operator="containsText" text="정규교과">
      <formula>NOT(ISERROR(SEARCH(("정규교과"),(D61))))</formula>
    </cfRule>
    <cfRule type="containsText" dxfId="11958" priority="15411" operator="containsText" text="기타">
      <formula>NOT(ISERROR(SEARCH(("기타"),(D61))))</formula>
    </cfRule>
  </conditionalFormatting>
  <conditionalFormatting sqref="D65:M65">
    <cfRule type="containsText" dxfId="11957" priority="20763" operator="containsText" text="정규교과">
      <formula>NOT(ISERROR(SEARCH(("정규교과"),(D65))))</formula>
    </cfRule>
    <cfRule type="containsText" dxfId="11956" priority="20762" operator="containsText" text="프로젝트">
      <formula>NOT(ISERROR(SEARCH(("프로젝트"),(D65))))</formula>
    </cfRule>
    <cfRule type="containsText" dxfId="11955" priority="20753" operator="containsText" text="프로젝트">
      <formula>NOT(ISERROR(SEARCH(("프로젝트"),(D65))))</formula>
    </cfRule>
    <cfRule type="containsText" dxfId="11954" priority="20754" operator="containsText" text="정규교과">
      <formula>NOT(ISERROR(SEARCH(("정규교과"),(D65))))</formula>
    </cfRule>
    <cfRule type="containsText" dxfId="11953" priority="20755" operator="containsText" text="기타">
      <formula>NOT(ISERROR(SEARCH(("기타"),(D65))))</formula>
    </cfRule>
    <cfRule type="containsText" dxfId="11952" priority="20756" operator="containsText" text="프로젝트">
      <formula>NOT(ISERROR(SEARCH(("프로젝트"),(D65))))</formula>
    </cfRule>
    <cfRule type="containsText" dxfId="11951" priority="20759" operator="containsText" text="프로젝트">
      <formula>NOT(ISERROR(SEARCH(("프로젝트"),(D65))))</formula>
    </cfRule>
    <cfRule type="containsText" dxfId="11950" priority="20757" operator="containsText" text="정규교과">
      <formula>NOT(ISERROR(SEARCH(("정규교과"),(D65))))</formula>
    </cfRule>
    <cfRule type="containsText" dxfId="11949" priority="20758" operator="containsText" text="기타">
      <formula>NOT(ISERROR(SEARCH(("기타"),(D65))))</formula>
    </cfRule>
    <cfRule type="containsText" dxfId="11948" priority="20760" operator="containsText" text="정규교과">
      <formula>NOT(ISERROR(SEARCH(("정규교과"),(D65))))</formula>
    </cfRule>
    <cfRule type="containsText" dxfId="11947" priority="15432" operator="containsText" text="기타">
      <formula>NOT(ISERROR(SEARCH(("기타"),(D65))))</formula>
    </cfRule>
    <cfRule type="containsText" dxfId="11946" priority="15431" operator="containsText" text="정규교과">
      <formula>NOT(ISERROR(SEARCH(("정규교과"),(D65))))</formula>
    </cfRule>
    <cfRule type="containsText" dxfId="11945" priority="15430" operator="containsText" text="프로젝트">
      <formula>NOT(ISERROR(SEARCH(("프로젝트"),(D65))))</formula>
    </cfRule>
    <cfRule type="containsText" dxfId="11944" priority="15429" operator="containsText" text="기타">
      <formula>NOT(ISERROR(SEARCH(("기타"),(D65))))</formula>
    </cfRule>
    <cfRule type="containsText" dxfId="11943" priority="15428" operator="containsText" text="정규교과">
      <formula>NOT(ISERROR(SEARCH(("정규교과"),(D65))))</formula>
    </cfRule>
    <cfRule type="containsText" dxfId="11942" priority="15427" operator="containsText" text="프로젝트">
      <formula>NOT(ISERROR(SEARCH(("프로젝트"),(D65))))</formula>
    </cfRule>
    <cfRule type="containsText" dxfId="11941" priority="15426" operator="containsText" text="기타">
      <formula>NOT(ISERROR(SEARCH(("기타"),(D65))))</formula>
    </cfRule>
    <cfRule type="containsText" dxfId="11940" priority="15425" operator="containsText" text="정규교과">
      <formula>NOT(ISERROR(SEARCH(("정규교과"),(D65))))</formula>
    </cfRule>
    <cfRule type="containsText" dxfId="11939" priority="15424" operator="containsText" text="프로젝트">
      <formula>NOT(ISERROR(SEARCH(("프로젝트"),(D65))))</formula>
    </cfRule>
    <cfRule type="containsText" dxfId="11938" priority="15423" operator="containsText" text="기타">
      <formula>NOT(ISERROR(SEARCH(("기타"),(D65))))</formula>
    </cfRule>
    <cfRule type="containsText" dxfId="11937" priority="15422" operator="containsText" text="정규교과">
      <formula>NOT(ISERROR(SEARCH(("정규교과"),(D65))))</formula>
    </cfRule>
    <cfRule type="containsText" dxfId="11936" priority="15421" operator="containsText" text="프로젝트">
      <formula>NOT(ISERROR(SEARCH(("프로젝트"),(D65))))</formula>
    </cfRule>
    <cfRule type="containsText" dxfId="11935" priority="20761" operator="containsText" text="기타">
      <formula>NOT(ISERROR(SEARCH(("기타"),(D65))))</formula>
    </cfRule>
    <cfRule type="containsText" dxfId="11934" priority="20764" operator="containsText" text="기타">
      <formula>NOT(ISERROR(SEARCH(("기타"),(D65))))</formula>
    </cfRule>
  </conditionalFormatting>
  <conditionalFormatting sqref="D69:M69">
    <cfRule type="containsText" dxfId="11933" priority="20773" operator="containsText" text="기타">
      <formula>NOT(ISERROR(SEARCH(("기타"),(D69))))</formula>
    </cfRule>
    <cfRule type="containsText" dxfId="11932" priority="20770" operator="containsText" text="기타">
      <formula>NOT(ISERROR(SEARCH(("기타"),(D69))))</formula>
    </cfRule>
    <cfRule type="containsText" dxfId="11931" priority="15437" operator="containsText" text="정규교과">
      <formula>NOT(ISERROR(SEARCH(("정규교과"),(D69))))</formula>
    </cfRule>
    <cfRule type="containsText" dxfId="11930" priority="20774" operator="containsText" text="프로젝트">
      <formula>NOT(ISERROR(SEARCH(("프로젝트"),(D69))))</formula>
    </cfRule>
    <cfRule type="containsText" dxfId="11929" priority="15438" operator="containsText" text="기타">
      <formula>NOT(ISERROR(SEARCH(("기타"),(D69))))</formula>
    </cfRule>
    <cfRule type="containsText" dxfId="11928" priority="15444" operator="containsText" text="기타">
      <formula>NOT(ISERROR(SEARCH(("기타"),(D69))))</formula>
    </cfRule>
    <cfRule type="containsText" dxfId="11927" priority="15439" operator="containsText" text="프로젝트">
      <formula>NOT(ISERROR(SEARCH(("프로젝트"),(D69))))</formula>
    </cfRule>
    <cfRule type="containsText" dxfId="11926" priority="20776" operator="containsText" text="기타">
      <formula>NOT(ISERROR(SEARCH(("기타"),(D69))))</formula>
    </cfRule>
    <cfRule type="containsText" dxfId="11925" priority="20775" operator="containsText" text="정규교과">
      <formula>NOT(ISERROR(SEARCH(("정규교과"),(D69))))</formula>
    </cfRule>
    <cfRule type="containsText" dxfId="11924" priority="15440" operator="containsText" text="정규교과">
      <formula>NOT(ISERROR(SEARCH(("정규교과"),(D69))))</formula>
    </cfRule>
    <cfRule type="containsText" dxfId="11923" priority="15441" operator="containsText" text="기타">
      <formula>NOT(ISERROR(SEARCH(("기타"),(D69))))</formula>
    </cfRule>
    <cfRule type="containsText" dxfId="11922" priority="20772" operator="containsText" text="정규교과">
      <formula>NOT(ISERROR(SEARCH(("정규교과"),(D69))))</formula>
    </cfRule>
    <cfRule type="containsText" dxfId="11921" priority="20771" operator="containsText" text="프로젝트">
      <formula>NOT(ISERROR(SEARCH(("프로젝트"),(D69))))</formula>
    </cfRule>
    <cfRule type="containsText" dxfId="11920" priority="20769" operator="containsText" text="정규교과">
      <formula>NOT(ISERROR(SEARCH(("정규교과"),(D69))))</formula>
    </cfRule>
    <cfRule type="containsText" dxfId="11919" priority="20768" operator="containsText" text="프로젝트">
      <formula>NOT(ISERROR(SEARCH(("프로젝트"),(D69))))</formula>
    </cfRule>
    <cfRule type="containsText" dxfId="11918" priority="20767" operator="containsText" text="기타">
      <formula>NOT(ISERROR(SEARCH(("기타"),(D69))))</formula>
    </cfRule>
    <cfRule type="containsText" dxfId="11917" priority="15442" operator="containsText" text="프로젝트">
      <formula>NOT(ISERROR(SEARCH(("프로젝트"),(D69))))</formula>
    </cfRule>
    <cfRule type="containsText" dxfId="11916" priority="20765" operator="containsText" text="프로젝트">
      <formula>NOT(ISERROR(SEARCH(("프로젝트"),(D69))))</formula>
    </cfRule>
    <cfRule type="containsText" dxfId="11915" priority="20766" operator="containsText" text="정규교과">
      <formula>NOT(ISERROR(SEARCH(("정규교과"),(D69))))</formula>
    </cfRule>
    <cfRule type="containsText" dxfId="11914" priority="15433" operator="containsText" text="프로젝트">
      <formula>NOT(ISERROR(SEARCH(("프로젝트"),(D69))))</formula>
    </cfRule>
    <cfRule type="containsText" dxfId="11913" priority="15434" operator="containsText" text="정규교과">
      <formula>NOT(ISERROR(SEARCH(("정규교과"),(D69))))</formula>
    </cfRule>
    <cfRule type="containsText" dxfId="11912" priority="15435" operator="containsText" text="기타">
      <formula>NOT(ISERROR(SEARCH(("기타"),(D69))))</formula>
    </cfRule>
    <cfRule type="containsText" dxfId="11911" priority="15443" operator="containsText" text="정규교과">
      <formula>NOT(ISERROR(SEARCH(("정규교과"),(D69))))</formula>
    </cfRule>
    <cfRule type="containsText" dxfId="11910" priority="15436" operator="containsText" text="프로젝트">
      <formula>NOT(ISERROR(SEARCH(("프로젝트"),(D69))))</formula>
    </cfRule>
  </conditionalFormatting>
  <conditionalFormatting sqref="D76:M78 D80:M82 D84:M87 D89:M91 D93:M95 M92 D97:M99 D101:M103 D105:M107 M96 M100 M104">
    <cfRule type="containsText" dxfId="11909" priority="15263" operator="containsText" text="정규교과">
      <formula>NOT(ISERROR(SEARCH(("정규교과"),(D76))))</formula>
    </cfRule>
    <cfRule type="containsText" dxfId="11908" priority="15264" operator="containsText" text="기타">
      <formula>NOT(ISERROR(SEARCH(("기타"),(D76))))</formula>
    </cfRule>
    <cfRule type="containsText" dxfId="11907" priority="15261" operator="containsText" text="휴강">
      <formula>NOT(ISERROR(SEARCH(("휴강"),(D76))))</formula>
    </cfRule>
  </conditionalFormatting>
  <conditionalFormatting sqref="D76:M78 D80:M82 D84:M87 D89:M91 M92 D93:M95 M96 D97:M99 M100 D101:M103 M104 D105:M107">
    <cfRule type="containsText" dxfId="11906" priority="15262" operator="containsText" text="프로젝트">
      <formula>NOT(ISERROR(SEARCH(("프로젝트"),(D76))))</formula>
    </cfRule>
  </conditionalFormatting>
  <conditionalFormatting sqref="D87:M87">
    <cfRule type="containsText" dxfId="11905" priority="15276" operator="containsText" text="기타">
      <formula>NOT(ISERROR(SEARCH(("기타"),(D87))))</formula>
    </cfRule>
    <cfRule type="containsText" dxfId="11904" priority="15275" operator="containsText" text="정규교과">
      <formula>NOT(ISERROR(SEARCH(("정규교과"),(D87))))</formula>
    </cfRule>
    <cfRule type="containsText" dxfId="11903" priority="15274" operator="containsText" text="프로젝트">
      <formula>NOT(ISERROR(SEARCH(("프로젝트"),(D87))))</formula>
    </cfRule>
  </conditionalFormatting>
  <conditionalFormatting sqref="D111:M113 D115:M117 D119:M122 D124:M126 D128:M130 D132:M134 D136:M138 D140:M142">
    <cfRule type="containsText" dxfId="11902" priority="15145" operator="containsText" text="정규교과">
      <formula>NOT(ISERROR(SEARCH(("정규교과"),(D111))))</formula>
    </cfRule>
    <cfRule type="containsText" dxfId="11901" priority="15144" operator="containsText" text="프로젝트">
      <formula>NOT(ISERROR(SEARCH(("프로젝트"),(D111))))</formula>
    </cfRule>
    <cfRule type="containsText" dxfId="11900" priority="15146" operator="containsText" text="기타">
      <formula>NOT(ISERROR(SEARCH(("기타"),(D111))))</formula>
    </cfRule>
    <cfRule type="containsText" dxfId="11899" priority="15143" operator="containsText" text="휴강">
      <formula>NOT(ISERROR(SEARCH(("휴강"),(D111))))</formula>
    </cfRule>
  </conditionalFormatting>
  <conditionalFormatting sqref="D122:M122">
    <cfRule type="containsText" dxfId="11898" priority="15157" operator="containsText" text="정규교과">
      <formula>NOT(ISERROR(SEARCH(("정규교과"),(D122))))</formula>
    </cfRule>
    <cfRule type="containsText" dxfId="11897" priority="15156" operator="containsText" text="프로젝트">
      <formula>NOT(ISERROR(SEARCH(("프로젝트"),(D122))))</formula>
    </cfRule>
    <cfRule type="containsText" dxfId="11896" priority="15158" operator="containsText" text="기타">
      <formula>NOT(ISERROR(SEARCH(("기타"),(D122))))</formula>
    </cfRule>
  </conditionalFormatting>
  <conditionalFormatting sqref="D146:M148 H145:J145 D150:M152 H149:J149 D154:M157 H153:J153 D159:M161 H158:J158 D163:M165 H162:J162 D167:M169 H166:J166 D171:M173 H170:J170 D175:M177 H174:J174">
    <cfRule type="containsText" dxfId="11895" priority="15028" operator="containsText" text="기타">
      <formula>NOT(ISERROR(SEARCH(("기타"),(D145))))</formula>
    </cfRule>
    <cfRule type="containsText" dxfId="11894" priority="15027" operator="containsText" text="정규교과">
      <formula>NOT(ISERROR(SEARCH(("정규교과"),(D145))))</formula>
    </cfRule>
    <cfRule type="containsText" dxfId="11893" priority="15025" operator="containsText" text="휴강">
      <formula>NOT(ISERROR(SEARCH(("휴강"),(D145))))</formula>
    </cfRule>
  </conditionalFormatting>
  <conditionalFormatting sqref="D157:M157 H158:J158">
    <cfRule type="containsText" dxfId="11892" priority="15038" operator="containsText" text="프로젝트">
      <formula>NOT(ISERROR(SEARCH(("프로젝트"),(D157))))</formula>
    </cfRule>
    <cfRule type="containsText" dxfId="11891" priority="15040" operator="containsText" text="기타">
      <formula>NOT(ISERROR(SEARCH(("기타"),(D157))))</formula>
    </cfRule>
    <cfRule type="containsText" dxfId="11890" priority="15039" operator="containsText" text="정규교과">
      <formula>NOT(ISERROR(SEARCH(("정규교과"),(D157))))</formula>
    </cfRule>
  </conditionalFormatting>
  <conditionalFormatting sqref="D181:M183 D185:M187 D189:M192 D194:M196 D198:M200 D202:M204 D206:M208 D210:M212 M180 M184 M188 M193 L197:M197 L201:M201 L205:M205 L209:M209">
    <cfRule type="containsText" dxfId="11889" priority="14910" operator="containsText" text="기타">
      <formula>NOT(ISERROR(SEARCH(("기타"),(D180))))</formula>
    </cfRule>
    <cfRule type="containsText" dxfId="11888" priority="14907" operator="containsText" text="휴강">
      <formula>NOT(ISERROR(SEARCH(("휴강"),(D180))))</formula>
    </cfRule>
    <cfRule type="containsText" dxfId="11887" priority="14909" operator="containsText" text="정규교과">
      <formula>NOT(ISERROR(SEARCH(("정규교과"),(D180))))</formula>
    </cfRule>
  </conditionalFormatting>
  <conditionalFormatting sqref="D192:M192 M193">
    <cfRule type="containsText" dxfId="11886" priority="14922" operator="containsText" text="기타">
      <formula>NOT(ISERROR(SEARCH(("기타"),(D192))))</formula>
    </cfRule>
    <cfRule type="containsText" dxfId="11885" priority="14921" operator="containsText" text="정규교과">
      <formula>NOT(ISERROR(SEARCH(("정규교과"),(D192))))</formula>
    </cfRule>
    <cfRule type="containsText" dxfId="11884" priority="14920" operator="containsText" text="프로젝트">
      <formula>NOT(ISERROR(SEARCH(("프로젝트"),(D192))))</formula>
    </cfRule>
  </conditionalFormatting>
  <conditionalFormatting sqref="D216:M218 D215 D220:M222 D219 D224:M227 D223 D229:M231 D228 D233:M235 D232 D237:M239 D236 D241:M243 D240 D245:M247 D244 I215:M215 I219:M219 I223:M223 I228:M228 H232:M232 H236:M236 H240:M240 H244:M244">
    <cfRule type="containsText" dxfId="11883" priority="14789" operator="containsText" text="휴강">
      <formula>NOT(ISERROR(SEARCH(("휴강"),(D215))))</formula>
    </cfRule>
    <cfRule type="containsText" dxfId="11882" priority="14791" operator="containsText" text="정규교과">
      <formula>NOT(ISERROR(SEARCH(("정규교과"),(D215))))</formula>
    </cfRule>
    <cfRule type="containsText" dxfId="11881" priority="14792" operator="containsText" text="기타">
      <formula>NOT(ISERROR(SEARCH(("기타"),(D215))))</formula>
    </cfRule>
  </conditionalFormatting>
  <conditionalFormatting sqref="D227:M227 D228 I228:M228">
    <cfRule type="containsText" dxfId="11880" priority="14802" operator="containsText" text="프로젝트">
      <formula>NOT(ISERROR(SEARCH(("프로젝트"),(D227))))</formula>
    </cfRule>
    <cfRule type="containsText" dxfId="11879" priority="14803" operator="containsText" text="정규교과">
      <formula>NOT(ISERROR(SEARCH(("정규교과"),(D227))))</formula>
    </cfRule>
    <cfRule type="containsText" dxfId="11878" priority="14804" operator="containsText" text="기타">
      <formula>NOT(ISERROR(SEARCH(("기타"),(D227))))</formula>
    </cfRule>
  </conditionalFormatting>
  <conditionalFormatting sqref="D251:M253 D255:M257 D259:M262 D264:M266 D268:M270 D272:M274 D276:M278 D280:M282 L250:M250 L254:M254 L258:M258 L263:M263 L267:M267 L271:M271 L275:M275 L279:M279">
    <cfRule type="containsText" dxfId="11877" priority="14671" operator="containsText" text="휴강">
      <formula>NOT(ISERROR(SEARCH(("휴강"),(D250))))</formula>
    </cfRule>
    <cfRule type="containsText" dxfId="11876" priority="14673" operator="containsText" text="정규교과">
      <formula>NOT(ISERROR(SEARCH(("정규교과"),(D250))))</formula>
    </cfRule>
    <cfRule type="containsText" dxfId="11875" priority="14674" operator="containsText" text="기타">
      <formula>NOT(ISERROR(SEARCH(("기타"),(D250))))</formula>
    </cfRule>
  </conditionalFormatting>
  <conditionalFormatting sqref="D262:M262 L263:M263">
    <cfRule type="containsText" dxfId="11874" priority="14684" operator="containsText" text="프로젝트">
      <formula>NOT(ISERROR(SEARCH(("프로젝트"),(D262))))</formula>
    </cfRule>
    <cfRule type="containsText" dxfId="11873" priority="14685" operator="containsText" text="정규교과">
      <formula>NOT(ISERROR(SEARCH(("정규교과"),(D262))))</formula>
    </cfRule>
    <cfRule type="containsText" dxfId="11872" priority="14686" operator="containsText" text="기타">
      <formula>NOT(ISERROR(SEARCH(("기타"),(D262))))</formula>
    </cfRule>
  </conditionalFormatting>
  <conditionalFormatting sqref="D286:M288 D290:M292 D294:M297 D299:M301 D303:M305 D307:M309 D311:M313 D315:M317 J285:M285 J289:M289 J293:M293 J298:M298 J302:M302 J306:M306 J310:M310 J314:M314">
    <cfRule type="containsText" dxfId="11871" priority="14553" operator="containsText" text="휴강">
      <formula>NOT(ISERROR(SEARCH(("휴강"),(D285))))</formula>
    </cfRule>
    <cfRule type="containsText" dxfId="11870" priority="14555" operator="containsText" text="정규교과">
      <formula>NOT(ISERROR(SEARCH(("정규교과"),(D285))))</formula>
    </cfRule>
    <cfRule type="containsText" dxfId="11869" priority="14556" operator="containsText" text="기타">
      <formula>NOT(ISERROR(SEARCH(("기타"),(D285))))</formula>
    </cfRule>
  </conditionalFormatting>
  <conditionalFormatting sqref="D297:M297 J298:M298">
    <cfRule type="containsText" dxfId="11868" priority="14566" operator="containsText" text="프로젝트">
      <formula>NOT(ISERROR(SEARCH(("프로젝트"),(D297))))</formula>
    </cfRule>
    <cfRule type="containsText" dxfId="11867" priority="14567" operator="containsText" text="정규교과">
      <formula>NOT(ISERROR(SEARCH(("정규교과"),(D297))))</formula>
    </cfRule>
    <cfRule type="containsText" dxfId="11866" priority="14568" operator="containsText" text="기타">
      <formula>NOT(ISERROR(SEARCH(("기타"),(D297))))</formula>
    </cfRule>
  </conditionalFormatting>
  <conditionalFormatting sqref="D321:M323 D325:M327 D329:M332 D334:M336 D338:M340 D342:M344 D346:M348 D350:M352 G320:M320 G324:M324 G328:M328 G333:M333 F337:M337 F341:M341 F345:M345 F349:M349">
    <cfRule type="containsText" dxfId="11865" priority="14438" operator="containsText" text="기타">
      <formula>NOT(ISERROR(SEARCH(("기타"),(D320))))</formula>
    </cfRule>
    <cfRule type="containsText" dxfId="11864" priority="14437" operator="containsText" text="정규교과">
      <formula>NOT(ISERROR(SEARCH(("정규교과"),(D320))))</formula>
    </cfRule>
    <cfRule type="containsText" dxfId="11863" priority="14435" operator="containsText" text="휴강">
      <formula>NOT(ISERROR(SEARCH(("휴강"),(D320))))</formula>
    </cfRule>
  </conditionalFormatting>
  <conditionalFormatting sqref="D332:M332 G333:M333">
    <cfRule type="containsText" dxfId="11862" priority="14450" operator="containsText" text="기타">
      <formula>NOT(ISERROR(SEARCH(("기타"),(D332))))</formula>
    </cfRule>
    <cfRule type="containsText" dxfId="11861" priority="14449" operator="containsText" text="정규교과">
      <formula>NOT(ISERROR(SEARCH(("정규교과"),(D332))))</formula>
    </cfRule>
    <cfRule type="containsText" dxfId="11860" priority="14448" operator="containsText" text="프로젝트">
      <formula>NOT(ISERROR(SEARCH(("프로젝트"),(D332))))</formula>
    </cfRule>
  </conditionalFormatting>
  <conditionalFormatting sqref="E5">
    <cfRule type="containsText" dxfId="11859" priority="20593" operator="containsText" text="프로젝트">
      <formula>NOT(ISERROR(SEARCH(("프로젝트"),(E5))))</formula>
    </cfRule>
    <cfRule type="containsText" dxfId="11858" priority="20601" operator="containsText" text="기타">
      <formula>NOT(ISERROR(SEARCH(("기타"),(E5))))</formula>
    </cfRule>
    <cfRule type="containsText" dxfId="11857" priority="20600" operator="containsText" text="정규교과">
      <formula>NOT(ISERROR(SEARCH(("정규교과"),(E5))))</formula>
    </cfRule>
    <cfRule type="containsText" dxfId="11856" priority="20599" operator="containsText" text="프로젝트">
      <formula>NOT(ISERROR(SEARCH(("프로젝트"),(E5))))</formula>
    </cfRule>
    <cfRule type="containsText" dxfId="11855" priority="20598" operator="containsText" text="기타">
      <formula>NOT(ISERROR(SEARCH(("기타"),(E5))))</formula>
    </cfRule>
    <cfRule type="containsText" dxfId="11854" priority="20597" operator="containsText" text="정규교과">
      <formula>NOT(ISERROR(SEARCH(("정규교과"),(E5))))</formula>
    </cfRule>
    <cfRule type="containsText" dxfId="11853" priority="20596" operator="containsText" text="프로젝트">
      <formula>NOT(ISERROR(SEARCH(("프로젝트"),(E5))))</formula>
    </cfRule>
    <cfRule type="containsText" dxfId="11852" priority="20595" operator="containsText" text="기타">
      <formula>NOT(ISERROR(SEARCH(("기타"),(E5))))</formula>
    </cfRule>
    <cfRule type="containsText" dxfId="11851" priority="20594" operator="containsText" text="정규교과">
      <formula>NOT(ISERROR(SEARCH(("정규교과"),(E5))))</formula>
    </cfRule>
  </conditionalFormatting>
  <conditionalFormatting sqref="E40">
    <cfRule type="containsText" dxfId="11850" priority="15332" operator="containsText" text="정규교과">
      <formula>NOT(ISERROR(SEARCH(("정규교과"),(E40))))</formula>
    </cfRule>
    <cfRule type="containsText" dxfId="11849" priority="15333" operator="containsText" text="기타">
      <formula>NOT(ISERROR(SEARCH(("기타"),(E40))))</formula>
    </cfRule>
    <cfRule type="containsText" dxfId="11848" priority="15334" operator="containsText" text="프로젝트">
      <formula>NOT(ISERROR(SEARCH(("프로젝트"),(E40))))</formula>
    </cfRule>
    <cfRule type="containsText" dxfId="11847" priority="15335" operator="containsText" text="정규교과">
      <formula>NOT(ISERROR(SEARCH(("정규교과"),(E40))))</formula>
    </cfRule>
    <cfRule type="containsText" dxfId="11846" priority="13866" operator="containsText" text="기타">
      <formula>NOT(ISERROR(SEARCH(("기타"),(E40))))</formula>
    </cfRule>
    <cfRule type="containsText" dxfId="11845" priority="13865" operator="containsText" text="정규교과">
      <formula>NOT(ISERROR(SEARCH(("정규교과"),(E40))))</formula>
    </cfRule>
    <cfRule type="containsText" dxfId="11844" priority="13863" operator="containsText" text="기타">
      <formula>NOT(ISERROR(SEARCH(("기타"),(E40))))</formula>
    </cfRule>
    <cfRule type="containsText" dxfId="11843" priority="13862" operator="containsText" text="정규교과">
      <formula>NOT(ISERROR(SEARCH(("정규교과"),(E40))))</formula>
    </cfRule>
    <cfRule type="containsText" dxfId="11842" priority="13857" operator="containsText" text="기타">
      <formula>NOT(ISERROR(SEARCH(("기타"),(E40))))</formula>
    </cfRule>
    <cfRule type="containsText" dxfId="11841" priority="15339" operator="containsText" text="기타">
      <formula>NOT(ISERROR(SEARCH(("기타"),(E40))))</formula>
    </cfRule>
    <cfRule type="containsText" dxfId="11840" priority="15338" operator="containsText" text="정규교과">
      <formula>NOT(ISERROR(SEARCH(("정규교과"),(E40))))</formula>
    </cfRule>
    <cfRule type="containsText" dxfId="11839" priority="15337" operator="containsText" text="프로젝트">
      <formula>NOT(ISERROR(SEARCH(("프로젝트"),(E40))))</formula>
    </cfRule>
    <cfRule type="containsText" dxfId="11838" priority="15336" operator="containsText" text="기타">
      <formula>NOT(ISERROR(SEARCH(("기타"),(E40))))</formula>
    </cfRule>
    <cfRule type="containsText" dxfId="11837" priority="13856" operator="containsText" text="정규교과">
      <formula>NOT(ISERROR(SEARCH(("정규교과"),(E40))))</formula>
    </cfRule>
    <cfRule type="containsText" dxfId="11836" priority="13855" operator="containsText" text="프로젝트">
      <formula>NOT(ISERROR(SEARCH(("프로젝트"),(E40))))</formula>
    </cfRule>
    <cfRule type="containsText" dxfId="11835" priority="13854" operator="containsText" text="기타">
      <formula>NOT(ISERROR(SEARCH(("기타"),(E40))))</formula>
    </cfRule>
    <cfRule type="containsText" dxfId="11834" priority="13853" operator="containsText" text="정규교과">
      <formula>NOT(ISERROR(SEARCH(("정규교과"),(E40))))</formula>
    </cfRule>
    <cfRule type="containsText" dxfId="11833" priority="13852" operator="containsText" text="프로젝트">
      <formula>NOT(ISERROR(SEARCH(("프로젝트"),(E40))))</formula>
    </cfRule>
    <cfRule type="containsText" dxfId="11832" priority="13851" operator="containsText" text="기타">
      <formula>NOT(ISERROR(SEARCH(("기타"),(E40))))</formula>
    </cfRule>
    <cfRule type="containsText" dxfId="11831" priority="13846" operator="containsText" text="프로젝트">
      <formula>NOT(ISERROR(SEARCH(("프로젝트"),(E40))))</formula>
    </cfRule>
    <cfRule type="containsText" dxfId="11830" priority="13847" operator="containsText" text="정규교과">
      <formula>NOT(ISERROR(SEARCH(("정규교과"),(E40))))</formula>
    </cfRule>
    <cfRule type="containsText" dxfId="11829" priority="13845" operator="containsText" text="기타">
      <formula>NOT(ISERROR(SEARCH(("기타"),(E40))))</formula>
    </cfRule>
    <cfRule type="containsText" dxfId="11828" priority="13848" operator="containsText" text="기타">
      <formula>NOT(ISERROR(SEARCH(("기타"),(E40))))</formula>
    </cfRule>
    <cfRule type="containsText" dxfId="11827" priority="13849" operator="containsText" text="프로젝트">
      <formula>NOT(ISERROR(SEARCH(("프로젝트"),(E40))))</formula>
    </cfRule>
    <cfRule type="containsText" dxfId="11826" priority="13850" operator="containsText" text="정규교과">
      <formula>NOT(ISERROR(SEARCH(("정규교과"),(E40))))</formula>
    </cfRule>
    <cfRule type="containsText" dxfId="11825" priority="13844" operator="containsText" text="정규교과">
      <formula>NOT(ISERROR(SEARCH(("정규교과"),(E40))))</formula>
    </cfRule>
    <cfRule type="containsText" dxfId="11824" priority="13858" operator="containsText" text="프로젝트">
      <formula>NOT(ISERROR(SEARCH(("프로젝트"),(E40))))</formula>
    </cfRule>
    <cfRule type="containsText" dxfId="11823" priority="13843" operator="containsText" text="프로젝트">
      <formula>NOT(ISERROR(SEARCH(("프로젝트"),(E40))))</formula>
    </cfRule>
    <cfRule type="containsText" dxfId="11822" priority="13842" operator="containsText" text="기타">
      <formula>NOT(ISERROR(SEARCH(("기타"),(E40))))</formula>
    </cfRule>
    <cfRule type="containsText" dxfId="11821" priority="13841" operator="containsText" text="정규교과">
      <formula>NOT(ISERROR(SEARCH(("정규교과"),(E40))))</formula>
    </cfRule>
    <cfRule type="containsText" dxfId="11820" priority="13840" operator="containsText" text="프로젝트">
      <formula>NOT(ISERROR(SEARCH(("프로젝트"),(E40))))</formula>
    </cfRule>
    <cfRule type="containsText" dxfId="11819" priority="13839" operator="containsText" text="기타">
      <formula>NOT(ISERROR(SEARCH(("기타"),(E40))))</formula>
    </cfRule>
    <cfRule type="containsText" dxfId="11818" priority="13838" operator="containsText" text="정규교과">
      <formula>NOT(ISERROR(SEARCH(("정규교과"),(E40))))</formula>
    </cfRule>
    <cfRule type="containsText" dxfId="11817" priority="13837" operator="containsText" text="프로젝트">
      <formula>NOT(ISERROR(SEARCH(("프로젝트"),(E40))))</formula>
    </cfRule>
    <cfRule type="containsText" dxfId="11816" priority="13836" operator="containsText" text="기타">
      <formula>NOT(ISERROR(SEARCH(("기타"),(E40))))</formula>
    </cfRule>
    <cfRule type="containsText" dxfId="11815" priority="13835" operator="containsText" text="정규교과">
      <formula>NOT(ISERROR(SEARCH(("정규교과"),(E40))))</formula>
    </cfRule>
    <cfRule type="containsText" dxfId="11814" priority="13834" operator="containsText" text="프로젝트">
      <formula>NOT(ISERROR(SEARCH(("프로젝트"),(E40))))</formula>
    </cfRule>
    <cfRule type="containsText" dxfId="11813" priority="13860" operator="containsText" text="기타">
      <formula>NOT(ISERROR(SEARCH(("기타"),(E40))))</formula>
    </cfRule>
    <cfRule type="containsText" dxfId="11812" priority="13861" operator="containsText" text="프로젝트">
      <formula>NOT(ISERROR(SEARCH(("프로젝트"),(E40))))</formula>
    </cfRule>
    <cfRule type="containsText" dxfId="11811" priority="13833" operator="containsText" text="기타">
      <formula>NOT(ISERROR(SEARCH(("기타"),(E40))))</formula>
    </cfRule>
    <cfRule type="containsText" dxfId="11810" priority="13832" operator="containsText" text="정규교과">
      <formula>NOT(ISERROR(SEARCH(("정규교과"),(E40))))</formula>
    </cfRule>
    <cfRule type="containsText" dxfId="11809" priority="13831" operator="containsText" text="프로젝트">
      <formula>NOT(ISERROR(SEARCH(("프로젝트"),(E40))))</formula>
    </cfRule>
    <cfRule type="containsText" dxfId="11808" priority="13830" operator="containsText" text="기타">
      <formula>NOT(ISERROR(SEARCH(("기타"),(E40))))</formula>
    </cfRule>
    <cfRule type="containsText" dxfId="11807" priority="13829" operator="containsText" text="정규교과">
      <formula>NOT(ISERROR(SEARCH(("정규교과"),(E40))))</formula>
    </cfRule>
    <cfRule type="containsText" dxfId="11806" priority="13828" operator="containsText" text="프로젝트">
      <formula>NOT(ISERROR(SEARCH(("프로젝트"),(E40))))</formula>
    </cfRule>
    <cfRule type="containsText" dxfId="11805" priority="13827" operator="containsText" text="기타">
      <formula>NOT(ISERROR(SEARCH(("기타"),(E40))))</formula>
    </cfRule>
    <cfRule type="containsText" dxfId="11804" priority="13859" operator="containsText" text="정규교과">
      <formula>NOT(ISERROR(SEARCH(("정규교과"),(E40))))</formula>
    </cfRule>
    <cfRule type="containsText" dxfId="11803" priority="13825" operator="containsText" text="프로젝트">
      <formula>NOT(ISERROR(SEARCH(("프로젝트"),(E40))))</formula>
    </cfRule>
    <cfRule type="containsText" dxfId="11802" priority="13824" operator="containsText" text="기타">
      <formula>NOT(ISERROR(SEARCH(("기타"),(E40))))</formula>
    </cfRule>
    <cfRule type="containsText" dxfId="11801" priority="13823" operator="containsText" text="정규교과">
      <formula>NOT(ISERROR(SEARCH(("정규교과"),(E40))))</formula>
    </cfRule>
    <cfRule type="containsText" dxfId="11800" priority="13822" operator="containsText" text="프로젝트">
      <formula>NOT(ISERROR(SEARCH(("프로젝트"),(E40))))</formula>
    </cfRule>
    <cfRule type="containsText" dxfId="11799" priority="13821" operator="containsText" text="기타">
      <formula>NOT(ISERROR(SEARCH(("기타"),(E40))))</formula>
    </cfRule>
    <cfRule type="containsText" dxfId="11798" priority="13820" operator="containsText" text="정규교과">
      <formula>NOT(ISERROR(SEARCH(("정규교과"),(E40))))</formula>
    </cfRule>
    <cfRule type="containsText" dxfId="11797" priority="13819" operator="containsText" text="프로젝트">
      <formula>NOT(ISERROR(SEARCH(("프로젝트"),(E40))))</formula>
    </cfRule>
    <cfRule type="containsText" dxfId="11796" priority="13818" operator="containsText" text="기타">
      <formula>NOT(ISERROR(SEARCH(("기타"),(E40))))</formula>
    </cfRule>
    <cfRule type="containsText" dxfId="11795" priority="13817" operator="containsText" text="정규교과">
      <formula>NOT(ISERROR(SEARCH(("정규교과"),(E40))))</formula>
    </cfRule>
    <cfRule type="containsText" dxfId="11794" priority="13816" operator="containsText" text="프로젝트">
      <formula>NOT(ISERROR(SEARCH(("프로젝트"),(E40))))</formula>
    </cfRule>
    <cfRule type="containsText" dxfId="11793" priority="13815" operator="containsText" text="기타">
      <formula>NOT(ISERROR(SEARCH(("기타"),(E40))))</formula>
    </cfRule>
    <cfRule type="containsText" dxfId="11792" priority="13814" operator="containsText" text="정규교과">
      <formula>NOT(ISERROR(SEARCH(("정규교과"),(E40))))</formula>
    </cfRule>
    <cfRule type="containsText" dxfId="11791" priority="13813" operator="containsText" text="프로젝트">
      <formula>NOT(ISERROR(SEARCH(("프로젝트"),(E40))))</formula>
    </cfRule>
    <cfRule type="containsText" dxfId="11790" priority="13812" operator="containsText" text="기타">
      <formula>NOT(ISERROR(SEARCH(("기타"),(E40))))</formula>
    </cfRule>
    <cfRule type="containsText" dxfId="11789" priority="13811" operator="containsText" text="정규교과">
      <formula>NOT(ISERROR(SEARCH(("정규교과"),(E40))))</formula>
    </cfRule>
    <cfRule type="containsText" dxfId="11788" priority="13810" operator="containsText" text="프로젝트">
      <formula>NOT(ISERROR(SEARCH(("프로젝트"),(E40))))</formula>
    </cfRule>
    <cfRule type="containsText" dxfId="11787" priority="13809" operator="containsText" text="기타">
      <formula>NOT(ISERROR(SEARCH(("기타"),(E40))))</formula>
    </cfRule>
    <cfRule type="containsText" dxfId="11786" priority="13808" operator="containsText" text="정규교과">
      <formula>NOT(ISERROR(SEARCH(("정규교과"),(E40))))</formula>
    </cfRule>
    <cfRule type="containsText" dxfId="11785" priority="13807" operator="containsText" text="프로젝트">
      <formula>NOT(ISERROR(SEARCH(("프로젝트"),(E40))))</formula>
    </cfRule>
    <cfRule type="containsText" dxfId="11784" priority="13806" operator="containsText" text="기타">
      <formula>NOT(ISERROR(SEARCH(("기타"),(E40))))</formula>
    </cfRule>
    <cfRule type="containsText" dxfId="11783" priority="13805" operator="containsText" text="정규교과">
      <formula>NOT(ISERROR(SEARCH(("정규교과"),(E40))))</formula>
    </cfRule>
    <cfRule type="containsText" dxfId="11782" priority="13804" operator="containsText" text="프로젝트">
      <formula>NOT(ISERROR(SEARCH(("프로젝트"),(E40))))</formula>
    </cfRule>
    <cfRule type="containsText" dxfId="11781" priority="13803" operator="containsText" text="기타">
      <formula>NOT(ISERROR(SEARCH(("기타"),(E40))))</formula>
    </cfRule>
    <cfRule type="containsText" dxfId="11780" priority="13802" operator="containsText" text="정규교과">
      <formula>NOT(ISERROR(SEARCH(("정규교과"),(E40))))</formula>
    </cfRule>
    <cfRule type="containsText" dxfId="11779" priority="13826" operator="containsText" text="정규교과">
      <formula>NOT(ISERROR(SEARCH(("정규교과"),(E40))))</formula>
    </cfRule>
  </conditionalFormatting>
  <conditionalFormatting sqref="E44">
    <cfRule type="containsText" dxfId="11778" priority="13602" operator="containsText" text="기타">
      <formula>NOT(ISERROR(SEARCH(("기타"),(E44))))</formula>
    </cfRule>
    <cfRule type="containsText" dxfId="11777" priority="13601" operator="containsText" text="정규교과">
      <formula>NOT(ISERROR(SEARCH(("정규교과"),(E44))))</formula>
    </cfRule>
    <cfRule type="containsText" dxfId="11776" priority="13600" operator="containsText" text="프로젝트">
      <formula>NOT(ISERROR(SEARCH(("프로젝트"),(E44))))</formula>
    </cfRule>
    <cfRule type="containsText" dxfId="11775" priority="13599" operator="containsText" text="기타">
      <formula>NOT(ISERROR(SEARCH(("기타"),(E44))))</formula>
    </cfRule>
    <cfRule type="containsText" dxfId="11774" priority="13598" operator="containsText" text="정규교과">
      <formula>NOT(ISERROR(SEARCH(("정규교과"),(E44))))</formula>
    </cfRule>
    <cfRule type="containsText" dxfId="11773" priority="13597" operator="containsText" text="프로젝트">
      <formula>NOT(ISERROR(SEARCH(("프로젝트"),(E44))))</formula>
    </cfRule>
    <cfRule type="containsText" dxfId="11772" priority="13596" operator="containsText" text="기타">
      <formula>NOT(ISERROR(SEARCH(("기타"),(E44))))</formula>
    </cfRule>
    <cfRule type="containsText" dxfId="11771" priority="13595" operator="containsText" text="정규교과">
      <formula>NOT(ISERROR(SEARCH(("정규교과"),(E44))))</formula>
    </cfRule>
    <cfRule type="containsText" dxfId="11770" priority="13636" operator="containsText" text="프로젝트">
      <formula>NOT(ISERROR(SEARCH(("프로젝트"),(E44))))</formula>
    </cfRule>
    <cfRule type="containsText" dxfId="11769" priority="13635" operator="containsText" text="기타">
      <formula>NOT(ISERROR(SEARCH(("기타"),(E44))))</formula>
    </cfRule>
    <cfRule type="containsText" dxfId="11768" priority="13634" operator="containsText" text="정규교과">
      <formula>NOT(ISERROR(SEARCH(("정규교과"),(E44))))</formula>
    </cfRule>
    <cfRule type="containsText" dxfId="11767" priority="13633" operator="containsText" text="프로젝트">
      <formula>NOT(ISERROR(SEARCH(("프로젝트"),(E44))))</formula>
    </cfRule>
    <cfRule type="containsText" dxfId="11766" priority="13632" operator="containsText" text="기타">
      <formula>NOT(ISERROR(SEARCH(("기타"),(E44))))</formula>
    </cfRule>
    <cfRule type="containsText" dxfId="11765" priority="13631" operator="containsText" text="정규교과">
      <formula>NOT(ISERROR(SEARCH(("정규교과"),(E44))))</formula>
    </cfRule>
    <cfRule type="containsText" dxfId="11764" priority="13630" operator="containsText" text="프로젝트">
      <formula>NOT(ISERROR(SEARCH(("프로젝트"),(E44))))</formula>
    </cfRule>
    <cfRule type="containsText" dxfId="11763" priority="13629" operator="containsText" text="기타">
      <formula>NOT(ISERROR(SEARCH(("기타"),(E44))))</formula>
    </cfRule>
    <cfRule type="containsText" dxfId="11762" priority="13628" operator="containsText" text="정규교과">
      <formula>NOT(ISERROR(SEARCH(("정규교과"),(E44))))</formula>
    </cfRule>
    <cfRule type="containsText" dxfId="11761" priority="13627" operator="containsText" text="프로젝트">
      <formula>NOT(ISERROR(SEARCH(("프로젝트"),(E44))))</formula>
    </cfRule>
    <cfRule type="containsText" dxfId="11760" priority="13626" operator="containsText" text="기타">
      <formula>NOT(ISERROR(SEARCH(("기타"),(E44))))</formula>
    </cfRule>
    <cfRule type="containsText" dxfId="11759" priority="13625" operator="containsText" text="정규교과">
      <formula>NOT(ISERROR(SEARCH(("정규교과"),(E44))))</formula>
    </cfRule>
    <cfRule type="containsText" dxfId="11758" priority="13624" operator="containsText" text="프로젝트">
      <formula>NOT(ISERROR(SEARCH(("프로젝트"),(E44))))</formula>
    </cfRule>
    <cfRule type="containsText" dxfId="11757" priority="13623" operator="containsText" text="기타">
      <formula>NOT(ISERROR(SEARCH(("기타"),(E44))))</formula>
    </cfRule>
    <cfRule type="containsText" dxfId="11756" priority="13622" operator="containsText" text="정규교과">
      <formula>NOT(ISERROR(SEARCH(("정규교과"),(E44))))</formula>
    </cfRule>
    <cfRule type="containsText" dxfId="11755" priority="13621" operator="containsText" text="프로젝트">
      <formula>NOT(ISERROR(SEARCH(("프로젝트"),(E44))))</formula>
    </cfRule>
    <cfRule type="containsText" dxfId="11754" priority="13620" operator="containsText" text="기타">
      <formula>NOT(ISERROR(SEARCH(("기타"),(E44))))</formula>
    </cfRule>
    <cfRule type="containsText" dxfId="11753" priority="13619" operator="containsText" text="정규교과">
      <formula>NOT(ISERROR(SEARCH(("정규교과"),(E44))))</formula>
    </cfRule>
    <cfRule type="containsText" dxfId="11752" priority="13618" operator="containsText" text="프로젝트">
      <formula>NOT(ISERROR(SEARCH(("프로젝트"),(E44))))</formula>
    </cfRule>
    <cfRule type="containsText" dxfId="11751" priority="13617" operator="containsText" text="기타">
      <formula>NOT(ISERROR(SEARCH(("기타"),(E44))))</formula>
    </cfRule>
    <cfRule type="containsText" dxfId="11750" priority="13616" operator="containsText" text="정규교과">
      <formula>NOT(ISERROR(SEARCH(("정규교과"),(E44))))</formula>
    </cfRule>
    <cfRule type="containsText" dxfId="11749" priority="13615" operator="containsText" text="프로젝트">
      <formula>NOT(ISERROR(SEARCH(("프로젝트"),(E44))))</formula>
    </cfRule>
    <cfRule type="containsText" dxfId="11748" priority="13614" operator="containsText" text="기타">
      <formula>NOT(ISERROR(SEARCH(("기타"),(E44))))</formula>
    </cfRule>
    <cfRule type="containsText" dxfId="11747" priority="13613" operator="containsText" text="정규교과">
      <formula>NOT(ISERROR(SEARCH(("정규교과"),(E44))))</formula>
    </cfRule>
    <cfRule type="containsText" dxfId="11746" priority="13612" operator="containsText" text="프로젝트">
      <formula>NOT(ISERROR(SEARCH(("프로젝트"),(E44))))</formula>
    </cfRule>
    <cfRule type="containsText" dxfId="11745" priority="13611" operator="containsText" text="기타">
      <formula>NOT(ISERROR(SEARCH(("기타"),(E44))))</formula>
    </cfRule>
    <cfRule type="containsText" dxfId="11744" priority="13610" operator="containsText" text="정규교과">
      <formula>NOT(ISERROR(SEARCH(("정규교과"),(E44))))</formula>
    </cfRule>
    <cfRule type="containsText" dxfId="11743" priority="13609" operator="containsText" text="프로젝트">
      <formula>NOT(ISERROR(SEARCH(("프로젝트"),(E44))))</formula>
    </cfRule>
    <cfRule type="containsText" dxfId="11742" priority="13608" operator="containsText" text="기타">
      <formula>NOT(ISERROR(SEARCH(("기타"),(E44))))</formula>
    </cfRule>
    <cfRule type="containsText" dxfId="11741" priority="13607" operator="containsText" text="정규교과">
      <formula>NOT(ISERROR(SEARCH(("정규교과"),(E44))))</formula>
    </cfRule>
    <cfRule type="containsText" dxfId="11740" priority="13606" operator="containsText" text="프로젝트">
      <formula>NOT(ISERROR(SEARCH(("프로젝트"),(E44))))</formula>
    </cfRule>
    <cfRule type="containsText" dxfId="11739" priority="13605" operator="containsText" text="기타">
      <formula>NOT(ISERROR(SEARCH(("기타"),(E44))))</formula>
    </cfRule>
    <cfRule type="containsText" dxfId="11738" priority="13604" operator="containsText" text="정규교과">
      <formula>NOT(ISERROR(SEARCH(("정규교과"),(E44))))</formula>
    </cfRule>
    <cfRule type="containsText" dxfId="11737" priority="13668" operator="containsText" text="기타">
      <formula>NOT(ISERROR(SEARCH(("기타"),(E44))))</formula>
    </cfRule>
    <cfRule type="containsText" dxfId="11736" priority="13667" operator="containsText" text="정규교과">
      <formula>NOT(ISERROR(SEARCH(("정규교과"),(E44))))</formula>
    </cfRule>
    <cfRule type="containsText" dxfId="11735" priority="13665" operator="containsText" text="기타">
      <formula>NOT(ISERROR(SEARCH(("기타"),(E44))))</formula>
    </cfRule>
    <cfRule type="containsText" dxfId="11734" priority="13664" operator="containsText" text="정규교과">
      <formula>NOT(ISERROR(SEARCH(("정규교과"),(E44))))</formula>
    </cfRule>
    <cfRule type="containsText" dxfId="11733" priority="13663" operator="containsText" text="프로젝트">
      <formula>NOT(ISERROR(SEARCH(("프로젝트"),(E44))))</formula>
    </cfRule>
    <cfRule type="containsText" dxfId="11732" priority="13662" operator="containsText" text="기타">
      <formula>NOT(ISERROR(SEARCH(("기타"),(E44))))</formula>
    </cfRule>
    <cfRule type="containsText" dxfId="11731" priority="13661" operator="containsText" text="정규교과">
      <formula>NOT(ISERROR(SEARCH(("정규교과"),(E44))))</formula>
    </cfRule>
    <cfRule type="containsText" dxfId="11730" priority="13660" operator="containsText" text="프로젝트">
      <formula>NOT(ISERROR(SEARCH(("프로젝트"),(E44))))</formula>
    </cfRule>
    <cfRule type="containsText" dxfId="11729" priority="13659" operator="containsText" text="기타">
      <formula>NOT(ISERROR(SEARCH(("기타"),(E44))))</formula>
    </cfRule>
    <cfRule type="containsText" dxfId="11728" priority="13658" operator="containsText" text="정규교과">
      <formula>NOT(ISERROR(SEARCH(("정규교과"),(E44))))</formula>
    </cfRule>
    <cfRule type="containsText" dxfId="11727" priority="13657" operator="containsText" text="프로젝트">
      <formula>NOT(ISERROR(SEARCH(("프로젝트"),(E44))))</formula>
    </cfRule>
    <cfRule type="containsText" dxfId="11726" priority="13656" operator="containsText" text="기타">
      <formula>NOT(ISERROR(SEARCH(("기타"),(E44))))</formula>
    </cfRule>
    <cfRule type="containsText" dxfId="11725" priority="13655" operator="containsText" text="정규교과">
      <formula>NOT(ISERROR(SEARCH(("정규교과"),(E44))))</formula>
    </cfRule>
    <cfRule type="containsText" dxfId="11724" priority="13654" operator="containsText" text="프로젝트">
      <formula>NOT(ISERROR(SEARCH(("프로젝트"),(E44))))</formula>
    </cfRule>
    <cfRule type="containsText" dxfId="11723" priority="13653" operator="containsText" text="기타">
      <formula>NOT(ISERROR(SEARCH(("기타"),(E44))))</formula>
    </cfRule>
    <cfRule type="containsText" dxfId="11722" priority="13652" operator="containsText" text="정규교과">
      <formula>NOT(ISERROR(SEARCH(("정규교과"),(E44))))</formula>
    </cfRule>
    <cfRule type="containsText" dxfId="11721" priority="13651" operator="containsText" text="프로젝트">
      <formula>NOT(ISERROR(SEARCH(("프로젝트"),(E44))))</formula>
    </cfRule>
    <cfRule type="containsText" dxfId="11720" priority="13650" operator="containsText" text="기타">
      <formula>NOT(ISERROR(SEARCH(("기타"),(E44))))</formula>
    </cfRule>
    <cfRule type="containsText" dxfId="11719" priority="13649" operator="containsText" text="정규교과">
      <formula>NOT(ISERROR(SEARCH(("정규교과"),(E44))))</formula>
    </cfRule>
    <cfRule type="containsText" dxfId="11718" priority="13648" operator="containsText" text="프로젝트">
      <formula>NOT(ISERROR(SEARCH(("프로젝트"),(E44))))</formula>
    </cfRule>
    <cfRule type="containsText" dxfId="11717" priority="13647" operator="containsText" text="기타">
      <formula>NOT(ISERROR(SEARCH(("기타"),(E44))))</formula>
    </cfRule>
    <cfRule type="containsText" dxfId="11716" priority="13646" operator="containsText" text="정규교과">
      <formula>NOT(ISERROR(SEARCH(("정규교과"),(E44))))</formula>
    </cfRule>
    <cfRule type="containsText" dxfId="11715" priority="13645" operator="containsText" text="프로젝트">
      <formula>NOT(ISERROR(SEARCH(("프로젝트"),(E44))))</formula>
    </cfRule>
    <cfRule type="containsText" dxfId="11714" priority="13644" operator="containsText" text="기타">
      <formula>NOT(ISERROR(SEARCH(("기타"),(E44))))</formula>
    </cfRule>
    <cfRule type="containsText" dxfId="11713" priority="13643" operator="containsText" text="정규교과">
      <formula>NOT(ISERROR(SEARCH(("정규교과"),(E44))))</formula>
    </cfRule>
    <cfRule type="containsText" dxfId="11712" priority="13642" operator="containsText" text="프로젝트">
      <formula>NOT(ISERROR(SEARCH(("프로젝트"),(E44))))</formula>
    </cfRule>
    <cfRule type="containsText" dxfId="11711" priority="13641" operator="containsText" text="기타">
      <formula>NOT(ISERROR(SEARCH(("기타"),(E44))))</formula>
    </cfRule>
    <cfRule type="containsText" dxfId="11710" priority="13640" operator="containsText" text="정규교과">
      <formula>NOT(ISERROR(SEARCH(("정규교과"),(E44))))</formula>
    </cfRule>
    <cfRule type="containsText" dxfId="11709" priority="13603" operator="containsText" text="프로젝트">
      <formula>NOT(ISERROR(SEARCH(("프로젝트"),(E44))))</formula>
    </cfRule>
    <cfRule type="containsText" dxfId="11708" priority="13639" operator="containsText" text="프로젝트">
      <formula>NOT(ISERROR(SEARCH(("프로젝트"),(E44))))</formula>
    </cfRule>
    <cfRule type="containsText" dxfId="11707" priority="13638" operator="containsText" text="기타">
      <formula>NOT(ISERROR(SEARCH(("기타"),(E44))))</formula>
    </cfRule>
    <cfRule type="containsText" dxfId="11706" priority="13637" operator="containsText" text="정규교과">
      <formula>NOT(ISERROR(SEARCH(("정규교과"),(E44))))</formula>
    </cfRule>
  </conditionalFormatting>
  <conditionalFormatting sqref="E48">
    <cfRule type="containsText" dxfId="11705" priority="13418" operator="containsText" text="정규교과">
      <formula>NOT(ISERROR(SEARCH(("정규교과"),(E48))))</formula>
    </cfRule>
    <cfRule type="containsText" dxfId="11704" priority="13417" operator="containsText" text="프로젝트">
      <formula>NOT(ISERROR(SEARCH(("프로젝트"),(E48))))</formula>
    </cfRule>
    <cfRule type="containsText" dxfId="11703" priority="13416" operator="containsText" text="기타">
      <formula>NOT(ISERROR(SEARCH(("기타"),(E48))))</formula>
    </cfRule>
    <cfRule type="containsText" dxfId="11702" priority="13415" operator="containsText" text="정규교과">
      <formula>NOT(ISERROR(SEARCH(("정규교과"),(E48))))</formula>
    </cfRule>
    <cfRule type="containsText" dxfId="11701" priority="13414" operator="containsText" text="프로젝트">
      <formula>NOT(ISERROR(SEARCH(("프로젝트"),(E48))))</formula>
    </cfRule>
    <cfRule type="containsText" dxfId="11700" priority="13413" operator="containsText" text="기타">
      <formula>NOT(ISERROR(SEARCH(("기타"),(E48))))</formula>
    </cfRule>
    <cfRule type="containsText" dxfId="11699" priority="13412" operator="containsText" text="정규교과">
      <formula>NOT(ISERROR(SEARCH(("정규교과"),(E48))))</formula>
    </cfRule>
    <cfRule type="containsText" dxfId="11698" priority="13411" operator="containsText" text="프로젝트">
      <formula>NOT(ISERROR(SEARCH(("프로젝트"),(E48))))</formula>
    </cfRule>
    <cfRule type="containsText" dxfId="11697" priority="13461" operator="containsText" text="기타">
      <formula>NOT(ISERROR(SEARCH(("기타"),(E48))))</formula>
    </cfRule>
    <cfRule type="containsText" dxfId="11696" priority="13450" operator="containsText" text="프로젝트">
      <formula>NOT(ISERROR(SEARCH(("프로젝트"),(E48))))</formula>
    </cfRule>
    <cfRule type="containsText" dxfId="11695" priority="13437" operator="containsText" text="기타">
      <formula>NOT(ISERROR(SEARCH(("기타"),(E48))))</formula>
    </cfRule>
    <cfRule type="containsText" dxfId="11694" priority="13438" operator="containsText" text="프로젝트">
      <formula>NOT(ISERROR(SEARCH(("프로젝트"),(E48))))</formula>
    </cfRule>
    <cfRule type="containsText" dxfId="11693" priority="13439" operator="containsText" text="정규교과">
      <formula>NOT(ISERROR(SEARCH(("정규교과"),(E48))))</formula>
    </cfRule>
    <cfRule type="containsText" dxfId="11692" priority="13440" operator="containsText" text="기타">
      <formula>NOT(ISERROR(SEARCH(("기타"),(E48))))</formula>
    </cfRule>
    <cfRule type="containsText" dxfId="11691" priority="13441" operator="containsText" text="프로젝트">
      <formula>NOT(ISERROR(SEARCH(("프로젝트"),(E48))))</formula>
    </cfRule>
    <cfRule type="containsText" dxfId="11690" priority="13442" operator="containsText" text="정규교과">
      <formula>NOT(ISERROR(SEARCH(("정규교과"),(E48))))</formula>
    </cfRule>
    <cfRule type="containsText" dxfId="11689" priority="13443" operator="containsText" text="기타">
      <formula>NOT(ISERROR(SEARCH(("기타"),(E48))))</formula>
    </cfRule>
    <cfRule type="containsText" dxfId="11688" priority="13444" operator="containsText" text="프로젝트">
      <formula>NOT(ISERROR(SEARCH(("프로젝트"),(E48))))</formula>
    </cfRule>
    <cfRule type="containsText" dxfId="11687" priority="13445" operator="containsText" text="정규교과">
      <formula>NOT(ISERROR(SEARCH(("정규교과"),(E48))))</formula>
    </cfRule>
    <cfRule type="containsText" dxfId="11686" priority="13446" operator="containsText" text="기타">
      <formula>NOT(ISERROR(SEARCH(("기타"),(E48))))</formula>
    </cfRule>
    <cfRule type="containsText" dxfId="11685" priority="13447" operator="containsText" text="프로젝트">
      <formula>NOT(ISERROR(SEARCH(("프로젝트"),(E48))))</formula>
    </cfRule>
    <cfRule type="containsText" dxfId="11684" priority="13448" operator="containsText" text="정규교과">
      <formula>NOT(ISERROR(SEARCH(("정규교과"),(E48))))</formula>
    </cfRule>
    <cfRule type="containsText" dxfId="11683" priority="13449" operator="containsText" text="기타">
      <formula>NOT(ISERROR(SEARCH(("기타"),(E48))))</formula>
    </cfRule>
    <cfRule type="containsText" dxfId="11682" priority="13451" operator="containsText" text="정규교과">
      <formula>NOT(ISERROR(SEARCH(("정규교과"),(E48))))</formula>
    </cfRule>
    <cfRule type="containsText" dxfId="11681" priority="13452" operator="containsText" text="기타">
      <formula>NOT(ISERROR(SEARCH(("기타"),(E48))))</formula>
    </cfRule>
    <cfRule type="containsText" dxfId="11680" priority="13453" operator="containsText" text="프로젝트">
      <formula>NOT(ISERROR(SEARCH(("프로젝트"),(E48))))</formula>
    </cfRule>
    <cfRule type="containsText" dxfId="11679" priority="13454" operator="containsText" text="정규교과">
      <formula>NOT(ISERROR(SEARCH(("정규교과"),(E48))))</formula>
    </cfRule>
    <cfRule type="containsText" dxfId="11678" priority="13455" operator="containsText" text="기타">
      <formula>NOT(ISERROR(SEARCH(("기타"),(E48))))</formula>
    </cfRule>
    <cfRule type="containsText" dxfId="11677" priority="13456" operator="containsText" text="프로젝트">
      <formula>NOT(ISERROR(SEARCH(("프로젝트"),(E48))))</formula>
    </cfRule>
    <cfRule type="containsText" dxfId="11676" priority="13457" operator="containsText" text="정규교과">
      <formula>NOT(ISERROR(SEARCH(("정규교과"),(E48))))</formula>
    </cfRule>
    <cfRule type="containsText" dxfId="11675" priority="13458" operator="containsText" text="기타">
      <formula>NOT(ISERROR(SEARCH(("기타"),(E48))))</formula>
    </cfRule>
    <cfRule type="containsText" dxfId="11674" priority="13436" operator="containsText" text="정규교과">
      <formula>NOT(ISERROR(SEARCH(("정규교과"),(E48))))</formula>
    </cfRule>
    <cfRule type="containsText" dxfId="11673" priority="13435" operator="containsText" text="프로젝트">
      <formula>NOT(ISERROR(SEARCH(("프로젝트"),(E48))))</formula>
    </cfRule>
    <cfRule type="containsText" dxfId="11672" priority="13434" operator="containsText" text="기타">
      <formula>NOT(ISERROR(SEARCH(("기타"),(E48))))</formula>
    </cfRule>
    <cfRule type="containsText" dxfId="11671" priority="13460" operator="containsText" text="정규교과">
      <formula>NOT(ISERROR(SEARCH(("정규교과"),(E48))))</formula>
    </cfRule>
    <cfRule type="containsText" dxfId="11670" priority="13432" operator="containsText" text="프로젝트">
      <formula>NOT(ISERROR(SEARCH(("프로젝트"),(E48))))</formula>
    </cfRule>
    <cfRule type="containsText" dxfId="11669" priority="13431" operator="containsText" text="기타">
      <formula>NOT(ISERROR(SEARCH(("기타"),(E48))))</formula>
    </cfRule>
    <cfRule type="containsText" dxfId="11668" priority="13430" operator="containsText" text="정규교과">
      <formula>NOT(ISERROR(SEARCH(("정규교과"),(E48))))</formula>
    </cfRule>
    <cfRule type="containsText" dxfId="11667" priority="13429" operator="containsText" text="프로젝트">
      <formula>NOT(ISERROR(SEARCH(("프로젝트"),(E48))))</formula>
    </cfRule>
    <cfRule type="containsText" dxfId="11666" priority="13428" operator="containsText" text="기타">
      <formula>NOT(ISERROR(SEARCH(("기타"),(E48))))</formula>
    </cfRule>
    <cfRule type="containsText" dxfId="11665" priority="13427" operator="containsText" text="정규교과">
      <formula>NOT(ISERROR(SEARCH(("정규교과"),(E48))))</formula>
    </cfRule>
    <cfRule type="containsText" dxfId="11664" priority="13426" operator="containsText" text="프로젝트">
      <formula>NOT(ISERROR(SEARCH(("프로젝트"),(E48))))</formula>
    </cfRule>
    <cfRule type="containsText" dxfId="11663" priority="13425" operator="containsText" text="기타">
      <formula>NOT(ISERROR(SEARCH(("기타"),(E48))))</formula>
    </cfRule>
    <cfRule type="containsText" dxfId="11662" priority="13424" operator="containsText" text="정규교과">
      <formula>NOT(ISERROR(SEARCH(("정규교과"),(E48))))</formula>
    </cfRule>
    <cfRule type="containsText" dxfId="11661" priority="13423" operator="containsText" text="프로젝트">
      <formula>NOT(ISERROR(SEARCH(("프로젝트"),(E48))))</formula>
    </cfRule>
    <cfRule type="containsText" dxfId="11660" priority="13422" operator="containsText" text="기타">
      <formula>NOT(ISERROR(SEARCH(("기타"),(E48))))</formula>
    </cfRule>
    <cfRule type="containsText" dxfId="11659" priority="13421" operator="containsText" text="정규교과">
      <formula>NOT(ISERROR(SEARCH(("정규교과"),(E48))))</formula>
    </cfRule>
    <cfRule type="containsText" dxfId="11658" priority="13420" operator="containsText" text="프로젝트">
      <formula>NOT(ISERROR(SEARCH(("프로젝트"),(E48))))</formula>
    </cfRule>
    <cfRule type="containsText" dxfId="11657" priority="13410" operator="containsText" text="기타">
      <formula>NOT(ISERROR(SEARCH(("기타"),(E48))))</formula>
    </cfRule>
    <cfRule type="containsText" dxfId="11656" priority="13409" operator="containsText" text="정규교과">
      <formula>NOT(ISERROR(SEARCH(("정규교과"),(E48))))</formula>
    </cfRule>
    <cfRule type="containsText" dxfId="11655" priority="13408" operator="containsText" text="프로젝트">
      <formula>NOT(ISERROR(SEARCH(("프로젝트"),(E48))))</formula>
    </cfRule>
    <cfRule type="containsText" dxfId="11654" priority="13407" operator="containsText" text="기타">
      <formula>NOT(ISERROR(SEARCH(("기타"),(E48))))</formula>
    </cfRule>
    <cfRule type="containsText" dxfId="11653" priority="13406" operator="containsText" text="정규교과">
      <formula>NOT(ISERROR(SEARCH(("정규교과"),(E48))))</formula>
    </cfRule>
    <cfRule type="containsText" dxfId="11652" priority="13405" operator="containsText" text="프로젝트">
      <formula>NOT(ISERROR(SEARCH(("프로젝트"),(E48))))</formula>
    </cfRule>
    <cfRule type="containsText" dxfId="11651" priority="13404" operator="containsText" text="기타">
      <formula>NOT(ISERROR(SEARCH(("기타"),(E48))))</formula>
    </cfRule>
    <cfRule type="containsText" dxfId="11650" priority="13403" operator="containsText" text="정규교과">
      <formula>NOT(ISERROR(SEARCH(("정규교과"),(E48))))</formula>
    </cfRule>
    <cfRule type="containsText" dxfId="11649" priority="13402" operator="containsText" text="프로젝트">
      <formula>NOT(ISERROR(SEARCH(("프로젝트"),(E48))))</formula>
    </cfRule>
    <cfRule type="containsText" dxfId="11648" priority="13401" operator="containsText" text="기타">
      <formula>NOT(ISERROR(SEARCH(("기타"),(E48))))</formula>
    </cfRule>
    <cfRule type="containsText" dxfId="11647" priority="13400" operator="containsText" text="정규교과">
      <formula>NOT(ISERROR(SEARCH(("정규교과"),(E48))))</formula>
    </cfRule>
    <cfRule type="containsText" dxfId="11646" priority="13399" operator="containsText" text="프로젝트">
      <formula>NOT(ISERROR(SEARCH(("프로젝트"),(E48))))</formula>
    </cfRule>
    <cfRule type="containsText" dxfId="11645" priority="13398" operator="containsText" text="기타">
      <formula>NOT(ISERROR(SEARCH(("기타"),(E48))))</formula>
    </cfRule>
    <cfRule type="containsText" dxfId="11644" priority="13397" operator="containsText" text="정규교과">
      <formula>NOT(ISERROR(SEARCH(("정규교과"),(E48))))</formula>
    </cfRule>
    <cfRule type="containsText" dxfId="11643" priority="13396" operator="containsText" text="프로젝트">
      <formula>NOT(ISERROR(SEARCH(("프로젝트"),(E48))))</formula>
    </cfRule>
    <cfRule type="containsText" dxfId="11642" priority="13395" operator="containsText" text="기타">
      <formula>NOT(ISERROR(SEARCH(("기타"),(E48))))</formula>
    </cfRule>
    <cfRule type="containsText" dxfId="11641" priority="13394" operator="containsText" text="정규교과">
      <formula>NOT(ISERROR(SEARCH(("정규교과"),(E48))))</formula>
    </cfRule>
    <cfRule type="containsText" dxfId="11640" priority="13393" operator="containsText" text="프로젝트">
      <formula>NOT(ISERROR(SEARCH(("프로젝트"),(E48))))</formula>
    </cfRule>
    <cfRule type="containsText" dxfId="11639" priority="13392" operator="containsText" text="기타">
      <formula>NOT(ISERROR(SEARCH(("기타"),(E48))))</formula>
    </cfRule>
    <cfRule type="containsText" dxfId="11638" priority="13391" operator="containsText" text="정규교과">
      <formula>NOT(ISERROR(SEARCH(("정규교과"),(E48))))</formula>
    </cfRule>
    <cfRule type="containsText" dxfId="11637" priority="13390" operator="containsText" text="프로젝트">
      <formula>NOT(ISERROR(SEARCH(("프로젝트"),(E48))))</formula>
    </cfRule>
    <cfRule type="containsText" dxfId="11636" priority="13389" operator="containsText" text="기타">
      <formula>NOT(ISERROR(SEARCH(("기타"),(E48))))</formula>
    </cfRule>
    <cfRule type="containsText" dxfId="11635" priority="13388" operator="containsText" text="정규교과">
      <formula>NOT(ISERROR(SEARCH(("정규교과"),(E48))))</formula>
    </cfRule>
    <cfRule type="containsText" dxfId="11634" priority="13419" operator="containsText" text="기타">
      <formula>NOT(ISERROR(SEARCH(("기타"),(E48))))</formula>
    </cfRule>
    <cfRule type="containsText" dxfId="11633" priority="13433" operator="containsText" text="정규교과">
      <formula>NOT(ISERROR(SEARCH(("정규교과"),(E48))))</formula>
    </cfRule>
  </conditionalFormatting>
  <conditionalFormatting sqref="E53">
    <cfRule type="containsText" dxfId="11632" priority="13254" operator="containsText" text="기타">
      <formula>NOT(ISERROR(SEARCH(("기타"),(E53))))</formula>
    </cfRule>
    <cfRule type="containsText" dxfId="11631" priority="13253" operator="containsText" text="정규교과">
      <formula>NOT(ISERROR(SEARCH(("정규교과"),(E53))))</formula>
    </cfRule>
    <cfRule type="containsText" dxfId="11630" priority="13250" operator="containsText" text="정규교과">
      <formula>NOT(ISERROR(SEARCH(("정규교과"),(E53))))</formula>
    </cfRule>
    <cfRule type="containsText" dxfId="11629" priority="13249" operator="containsText" text="프로젝트">
      <formula>NOT(ISERROR(SEARCH(("프로젝트"),(E53))))</formula>
    </cfRule>
    <cfRule type="containsText" dxfId="11628" priority="13248" operator="containsText" text="기타">
      <formula>NOT(ISERROR(SEARCH(("기타"),(E53))))</formula>
    </cfRule>
    <cfRule type="containsText" dxfId="11627" priority="13247" operator="containsText" text="정규교과">
      <formula>NOT(ISERROR(SEARCH(("정규교과"),(E53))))</formula>
    </cfRule>
    <cfRule type="containsText" dxfId="11626" priority="13246" operator="containsText" text="프로젝트">
      <formula>NOT(ISERROR(SEARCH(("프로젝트"),(E53))))</formula>
    </cfRule>
    <cfRule type="containsText" dxfId="11625" priority="13245" operator="containsText" text="기타">
      <formula>NOT(ISERROR(SEARCH(("기타"),(E53))))</formula>
    </cfRule>
    <cfRule type="containsText" dxfId="11624" priority="13244" operator="containsText" text="정규교과">
      <formula>NOT(ISERROR(SEARCH(("정규교과"),(E53))))</formula>
    </cfRule>
    <cfRule type="containsText" dxfId="11623" priority="13243" operator="containsText" text="프로젝트">
      <formula>NOT(ISERROR(SEARCH(("프로젝트"),(E53))))</formula>
    </cfRule>
    <cfRule type="containsText" dxfId="11622" priority="13242" operator="containsText" text="기타">
      <formula>NOT(ISERROR(SEARCH(("기타"),(E53))))</formula>
    </cfRule>
    <cfRule type="containsText" dxfId="11621" priority="13241" operator="containsText" text="정규교과">
      <formula>NOT(ISERROR(SEARCH(("정규교과"),(E53))))</formula>
    </cfRule>
    <cfRule type="containsText" dxfId="11620" priority="13240" operator="containsText" text="프로젝트">
      <formula>NOT(ISERROR(SEARCH(("프로젝트"),(E53))))</formula>
    </cfRule>
    <cfRule type="containsText" dxfId="11619" priority="13239" operator="containsText" text="기타">
      <formula>NOT(ISERROR(SEARCH(("기타"),(E53))))</formula>
    </cfRule>
    <cfRule type="containsText" dxfId="11618" priority="13238" operator="containsText" text="정규교과">
      <formula>NOT(ISERROR(SEARCH(("정규교과"),(E53))))</formula>
    </cfRule>
    <cfRule type="containsText" dxfId="11617" priority="13237" operator="containsText" text="프로젝트">
      <formula>NOT(ISERROR(SEARCH(("프로젝트"),(E53))))</formula>
    </cfRule>
    <cfRule type="containsText" dxfId="11616" priority="13236" operator="containsText" text="기타">
      <formula>NOT(ISERROR(SEARCH(("기타"),(E53))))</formula>
    </cfRule>
    <cfRule type="containsText" dxfId="11615" priority="13235" operator="containsText" text="정규교과">
      <formula>NOT(ISERROR(SEARCH(("정규교과"),(E53))))</formula>
    </cfRule>
    <cfRule type="containsText" dxfId="11614" priority="13234" operator="containsText" text="프로젝트">
      <formula>NOT(ISERROR(SEARCH(("프로젝트"),(E53))))</formula>
    </cfRule>
    <cfRule type="containsText" dxfId="11613" priority="13233" operator="containsText" text="기타">
      <formula>NOT(ISERROR(SEARCH(("기타"),(E53))))</formula>
    </cfRule>
    <cfRule type="containsText" dxfId="11612" priority="13251" operator="containsText" text="기타">
      <formula>NOT(ISERROR(SEARCH(("기타"),(E53))))</formula>
    </cfRule>
    <cfRule type="containsText" dxfId="11611" priority="13231" operator="containsText" text="프로젝트">
      <formula>NOT(ISERROR(SEARCH(("프로젝트"),(E53))))</formula>
    </cfRule>
    <cfRule type="containsText" dxfId="11610" priority="13230" operator="containsText" text="기타">
      <formula>NOT(ISERROR(SEARCH(("기타"),(E53))))</formula>
    </cfRule>
    <cfRule type="containsText" dxfId="11609" priority="13229" operator="containsText" text="정규교과">
      <formula>NOT(ISERROR(SEARCH(("정규교과"),(E53))))</formula>
    </cfRule>
    <cfRule type="containsText" dxfId="11608" priority="13228" operator="containsText" text="프로젝트">
      <formula>NOT(ISERROR(SEARCH(("프로젝트"),(E53))))</formula>
    </cfRule>
    <cfRule type="containsText" dxfId="11607" priority="13227" operator="containsText" text="기타">
      <formula>NOT(ISERROR(SEARCH(("기타"),(E53))))</formula>
    </cfRule>
    <cfRule type="containsText" dxfId="11606" priority="13226" operator="containsText" text="정규교과">
      <formula>NOT(ISERROR(SEARCH(("정규교과"),(E53))))</formula>
    </cfRule>
    <cfRule type="containsText" dxfId="11605" priority="13225" operator="containsText" text="프로젝트">
      <formula>NOT(ISERROR(SEARCH(("프로젝트"),(E53))))</formula>
    </cfRule>
    <cfRule type="containsText" dxfId="11604" priority="13224" operator="containsText" text="기타">
      <formula>NOT(ISERROR(SEARCH(("기타"),(E53))))</formula>
    </cfRule>
    <cfRule type="containsText" dxfId="11603" priority="13223" operator="containsText" text="정규교과">
      <formula>NOT(ISERROR(SEARCH(("정규교과"),(E53))))</formula>
    </cfRule>
    <cfRule type="containsText" dxfId="11602" priority="13222" operator="containsText" text="프로젝트">
      <formula>NOT(ISERROR(SEARCH(("프로젝트"),(E53))))</formula>
    </cfRule>
    <cfRule type="containsText" dxfId="11601" priority="13221" operator="containsText" text="기타">
      <formula>NOT(ISERROR(SEARCH(("기타"),(E53))))</formula>
    </cfRule>
    <cfRule type="containsText" dxfId="11600" priority="13220" operator="containsText" text="정규교과">
      <formula>NOT(ISERROR(SEARCH(("정규교과"),(E53))))</formula>
    </cfRule>
    <cfRule type="containsText" dxfId="11599" priority="13219" operator="containsText" text="프로젝트">
      <formula>NOT(ISERROR(SEARCH(("프로젝트"),(E53))))</formula>
    </cfRule>
    <cfRule type="containsText" dxfId="11598" priority="13218" operator="containsText" text="기타">
      <formula>NOT(ISERROR(SEARCH(("기타"),(E53))))</formula>
    </cfRule>
    <cfRule type="containsText" dxfId="11597" priority="13217" operator="containsText" text="정규교과">
      <formula>NOT(ISERROR(SEARCH(("정규교과"),(E53))))</formula>
    </cfRule>
    <cfRule type="containsText" dxfId="11596" priority="13216" operator="containsText" text="프로젝트">
      <formula>NOT(ISERROR(SEARCH(("프로젝트"),(E53))))</formula>
    </cfRule>
    <cfRule type="containsText" dxfId="11595" priority="13215" operator="containsText" text="기타">
      <formula>NOT(ISERROR(SEARCH(("기타"),(E53))))</formula>
    </cfRule>
    <cfRule type="containsText" dxfId="11594" priority="13214" operator="containsText" text="정규교과">
      <formula>NOT(ISERROR(SEARCH(("정규교과"),(E53))))</formula>
    </cfRule>
    <cfRule type="containsText" dxfId="11593" priority="13213" operator="containsText" text="프로젝트">
      <formula>NOT(ISERROR(SEARCH(("프로젝트"),(E53))))</formula>
    </cfRule>
    <cfRule type="containsText" dxfId="11592" priority="13212" operator="containsText" text="기타">
      <formula>NOT(ISERROR(SEARCH(("기타"),(E53))))</formula>
    </cfRule>
    <cfRule type="containsText" dxfId="11591" priority="13211" operator="containsText" text="정규교과">
      <formula>NOT(ISERROR(SEARCH(("정규교과"),(E53))))</formula>
    </cfRule>
    <cfRule type="containsText" dxfId="11590" priority="13210" operator="containsText" text="프로젝트">
      <formula>NOT(ISERROR(SEARCH(("프로젝트"),(E53))))</formula>
    </cfRule>
    <cfRule type="containsText" dxfId="11589" priority="13209" operator="containsText" text="기타">
      <formula>NOT(ISERROR(SEARCH(("기타"),(E53))))</formula>
    </cfRule>
    <cfRule type="containsText" dxfId="11588" priority="13208" operator="containsText" text="정규교과">
      <formula>NOT(ISERROR(SEARCH(("정규교과"),(E53))))</formula>
    </cfRule>
    <cfRule type="containsText" dxfId="11587" priority="13207" operator="containsText" text="프로젝트">
      <formula>NOT(ISERROR(SEARCH(("프로젝트"),(E53))))</formula>
    </cfRule>
    <cfRule type="containsText" dxfId="11586" priority="13206" operator="containsText" text="기타">
      <formula>NOT(ISERROR(SEARCH(("기타"),(E53))))</formula>
    </cfRule>
    <cfRule type="containsText" dxfId="11585" priority="13205" operator="containsText" text="정규교과">
      <formula>NOT(ISERROR(SEARCH(("정규교과"),(E53))))</formula>
    </cfRule>
    <cfRule type="containsText" dxfId="11584" priority="13204" operator="containsText" text="프로젝트">
      <formula>NOT(ISERROR(SEARCH(("프로젝트"),(E53))))</formula>
    </cfRule>
    <cfRule type="containsText" dxfId="11583" priority="13203" operator="containsText" text="기타">
      <formula>NOT(ISERROR(SEARCH(("기타"),(E53))))</formula>
    </cfRule>
    <cfRule type="containsText" dxfId="11582" priority="13202" operator="containsText" text="정규교과">
      <formula>NOT(ISERROR(SEARCH(("정규교과"),(E53))))</formula>
    </cfRule>
    <cfRule type="containsText" dxfId="11581" priority="13201" operator="containsText" text="프로젝트">
      <formula>NOT(ISERROR(SEARCH(("프로젝트"),(E53))))</formula>
    </cfRule>
    <cfRule type="containsText" dxfId="11580" priority="13200" operator="containsText" text="기타">
      <formula>NOT(ISERROR(SEARCH(("기타"),(E53))))</formula>
    </cfRule>
    <cfRule type="containsText" dxfId="11579" priority="13199" operator="containsText" text="정규교과">
      <formula>NOT(ISERROR(SEARCH(("정규교과"),(E53))))</formula>
    </cfRule>
    <cfRule type="containsText" dxfId="11578" priority="13198" operator="containsText" text="프로젝트">
      <formula>NOT(ISERROR(SEARCH(("프로젝트"),(E53))))</formula>
    </cfRule>
    <cfRule type="containsText" dxfId="11577" priority="13197" operator="containsText" text="기타">
      <formula>NOT(ISERROR(SEARCH(("기타"),(E53))))</formula>
    </cfRule>
    <cfRule type="containsText" dxfId="11576" priority="13196" operator="containsText" text="정규교과">
      <formula>NOT(ISERROR(SEARCH(("정규교과"),(E53))))</formula>
    </cfRule>
    <cfRule type="containsText" dxfId="11575" priority="13195" operator="containsText" text="프로젝트">
      <formula>NOT(ISERROR(SEARCH(("프로젝트"),(E53))))</formula>
    </cfRule>
    <cfRule type="containsText" dxfId="11574" priority="13194" operator="containsText" text="기타">
      <formula>NOT(ISERROR(SEARCH(("기타"),(E53))))</formula>
    </cfRule>
    <cfRule type="containsText" dxfId="11573" priority="13193" operator="containsText" text="정규교과">
      <formula>NOT(ISERROR(SEARCH(("정규교과"),(E53))))</formula>
    </cfRule>
    <cfRule type="containsText" dxfId="11572" priority="13192" operator="containsText" text="프로젝트">
      <formula>NOT(ISERROR(SEARCH(("프로젝트"),(E53))))</formula>
    </cfRule>
    <cfRule type="containsText" dxfId="11571" priority="13191" operator="containsText" text="기타">
      <formula>NOT(ISERROR(SEARCH(("기타"),(E53))))</formula>
    </cfRule>
    <cfRule type="containsText" dxfId="11570" priority="13190" operator="containsText" text="정규교과">
      <formula>NOT(ISERROR(SEARCH(("정규교과"),(E53))))</formula>
    </cfRule>
    <cfRule type="containsText" dxfId="11569" priority="13189" operator="containsText" text="프로젝트">
      <formula>NOT(ISERROR(SEARCH(("프로젝트"),(E53))))</formula>
    </cfRule>
    <cfRule type="containsText" dxfId="11568" priority="13188" operator="containsText" text="기타">
      <formula>NOT(ISERROR(SEARCH(("기타"),(E53))))</formula>
    </cfRule>
    <cfRule type="containsText" dxfId="11567" priority="13187" operator="containsText" text="정규교과">
      <formula>NOT(ISERROR(SEARCH(("정규교과"),(E53))))</formula>
    </cfRule>
    <cfRule type="containsText" dxfId="11566" priority="13186" operator="containsText" text="프로젝트">
      <formula>NOT(ISERROR(SEARCH(("프로젝트"),(E53))))</formula>
    </cfRule>
    <cfRule type="containsText" dxfId="11565" priority="13185" operator="containsText" text="기타">
      <formula>NOT(ISERROR(SEARCH(("기타"),(E53))))</formula>
    </cfRule>
    <cfRule type="containsText" dxfId="11564" priority="13184" operator="containsText" text="정규교과">
      <formula>NOT(ISERROR(SEARCH(("정규교과"),(E53))))</formula>
    </cfRule>
    <cfRule type="containsText" dxfId="11563" priority="13183" operator="containsText" text="프로젝트">
      <formula>NOT(ISERROR(SEARCH(("프로젝트"),(E53))))</formula>
    </cfRule>
    <cfRule type="containsText" dxfId="11562" priority="13182" operator="containsText" text="기타">
      <formula>NOT(ISERROR(SEARCH(("기타"),(E53))))</formula>
    </cfRule>
    <cfRule type="containsText" dxfId="11561" priority="13181" operator="containsText" text="정규교과">
      <formula>NOT(ISERROR(SEARCH(("정규교과"),(E53))))</formula>
    </cfRule>
    <cfRule type="containsText" dxfId="11560" priority="13232" operator="containsText" text="정규교과">
      <formula>NOT(ISERROR(SEARCH(("정규교과"),(E53))))</formula>
    </cfRule>
  </conditionalFormatting>
  <conditionalFormatting sqref="E57">
    <cfRule type="containsText" dxfId="11559" priority="12977" operator="containsText" text="정규교과">
      <formula>NOT(ISERROR(SEARCH(("정규교과"),(E57))))</formula>
    </cfRule>
    <cfRule type="containsText" dxfId="11558" priority="12976" operator="containsText" text="프로젝트">
      <formula>NOT(ISERROR(SEARCH(("프로젝트"),(E57))))</formula>
    </cfRule>
    <cfRule type="containsText" dxfId="11557" priority="12975" operator="containsText" text="기타">
      <formula>NOT(ISERROR(SEARCH(("기타"),(E57))))</formula>
    </cfRule>
    <cfRule type="containsText" dxfId="11556" priority="12974" operator="containsText" text="정규교과">
      <formula>NOT(ISERROR(SEARCH(("정규교과"),(E57))))</formula>
    </cfRule>
    <cfRule type="containsText" dxfId="11555" priority="13021" operator="containsText" text="프로젝트">
      <formula>NOT(ISERROR(SEARCH(("프로젝트"),(E57))))</formula>
    </cfRule>
    <cfRule type="containsText" dxfId="11554" priority="20487" operator="containsText" text="기타">
      <formula>NOT(ISERROR(SEARCH(("기타"),(E57))))</formula>
    </cfRule>
    <cfRule type="containsText" dxfId="11553" priority="20486" operator="containsText" text="정규교과">
      <formula>NOT(ISERROR(SEARCH(("정규교과"),(E57))))</formula>
    </cfRule>
    <cfRule type="containsText" dxfId="11552" priority="20485" operator="containsText" text="프로젝트">
      <formula>NOT(ISERROR(SEARCH(("프로젝트"),(E57))))</formula>
    </cfRule>
    <cfRule type="containsText" dxfId="11551" priority="20484" operator="containsText" text="기타">
      <formula>NOT(ISERROR(SEARCH(("기타"),(E57))))</formula>
    </cfRule>
    <cfRule type="containsText" dxfId="11550" priority="20483" operator="containsText" text="정규교과">
      <formula>NOT(ISERROR(SEARCH(("정규교과"),(E57))))</formula>
    </cfRule>
    <cfRule type="containsText" dxfId="11549" priority="20482" operator="containsText" text="프로젝트">
      <formula>NOT(ISERROR(SEARCH(("프로젝트"),(E57))))</formula>
    </cfRule>
    <cfRule type="containsText" dxfId="11548" priority="13022" operator="containsText" text="정규교과">
      <formula>NOT(ISERROR(SEARCH(("정규교과"),(E57))))</formula>
    </cfRule>
    <cfRule type="containsText" dxfId="11547" priority="13020" operator="containsText" text="기타">
      <formula>NOT(ISERROR(SEARCH(("기타"),(E57))))</formula>
    </cfRule>
    <cfRule type="containsText" dxfId="11546" priority="13019" operator="containsText" text="정규교과">
      <formula>NOT(ISERROR(SEARCH(("정규교과"),(E57))))</formula>
    </cfRule>
    <cfRule type="containsText" dxfId="11545" priority="13018" operator="containsText" text="프로젝트">
      <formula>NOT(ISERROR(SEARCH(("프로젝트"),(E57))))</formula>
    </cfRule>
    <cfRule type="containsText" dxfId="11544" priority="13017" operator="containsText" text="기타">
      <formula>NOT(ISERROR(SEARCH(("기타"),(E57))))</formula>
    </cfRule>
    <cfRule type="containsText" dxfId="11543" priority="13016" operator="containsText" text="정규교과">
      <formula>NOT(ISERROR(SEARCH(("정규교과"),(E57))))</formula>
    </cfRule>
    <cfRule type="containsText" dxfId="11542" priority="13015" operator="containsText" text="프로젝트">
      <formula>NOT(ISERROR(SEARCH(("프로젝트"),(E57))))</formula>
    </cfRule>
    <cfRule type="containsText" dxfId="11541" priority="13014" operator="containsText" text="기타">
      <formula>NOT(ISERROR(SEARCH(("기타"),(E57))))</formula>
    </cfRule>
    <cfRule type="containsText" dxfId="11540" priority="13013" operator="containsText" text="정규교과">
      <formula>NOT(ISERROR(SEARCH(("정규교과"),(E57))))</formula>
    </cfRule>
    <cfRule type="containsText" dxfId="11539" priority="13012" operator="containsText" text="프로젝트">
      <formula>NOT(ISERROR(SEARCH(("프로젝트"),(E57))))</formula>
    </cfRule>
    <cfRule type="containsText" dxfId="11538" priority="13011" operator="containsText" text="기타">
      <formula>NOT(ISERROR(SEARCH(("기타"),(E57))))</formula>
    </cfRule>
    <cfRule type="containsText" dxfId="11537" priority="13010" operator="containsText" text="정규교과">
      <formula>NOT(ISERROR(SEARCH(("정규교과"),(E57))))</formula>
    </cfRule>
    <cfRule type="containsText" dxfId="11536" priority="13009" operator="containsText" text="프로젝트">
      <formula>NOT(ISERROR(SEARCH(("프로젝트"),(E57))))</formula>
    </cfRule>
    <cfRule type="containsText" dxfId="11535" priority="13008" operator="containsText" text="기타">
      <formula>NOT(ISERROR(SEARCH(("기타"),(E57))))</formula>
    </cfRule>
    <cfRule type="containsText" dxfId="11534" priority="13007" operator="containsText" text="정규교과">
      <formula>NOT(ISERROR(SEARCH(("정규교과"),(E57))))</formula>
    </cfRule>
    <cfRule type="containsText" dxfId="11533" priority="13006" operator="containsText" text="프로젝트">
      <formula>NOT(ISERROR(SEARCH(("프로젝트"),(E57))))</formula>
    </cfRule>
    <cfRule type="containsText" dxfId="11532" priority="13005" operator="containsText" text="기타">
      <formula>NOT(ISERROR(SEARCH(("기타"),(E57))))</formula>
    </cfRule>
    <cfRule type="containsText" dxfId="11531" priority="13004" operator="containsText" text="정규교과">
      <formula>NOT(ISERROR(SEARCH(("정규교과"),(E57))))</formula>
    </cfRule>
    <cfRule type="containsText" dxfId="11530" priority="13003" operator="containsText" text="프로젝트">
      <formula>NOT(ISERROR(SEARCH(("프로젝트"),(E57))))</formula>
    </cfRule>
    <cfRule type="containsText" dxfId="11529" priority="13002" operator="containsText" text="기타">
      <formula>NOT(ISERROR(SEARCH(("기타"),(E57))))</formula>
    </cfRule>
    <cfRule type="containsText" dxfId="11528" priority="13001" operator="containsText" text="정규교과">
      <formula>NOT(ISERROR(SEARCH(("정규교과"),(E57))))</formula>
    </cfRule>
    <cfRule type="containsText" dxfId="11527" priority="13000" operator="containsText" text="프로젝트">
      <formula>NOT(ISERROR(SEARCH(("프로젝트"),(E57))))</formula>
    </cfRule>
    <cfRule type="containsText" dxfId="11526" priority="12999" operator="containsText" text="기타">
      <formula>NOT(ISERROR(SEARCH(("기타"),(E57))))</formula>
    </cfRule>
    <cfRule type="containsText" dxfId="11525" priority="12998" operator="containsText" text="정규교과">
      <formula>NOT(ISERROR(SEARCH(("정규교과"),(E57))))</formula>
    </cfRule>
    <cfRule type="containsText" dxfId="11524" priority="12997" operator="containsText" text="프로젝트">
      <formula>NOT(ISERROR(SEARCH(("프로젝트"),(E57))))</formula>
    </cfRule>
    <cfRule type="containsText" dxfId="11523" priority="12996" operator="containsText" text="기타">
      <formula>NOT(ISERROR(SEARCH(("기타"),(E57))))</formula>
    </cfRule>
    <cfRule type="containsText" dxfId="11522" priority="12995" operator="containsText" text="정규교과">
      <formula>NOT(ISERROR(SEARCH(("정규교과"),(E57))))</formula>
    </cfRule>
    <cfRule type="containsText" dxfId="11521" priority="12994" operator="containsText" text="프로젝트">
      <formula>NOT(ISERROR(SEARCH(("프로젝트"),(E57))))</formula>
    </cfRule>
    <cfRule type="containsText" dxfId="11520" priority="12993" operator="containsText" text="기타">
      <formula>NOT(ISERROR(SEARCH(("기타"),(E57))))</formula>
    </cfRule>
    <cfRule type="containsText" dxfId="11519" priority="12992" operator="containsText" text="정규교과">
      <formula>NOT(ISERROR(SEARCH(("정규교과"),(E57))))</formula>
    </cfRule>
    <cfRule type="containsText" dxfId="11518" priority="12991" operator="containsText" text="프로젝트">
      <formula>NOT(ISERROR(SEARCH(("프로젝트"),(E57))))</formula>
    </cfRule>
    <cfRule type="containsText" dxfId="11517" priority="12990" operator="containsText" text="기타">
      <formula>NOT(ISERROR(SEARCH(("기타"),(E57))))</formula>
    </cfRule>
    <cfRule type="containsText" dxfId="11516" priority="12989" operator="containsText" text="정규교과">
      <formula>NOT(ISERROR(SEARCH(("정규교과"),(E57))))</formula>
    </cfRule>
    <cfRule type="containsText" dxfId="11515" priority="12988" operator="containsText" text="프로젝트">
      <formula>NOT(ISERROR(SEARCH(("프로젝트"),(E57))))</formula>
    </cfRule>
    <cfRule type="containsText" dxfId="11514" priority="12987" operator="containsText" text="기타">
      <formula>NOT(ISERROR(SEARCH(("기타"),(E57))))</formula>
    </cfRule>
    <cfRule type="containsText" dxfId="11513" priority="12986" operator="containsText" text="정규교과">
      <formula>NOT(ISERROR(SEARCH(("정규교과"),(E57))))</formula>
    </cfRule>
    <cfRule type="containsText" dxfId="11512" priority="12985" operator="containsText" text="프로젝트">
      <formula>NOT(ISERROR(SEARCH(("프로젝트"),(E57))))</formula>
    </cfRule>
    <cfRule type="containsText" dxfId="11511" priority="12984" operator="containsText" text="기타">
      <formula>NOT(ISERROR(SEARCH(("기타"),(E57))))</formula>
    </cfRule>
    <cfRule type="containsText" dxfId="11510" priority="12983" operator="containsText" text="정규교과">
      <formula>NOT(ISERROR(SEARCH(("정규교과"),(E57))))</formula>
    </cfRule>
    <cfRule type="containsText" dxfId="11509" priority="12982" operator="containsText" text="프로젝트">
      <formula>NOT(ISERROR(SEARCH(("프로젝트"),(E57))))</formula>
    </cfRule>
    <cfRule type="containsText" dxfId="11508" priority="12981" operator="containsText" text="기타">
      <formula>NOT(ISERROR(SEARCH(("기타"),(E57))))</formula>
    </cfRule>
    <cfRule type="containsText" dxfId="11507" priority="12980" operator="containsText" text="정규교과">
      <formula>NOT(ISERROR(SEARCH(("정규교과"),(E57))))</formula>
    </cfRule>
    <cfRule type="containsText" dxfId="11506" priority="12979" operator="containsText" text="프로젝트">
      <formula>NOT(ISERROR(SEARCH(("프로젝트"),(E57))))</formula>
    </cfRule>
    <cfRule type="containsText" dxfId="11505" priority="13047" operator="containsText" text="기타">
      <formula>NOT(ISERROR(SEARCH(("기타"),(E57))))</formula>
    </cfRule>
    <cfRule type="containsText" dxfId="11504" priority="13046" operator="containsText" text="정규교과">
      <formula>NOT(ISERROR(SEARCH(("정규교과"),(E57))))</formula>
    </cfRule>
    <cfRule type="containsText" dxfId="11503" priority="12978" operator="containsText" text="기타">
      <formula>NOT(ISERROR(SEARCH(("기타"),(E57))))</formula>
    </cfRule>
    <cfRule type="containsText" dxfId="11502" priority="13044" operator="containsText" text="기타">
      <formula>NOT(ISERROR(SEARCH(("기타"),(E57))))</formula>
    </cfRule>
    <cfRule type="containsText" dxfId="11501" priority="13043" operator="containsText" text="정규교과">
      <formula>NOT(ISERROR(SEARCH(("정규교과"),(E57))))</formula>
    </cfRule>
    <cfRule type="containsText" dxfId="11500" priority="13042" operator="containsText" text="프로젝트">
      <formula>NOT(ISERROR(SEARCH(("프로젝트"),(E57))))</formula>
    </cfRule>
    <cfRule type="containsText" dxfId="11499" priority="13041" operator="containsText" text="기타">
      <formula>NOT(ISERROR(SEARCH(("기타"),(E57))))</formula>
    </cfRule>
    <cfRule type="containsText" dxfId="11498" priority="13040" operator="containsText" text="정규교과">
      <formula>NOT(ISERROR(SEARCH(("정규교과"),(E57))))</formula>
    </cfRule>
    <cfRule type="containsText" dxfId="11497" priority="13039" operator="containsText" text="프로젝트">
      <formula>NOT(ISERROR(SEARCH(("프로젝트"),(E57))))</formula>
    </cfRule>
    <cfRule type="containsText" dxfId="11496" priority="13038" operator="containsText" text="기타">
      <formula>NOT(ISERROR(SEARCH(("기타"),(E57))))</formula>
    </cfRule>
    <cfRule type="containsText" dxfId="11495" priority="13037" operator="containsText" text="정규교과">
      <formula>NOT(ISERROR(SEARCH(("정규교과"),(E57))))</formula>
    </cfRule>
    <cfRule type="containsText" dxfId="11494" priority="13036" operator="containsText" text="프로젝트">
      <formula>NOT(ISERROR(SEARCH(("프로젝트"),(E57))))</formula>
    </cfRule>
    <cfRule type="containsText" dxfId="11493" priority="13035" operator="containsText" text="기타">
      <formula>NOT(ISERROR(SEARCH(("기타"),(E57))))</formula>
    </cfRule>
    <cfRule type="containsText" dxfId="11492" priority="13034" operator="containsText" text="정규교과">
      <formula>NOT(ISERROR(SEARCH(("정규교과"),(E57))))</formula>
    </cfRule>
    <cfRule type="containsText" dxfId="11491" priority="13033" operator="containsText" text="프로젝트">
      <formula>NOT(ISERROR(SEARCH(("프로젝트"),(E57))))</formula>
    </cfRule>
    <cfRule type="containsText" dxfId="11490" priority="13032" operator="containsText" text="기타">
      <formula>NOT(ISERROR(SEARCH(("기타"),(E57))))</formula>
    </cfRule>
    <cfRule type="containsText" dxfId="11489" priority="13031" operator="containsText" text="정규교과">
      <formula>NOT(ISERROR(SEARCH(("정규교과"),(E57))))</formula>
    </cfRule>
    <cfRule type="containsText" dxfId="11488" priority="13030" operator="containsText" text="프로젝트">
      <formula>NOT(ISERROR(SEARCH(("프로젝트"),(E57))))</formula>
    </cfRule>
    <cfRule type="containsText" dxfId="11487" priority="13029" operator="containsText" text="기타">
      <formula>NOT(ISERROR(SEARCH(("기타"),(E57))))</formula>
    </cfRule>
    <cfRule type="containsText" dxfId="11486" priority="13028" operator="containsText" text="정규교과">
      <formula>NOT(ISERROR(SEARCH(("정규교과"),(E57))))</formula>
    </cfRule>
    <cfRule type="containsText" dxfId="11485" priority="13027" operator="containsText" text="프로젝트">
      <formula>NOT(ISERROR(SEARCH(("프로젝트"),(E57))))</formula>
    </cfRule>
    <cfRule type="containsText" dxfId="11484" priority="13026" operator="containsText" text="기타">
      <formula>NOT(ISERROR(SEARCH(("기타"),(E57))))</formula>
    </cfRule>
    <cfRule type="containsText" dxfId="11483" priority="13025" operator="containsText" text="정규교과">
      <formula>NOT(ISERROR(SEARCH(("정규교과"),(E57))))</formula>
    </cfRule>
    <cfRule type="containsText" dxfId="11482" priority="13024" operator="containsText" text="프로젝트">
      <formula>NOT(ISERROR(SEARCH(("프로젝트"),(E57))))</formula>
    </cfRule>
    <cfRule type="containsText" dxfId="11481" priority="13023" operator="containsText" text="기타">
      <formula>NOT(ISERROR(SEARCH(("기타"),(E57))))</formula>
    </cfRule>
  </conditionalFormatting>
  <conditionalFormatting sqref="E61">
    <cfRule type="containsText" dxfId="11480" priority="12779" operator="containsText" text="정규교과">
      <formula>NOT(ISERROR(SEARCH(("정규교과"),(E61))))</formula>
    </cfRule>
    <cfRule type="containsText" dxfId="11479" priority="12782" operator="containsText" text="정규교과">
      <formula>NOT(ISERROR(SEARCH(("정규교과"),(E61))))</formula>
    </cfRule>
    <cfRule type="containsText" dxfId="11478" priority="12783" operator="containsText" text="기타">
      <formula>NOT(ISERROR(SEARCH(("기타"),(E61))))</formula>
    </cfRule>
    <cfRule type="containsText" dxfId="11477" priority="12784" operator="containsText" text="프로젝트">
      <formula>NOT(ISERROR(SEARCH(("프로젝트"),(E61))))</formula>
    </cfRule>
    <cfRule type="containsText" dxfId="11476" priority="12808" operator="containsText" text="프로젝트">
      <formula>NOT(ISERROR(SEARCH(("프로젝트"),(E61))))</formula>
    </cfRule>
    <cfRule type="containsText" dxfId="11475" priority="12807" operator="containsText" text="기타">
      <formula>NOT(ISERROR(SEARCH(("기타"),(E61))))</formula>
    </cfRule>
    <cfRule type="containsText" dxfId="11474" priority="12806" operator="containsText" text="정규교과">
      <formula>NOT(ISERROR(SEARCH(("정규교과"),(E61))))</formula>
    </cfRule>
    <cfRule type="containsText" dxfId="11473" priority="12805" operator="containsText" text="프로젝트">
      <formula>NOT(ISERROR(SEARCH(("프로젝트"),(E61))))</formula>
    </cfRule>
    <cfRule type="containsText" dxfId="11472" priority="12785" operator="containsText" text="정규교과">
      <formula>NOT(ISERROR(SEARCH(("정규교과"),(E61))))</formula>
    </cfRule>
    <cfRule type="containsText" dxfId="11471" priority="12818" operator="containsText" text="정규교과">
      <formula>NOT(ISERROR(SEARCH(("정규교과"),(E61))))</formula>
    </cfRule>
    <cfRule type="containsText" dxfId="11470" priority="12817" operator="containsText" text="프로젝트">
      <formula>NOT(ISERROR(SEARCH(("프로젝트"),(E61))))</formula>
    </cfRule>
    <cfRule type="containsText" dxfId="11469" priority="12816" operator="containsText" text="기타">
      <formula>NOT(ISERROR(SEARCH(("기타"),(E61))))</formula>
    </cfRule>
    <cfRule type="containsText" dxfId="11468" priority="12815" operator="containsText" text="정규교과">
      <formula>NOT(ISERROR(SEARCH(("정규교과"),(E61))))</formula>
    </cfRule>
    <cfRule type="containsText" dxfId="11467" priority="12814" operator="containsText" text="프로젝트">
      <formula>NOT(ISERROR(SEARCH(("프로젝트"),(E61))))</formula>
    </cfRule>
    <cfRule type="containsText" dxfId="11466" priority="12813" operator="containsText" text="기타">
      <formula>NOT(ISERROR(SEARCH(("기타"),(E61))))</formula>
    </cfRule>
    <cfRule type="containsText" dxfId="11465" priority="12812" operator="containsText" text="정규교과">
      <formula>NOT(ISERROR(SEARCH(("정규교과"),(E61))))</formula>
    </cfRule>
    <cfRule type="containsText" dxfId="11464" priority="12811" operator="containsText" text="프로젝트">
      <formula>NOT(ISERROR(SEARCH(("프로젝트"),(E61))))</formula>
    </cfRule>
    <cfRule type="containsText" dxfId="11463" priority="12810" operator="containsText" text="기타">
      <formula>NOT(ISERROR(SEARCH(("기타"),(E61))))</formula>
    </cfRule>
    <cfRule type="containsText" dxfId="11462" priority="12809" operator="containsText" text="정규교과">
      <formula>NOT(ISERROR(SEARCH(("정규교과"),(E61))))</formula>
    </cfRule>
    <cfRule type="containsText" dxfId="11461" priority="12786" operator="containsText" text="기타">
      <formula>NOT(ISERROR(SEARCH(("기타"),(E61))))</formula>
    </cfRule>
    <cfRule type="containsText" dxfId="11460" priority="12787" operator="containsText" text="프로젝트">
      <formula>NOT(ISERROR(SEARCH(("프로젝트"),(E61))))</formula>
    </cfRule>
    <cfRule type="containsText" dxfId="11459" priority="12788" operator="containsText" text="정규교과">
      <formula>NOT(ISERROR(SEARCH(("정규교과"),(E61))))</formula>
    </cfRule>
    <cfRule type="containsText" dxfId="11458" priority="12789" operator="containsText" text="기타">
      <formula>NOT(ISERROR(SEARCH(("기타"),(E61))))</formula>
    </cfRule>
    <cfRule type="containsText" dxfId="11457" priority="12790" operator="containsText" text="프로젝트">
      <formula>NOT(ISERROR(SEARCH(("프로젝트"),(E61))))</formula>
    </cfRule>
    <cfRule type="containsText" dxfId="11456" priority="12791" operator="containsText" text="정규교과">
      <formula>NOT(ISERROR(SEARCH(("정규교과"),(E61))))</formula>
    </cfRule>
    <cfRule type="containsText" dxfId="11455" priority="12801" operator="containsText" text="기타">
      <formula>NOT(ISERROR(SEARCH(("기타"),(E61))))</formula>
    </cfRule>
    <cfRule type="containsText" dxfId="11454" priority="12792" operator="containsText" text="기타">
      <formula>NOT(ISERROR(SEARCH(("기타"),(E61))))</formula>
    </cfRule>
    <cfRule type="containsText" dxfId="11453" priority="12840" operator="containsText" text="기타">
      <formula>NOT(ISERROR(SEARCH(("기타"),(E61))))</formula>
    </cfRule>
    <cfRule type="containsText" dxfId="11452" priority="12839" operator="containsText" text="정규교과">
      <formula>NOT(ISERROR(SEARCH(("정규교과"),(E61))))</formula>
    </cfRule>
    <cfRule type="containsText" dxfId="11451" priority="12837" operator="containsText" text="기타">
      <formula>NOT(ISERROR(SEARCH(("기타"),(E61))))</formula>
    </cfRule>
    <cfRule type="containsText" dxfId="11450" priority="12836" operator="containsText" text="정규교과">
      <formula>NOT(ISERROR(SEARCH(("정규교과"),(E61))))</formula>
    </cfRule>
    <cfRule type="containsText" dxfId="11449" priority="12835" operator="containsText" text="프로젝트">
      <formula>NOT(ISERROR(SEARCH(("프로젝트"),(E61))))</formula>
    </cfRule>
    <cfRule type="containsText" dxfId="11448" priority="12834" operator="containsText" text="기타">
      <formula>NOT(ISERROR(SEARCH(("기타"),(E61))))</formula>
    </cfRule>
    <cfRule type="containsText" dxfId="11447" priority="12833" operator="containsText" text="정규교과">
      <formula>NOT(ISERROR(SEARCH(("정규교과"),(E61))))</formula>
    </cfRule>
    <cfRule type="containsText" dxfId="11446" priority="12832" operator="containsText" text="프로젝트">
      <formula>NOT(ISERROR(SEARCH(("프로젝트"),(E61))))</formula>
    </cfRule>
    <cfRule type="containsText" dxfId="11445" priority="12831" operator="containsText" text="기타">
      <formula>NOT(ISERROR(SEARCH(("기타"),(E61))))</formula>
    </cfRule>
    <cfRule type="containsText" dxfId="11444" priority="12830" operator="containsText" text="정규교과">
      <formula>NOT(ISERROR(SEARCH(("정규교과"),(E61))))</formula>
    </cfRule>
    <cfRule type="containsText" dxfId="11443" priority="12829" operator="containsText" text="프로젝트">
      <formula>NOT(ISERROR(SEARCH(("프로젝트"),(E61))))</formula>
    </cfRule>
    <cfRule type="containsText" dxfId="11442" priority="12793" operator="containsText" text="프로젝트">
      <formula>NOT(ISERROR(SEARCH(("프로젝트"),(E61))))</formula>
    </cfRule>
    <cfRule type="containsText" dxfId="11441" priority="12767" operator="containsText" text="정규교과">
      <formula>NOT(ISERROR(SEARCH(("정규교과"),(E61))))</formula>
    </cfRule>
    <cfRule type="containsText" dxfId="11440" priority="12768" operator="containsText" text="기타">
      <formula>NOT(ISERROR(SEARCH(("기타"),(E61))))</formula>
    </cfRule>
    <cfRule type="containsText" dxfId="11439" priority="12794" operator="containsText" text="정규교과">
      <formula>NOT(ISERROR(SEARCH(("정규교과"),(E61))))</formula>
    </cfRule>
    <cfRule type="containsText" dxfId="11438" priority="12795" operator="containsText" text="기타">
      <formula>NOT(ISERROR(SEARCH(("기타"),(E61))))</formula>
    </cfRule>
    <cfRule type="containsText" dxfId="11437" priority="12796" operator="containsText" text="프로젝트">
      <formula>NOT(ISERROR(SEARCH(("프로젝트"),(E61))))</formula>
    </cfRule>
    <cfRule type="containsText" dxfId="11436" priority="12797" operator="containsText" text="정규교과">
      <formula>NOT(ISERROR(SEARCH(("정규교과"),(E61))))</formula>
    </cfRule>
    <cfRule type="containsText" dxfId="11435" priority="20499" operator="containsText" text="기타">
      <formula>NOT(ISERROR(SEARCH(("기타"),(E61))))</formula>
    </cfRule>
    <cfRule type="containsText" dxfId="11434" priority="20498" operator="containsText" text="정규교과">
      <formula>NOT(ISERROR(SEARCH(("정규교과"),(E61))))</formula>
    </cfRule>
    <cfRule type="containsText" dxfId="11433" priority="20497" operator="containsText" text="프로젝트">
      <formula>NOT(ISERROR(SEARCH(("프로젝트"),(E61))))</formula>
    </cfRule>
    <cfRule type="containsText" dxfId="11432" priority="20496" operator="containsText" text="기타">
      <formula>NOT(ISERROR(SEARCH(("기타"),(E61))))</formula>
    </cfRule>
    <cfRule type="containsText" dxfId="11431" priority="20495" operator="containsText" text="정규교과">
      <formula>NOT(ISERROR(SEARCH(("정규교과"),(E61))))</formula>
    </cfRule>
    <cfRule type="containsText" dxfId="11430" priority="20494" operator="containsText" text="프로젝트">
      <formula>NOT(ISERROR(SEARCH(("프로젝트"),(E61))))</formula>
    </cfRule>
    <cfRule type="containsText" dxfId="11429" priority="12798" operator="containsText" text="기타">
      <formula>NOT(ISERROR(SEARCH(("기타"),(E61))))</formula>
    </cfRule>
    <cfRule type="containsText" dxfId="11428" priority="12799" operator="containsText" text="프로젝트">
      <formula>NOT(ISERROR(SEARCH(("프로젝트"),(E61))))</formula>
    </cfRule>
    <cfRule type="containsText" dxfId="11427" priority="12800" operator="containsText" text="정규교과">
      <formula>NOT(ISERROR(SEARCH(("정규교과"),(E61))))</formula>
    </cfRule>
    <cfRule type="containsText" dxfId="11426" priority="12804" operator="containsText" text="기타">
      <formula>NOT(ISERROR(SEARCH(("기타"),(E61))))</formula>
    </cfRule>
    <cfRule type="containsText" dxfId="11425" priority="12803" operator="containsText" text="정규교과">
      <formula>NOT(ISERROR(SEARCH(("정규교과"),(E61))))</formula>
    </cfRule>
    <cfRule type="containsText" dxfId="11424" priority="12802" operator="containsText" text="프로젝트">
      <formula>NOT(ISERROR(SEARCH(("프로젝트"),(E61))))</formula>
    </cfRule>
    <cfRule type="containsText" dxfId="11423" priority="12769" operator="containsText" text="프로젝트">
      <formula>NOT(ISERROR(SEARCH(("프로젝트"),(E61))))</formula>
    </cfRule>
    <cfRule type="containsText" dxfId="11422" priority="12770" operator="containsText" text="정규교과">
      <formula>NOT(ISERROR(SEARCH(("정규교과"),(E61))))</formula>
    </cfRule>
    <cfRule type="containsText" dxfId="11421" priority="12771" operator="containsText" text="기타">
      <formula>NOT(ISERROR(SEARCH(("기타"),(E61))))</formula>
    </cfRule>
    <cfRule type="containsText" dxfId="11420" priority="12772" operator="containsText" text="프로젝트">
      <formula>NOT(ISERROR(SEARCH(("프로젝트"),(E61))))</formula>
    </cfRule>
    <cfRule type="containsText" dxfId="11419" priority="12773" operator="containsText" text="정규교과">
      <formula>NOT(ISERROR(SEARCH(("정규교과"),(E61))))</formula>
    </cfRule>
    <cfRule type="containsText" dxfId="11418" priority="12774" operator="containsText" text="기타">
      <formula>NOT(ISERROR(SEARCH(("기타"),(E61))))</formula>
    </cfRule>
    <cfRule type="containsText" dxfId="11417" priority="12775" operator="containsText" text="프로젝트">
      <formula>NOT(ISERROR(SEARCH(("프로젝트"),(E61))))</formula>
    </cfRule>
    <cfRule type="containsText" dxfId="11416" priority="12776" operator="containsText" text="정규교과">
      <formula>NOT(ISERROR(SEARCH(("정규교과"),(E61))))</formula>
    </cfRule>
    <cfRule type="containsText" dxfId="11415" priority="12777" operator="containsText" text="기타">
      <formula>NOT(ISERROR(SEARCH(("기타"),(E61))))</formula>
    </cfRule>
    <cfRule type="containsText" dxfId="11414" priority="12778" operator="containsText" text="프로젝트">
      <formula>NOT(ISERROR(SEARCH(("프로젝트"),(E61))))</formula>
    </cfRule>
    <cfRule type="containsText" dxfId="11413" priority="12820" operator="containsText" text="프로젝트">
      <formula>NOT(ISERROR(SEARCH(("프로젝트"),(E61))))</formula>
    </cfRule>
    <cfRule type="containsText" dxfId="11412" priority="12780" operator="containsText" text="기타">
      <formula>NOT(ISERROR(SEARCH(("기타"),(E61))))</formula>
    </cfRule>
    <cfRule type="containsText" dxfId="11411" priority="12821" operator="containsText" text="정규교과">
      <formula>NOT(ISERROR(SEARCH(("정규교과"),(E61))))</formula>
    </cfRule>
    <cfRule type="containsText" dxfId="11410" priority="12822" operator="containsText" text="기타">
      <formula>NOT(ISERROR(SEARCH(("기타"),(E61))))</formula>
    </cfRule>
    <cfRule type="containsText" dxfId="11409" priority="12823" operator="containsText" text="프로젝트">
      <formula>NOT(ISERROR(SEARCH(("프로젝트"),(E61))))</formula>
    </cfRule>
    <cfRule type="containsText" dxfId="11408" priority="12824" operator="containsText" text="정규교과">
      <formula>NOT(ISERROR(SEARCH(("정규교과"),(E61))))</formula>
    </cfRule>
    <cfRule type="containsText" dxfId="11407" priority="12825" operator="containsText" text="기타">
      <formula>NOT(ISERROR(SEARCH(("기타"),(E61))))</formula>
    </cfRule>
    <cfRule type="containsText" dxfId="11406" priority="12826" operator="containsText" text="프로젝트">
      <formula>NOT(ISERROR(SEARCH(("프로젝트"),(E61))))</formula>
    </cfRule>
    <cfRule type="containsText" dxfId="11405" priority="12827" operator="containsText" text="정규교과">
      <formula>NOT(ISERROR(SEARCH(("정규교과"),(E61))))</formula>
    </cfRule>
    <cfRule type="containsText" dxfId="11404" priority="12828" operator="containsText" text="기타">
      <formula>NOT(ISERROR(SEARCH(("기타"),(E61))))</formula>
    </cfRule>
    <cfRule type="containsText" dxfId="11403" priority="12819" operator="containsText" text="기타">
      <formula>NOT(ISERROR(SEARCH(("기타"),(E61))))</formula>
    </cfRule>
    <cfRule type="containsText" dxfId="11402" priority="12781" operator="containsText" text="프로젝트">
      <formula>NOT(ISERROR(SEARCH(("프로젝트"),(E61))))</formula>
    </cfRule>
  </conditionalFormatting>
  <conditionalFormatting sqref="E65">
    <cfRule type="containsText" dxfId="11401" priority="12592" operator="containsText" text="프로젝트">
      <formula>NOT(ISERROR(SEARCH(("프로젝트"),(E65))))</formula>
    </cfRule>
    <cfRule type="containsText" dxfId="11400" priority="12591" operator="containsText" text="기타">
      <formula>NOT(ISERROR(SEARCH(("기타"),(E65))))</formula>
    </cfRule>
    <cfRule type="containsText" dxfId="11399" priority="12590" operator="containsText" text="정규교과">
      <formula>NOT(ISERROR(SEARCH(("정규교과"),(E65))))</formula>
    </cfRule>
    <cfRule type="containsText" dxfId="11398" priority="12589" operator="containsText" text="프로젝트">
      <formula>NOT(ISERROR(SEARCH(("프로젝트"),(E65))))</formula>
    </cfRule>
    <cfRule type="containsText" dxfId="11397" priority="12588" operator="containsText" text="기타">
      <formula>NOT(ISERROR(SEARCH(("기타"),(E65))))</formula>
    </cfRule>
    <cfRule type="containsText" dxfId="11396" priority="12587" operator="containsText" text="정규교과">
      <formula>NOT(ISERROR(SEARCH(("정규교과"),(E65))))</formula>
    </cfRule>
    <cfRule type="containsText" dxfId="11395" priority="12586" operator="containsText" text="프로젝트">
      <formula>NOT(ISERROR(SEARCH(("프로젝트"),(E65))))</formula>
    </cfRule>
    <cfRule type="containsText" dxfId="11394" priority="12585" operator="containsText" text="기타">
      <formula>NOT(ISERROR(SEARCH(("기타"),(E65))))</formula>
    </cfRule>
    <cfRule type="containsText" dxfId="11393" priority="12560" operator="containsText" text="정규교과">
      <formula>NOT(ISERROR(SEARCH(("정규교과"),(E65))))</formula>
    </cfRule>
    <cfRule type="containsText" dxfId="11392" priority="12584" operator="containsText" text="정규교과">
      <formula>NOT(ISERROR(SEARCH(("정규교과"),(E65))))</formula>
    </cfRule>
    <cfRule type="containsText" dxfId="11391" priority="12583" operator="containsText" text="프로젝트">
      <formula>NOT(ISERROR(SEARCH(("프로젝트"),(E65))))</formula>
    </cfRule>
    <cfRule type="containsText" dxfId="11390" priority="12582" operator="containsText" text="기타">
      <formula>NOT(ISERROR(SEARCH(("기타"),(E65))))</formula>
    </cfRule>
    <cfRule type="containsText" dxfId="11389" priority="20511" operator="containsText" text="기타">
      <formula>NOT(ISERROR(SEARCH(("기타"),(E65))))</formula>
    </cfRule>
    <cfRule type="containsText" dxfId="11388" priority="12581" operator="containsText" text="정규교과">
      <formula>NOT(ISERROR(SEARCH(("정규교과"),(E65))))</formula>
    </cfRule>
    <cfRule type="containsText" dxfId="11387" priority="12580" operator="containsText" text="프로젝트">
      <formula>NOT(ISERROR(SEARCH(("프로젝트"),(E65))))</formula>
    </cfRule>
    <cfRule type="containsText" dxfId="11386" priority="12579" operator="containsText" text="기타">
      <formula>NOT(ISERROR(SEARCH(("기타"),(E65))))</formula>
    </cfRule>
    <cfRule type="containsText" dxfId="11385" priority="12578" operator="containsText" text="정규교과">
      <formula>NOT(ISERROR(SEARCH(("정규교과"),(E65))))</formula>
    </cfRule>
    <cfRule type="containsText" dxfId="11384" priority="12577" operator="containsText" text="프로젝트">
      <formula>NOT(ISERROR(SEARCH(("프로젝트"),(E65))))</formula>
    </cfRule>
    <cfRule type="containsText" dxfId="11383" priority="12576" operator="containsText" text="기타">
      <formula>NOT(ISERROR(SEARCH(("기타"),(E65))))</formula>
    </cfRule>
    <cfRule type="containsText" dxfId="11382" priority="12575" operator="containsText" text="정규교과">
      <formula>NOT(ISERROR(SEARCH(("정규교과"),(E65))))</formula>
    </cfRule>
    <cfRule type="containsText" dxfId="11381" priority="12574" operator="containsText" text="프로젝트">
      <formula>NOT(ISERROR(SEARCH(("프로젝트"),(E65))))</formula>
    </cfRule>
    <cfRule type="containsText" dxfId="11380" priority="12573" operator="containsText" text="기타">
      <formula>NOT(ISERROR(SEARCH(("기타"),(E65))))</formula>
    </cfRule>
    <cfRule type="containsText" dxfId="11379" priority="12572" operator="containsText" text="정규교과">
      <formula>NOT(ISERROR(SEARCH(("정규교과"),(E65))))</formula>
    </cfRule>
    <cfRule type="containsText" dxfId="11378" priority="20509" operator="containsText" text="프로젝트">
      <formula>NOT(ISERROR(SEARCH(("프로젝트"),(E65))))</formula>
    </cfRule>
    <cfRule type="containsText" dxfId="11377" priority="12571" operator="containsText" text="프로젝트">
      <formula>NOT(ISERROR(SEARCH(("프로젝트"),(E65))))</formula>
    </cfRule>
    <cfRule type="containsText" dxfId="11376" priority="20507" operator="containsText" text="정규교과">
      <formula>NOT(ISERROR(SEARCH(("정규교과"),(E65))))</formula>
    </cfRule>
    <cfRule type="containsText" dxfId="11375" priority="20506" operator="containsText" text="프로젝트">
      <formula>NOT(ISERROR(SEARCH(("프로젝트"),(E65))))</formula>
    </cfRule>
    <cfRule type="containsText" dxfId="11374" priority="12570" operator="containsText" text="기타">
      <formula>NOT(ISERROR(SEARCH(("기타"),(E65))))</formula>
    </cfRule>
    <cfRule type="containsText" dxfId="11373" priority="12569" operator="containsText" text="정규교과">
      <formula>NOT(ISERROR(SEARCH(("정규교과"),(E65))))</formula>
    </cfRule>
    <cfRule type="containsText" dxfId="11372" priority="12568" operator="containsText" text="프로젝트">
      <formula>NOT(ISERROR(SEARCH(("프로젝트"),(E65))))</formula>
    </cfRule>
    <cfRule type="containsText" dxfId="11371" priority="12567" operator="containsText" text="기타">
      <formula>NOT(ISERROR(SEARCH(("기타"),(E65))))</formula>
    </cfRule>
    <cfRule type="containsText" dxfId="11370" priority="12566" operator="containsText" text="정규교과">
      <formula>NOT(ISERROR(SEARCH(("정규교과"),(E65))))</formula>
    </cfRule>
    <cfRule type="containsText" dxfId="11369" priority="12565" operator="containsText" text="프로젝트">
      <formula>NOT(ISERROR(SEARCH(("프로젝트"),(E65))))</formula>
    </cfRule>
    <cfRule type="containsText" dxfId="11368" priority="12564" operator="containsText" text="기타">
      <formula>NOT(ISERROR(SEARCH(("기타"),(E65))))</formula>
    </cfRule>
    <cfRule type="containsText" dxfId="11367" priority="12563" operator="containsText" text="정규교과">
      <formula>NOT(ISERROR(SEARCH(("정규교과"),(E65))))</formula>
    </cfRule>
    <cfRule type="containsText" dxfId="11366" priority="12562" operator="containsText" text="프로젝트">
      <formula>NOT(ISERROR(SEARCH(("프로젝트"),(E65))))</formula>
    </cfRule>
    <cfRule type="containsText" dxfId="11365" priority="12561" operator="containsText" text="기타">
      <formula>NOT(ISERROR(SEARCH(("기타"),(E65))))</formula>
    </cfRule>
    <cfRule type="containsText" dxfId="11364" priority="12602" operator="containsText" text="정규교과">
      <formula>NOT(ISERROR(SEARCH(("정규교과"),(E65))))</formula>
    </cfRule>
    <cfRule type="containsText" dxfId="11363" priority="12633" operator="containsText" text="기타">
      <formula>NOT(ISERROR(SEARCH(("기타"),(E65))))</formula>
    </cfRule>
    <cfRule type="containsText" dxfId="11362" priority="12632" operator="containsText" text="정규교과">
      <formula>NOT(ISERROR(SEARCH(("정규교과"),(E65))))</formula>
    </cfRule>
    <cfRule type="containsText" dxfId="11361" priority="12630" operator="containsText" text="기타">
      <formula>NOT(ISERROR(SEARCH(("기타"),(E65))))</formula>
    </cfRule>
    <cfRule type="containsText" dxfId="11360" priority="12629" operator="containsText" text="정규교과">
      <formula>NOT(ISERROR(SEARCH(("정규교과"),(E65))))</formula>
    </cfRule>
    <cfRule type="containsText" dxfId="11359" priority="12628" operator="containsText" text="프로젝트">
      <formula>NOT(ISERROR(SEARCH(("프로젝트"),(E65))))</formula>
    </cfRule>
    <cfRule type="containsText" dxfId="11358" priority="12627" operator="containsText" text="기타">
      <formula>NOT(ISERROR(SEARCH(("기타"),(E65))))</formula>
    </cfRule>
    <cfRule type="containsText" dxfId="11357" priority="20508" operator="containsText" text="기타">
      <formula>NOT(ISERROR(SEARCH(("기타"),(E65))))</formula>
    </cfRule>
    <cfRule type="containsText" dxfId="11356" priority="12626" operator="containsText" text="정규교과">
      <formula>NOT(ISERROR(SEARCH(("정규교과"),(E65))))</formula>
    </cfRule>
    <cfRule type="containsText" dxfId="11355" priority="12625" operator="containsText" text="프로젝트">
      <formula>NOT(ISERROR(SEARCH(("프로젝트"),(E65))))</formula>
    </cfRule>
    <cfRule type="containsText" dxfId="11354" priority="12624" operator="containsText" text="기타">
      <formula>NOT(ISERROR(SEARCH(("기타"),(E65))))</formula>
    </cfRule>
    <cfRule type="containsText" dxfId="11353" priority="12623" operator="containsText" text="정규교과">
      <formula>NOT(ISERROR(SEARCH(("정규교과"),(E65))))</formula>
    </cfRule>
    <cfRule type="containsText" dxfId="11352" priority="12622" operator="containsText" text="프로젝트">
      <formula>NOT(ISERROR(SEARCH(("프로젝트"),(E65))))</formula>
    </cfRule>
    <cfRule type="containsText" dxfId="11351" priority="12621" operator="containsText" text="기타">
      <formula>NOT(ISERROR(SEARCH(("기타"),(E65))))</formula>
    </cfRule>
    <cfRule type="containsText" dxfId="11350" priority="12620" operator="containsText" text="정규교과">
      <formula>NOT(ISERROR(SEARCH(("정규교과"),(E65))))</formula>
    </cfRule>
    <cfRule type="containsText" dxfId="11349" priority="12619" operator="containsText" text="프로젝트">
      <formula>NOT(ISERROR(SEARCH(("프로젝트"),(E65))))</formula>
    </cfRule>
    <cfRule type="containsText" dxfId="11348" priority="12618" operator="containsText" text="기타">
      <formula>NOT(ISERROR(SEARCH(("기타"),(E65))))</formula>
    </cfRule>
    <cfRule type="containsText" dxfId="11347" priority="12617" operator="containsText" text="정규교과">
      <formula>NOT(ISERROR(SEARCH(("정규교과"),(E65))))</formula>
    </cfRule>
    <cfRule type="containsText" dxfId="11346" priority="12616" operator="containsText" text="프로젝트">
      <formula>NOT(ISERROR(SEARCH(("프로젝트"),(E65))))</formula>
    </cfRule>
    <cfRule type="containsText" dxfId="11345" priority="12615" operator="containsText" text="기타">
      <formula>NOT(ISERROR(SEARCH(("기타"),(E65))))</formula>
    </cfRule>
    <cfRule type="containsText" dxfId="11344" priority="12614" operator="containsText" text="정규교과">
      <formula>NOT(ISERROR(SEARCH(("정규교과"),(E65))))</formula>
    </cfRule>
    <cfRule type="containsText" dxfId="11343" priority="12613" operator="containsText" text="프로젝트">
      <formula>NOT(ISERROR(SEARCH(("프로젝트"),(E65))))</formula>
    </cfRule>
    <cfRule type="containsText" dxfId="11342" priority="12612" operator="containsText" text="기타">
      <formula>NOT(ISERROR(SEARCH(("기타"),(E65))))</formula>
    </cfRule>
    <cfRule type="containsText" dxfId="11341" priority="12611" operator="containsText" text="정규교과">
      <formula>NOT(ISERROR(SEARCH(("정규교과"),(E65))))</formula>
    </cfRule>
    <cfRule type="containsText" dxfId="11340" priority="12610" operator="containsText" text="프로젝트">
      <formula>NOT(ISERROR(SEARCH(("프로젝트"),(E65))))</formula>
    </cfRule>
    <cfRule type="containsText" dxfId="11339" priority="12609" operator="containsText" text="기타">
      <formula>NOT(ISERROR(SEARCH(("기타"),(E65))))</formula>
    </cfRule>
    <cfRule type="containsText" dxfId="11338" priority="12608" operator="containsText" text="정규교과">
      <formula>NOT(ISERROR(SEARCH(("정규교과"),(E65))))</formula>
    </cfRule>
    <cfRule type="containsText" dxfId="11337" priority="12607" operator="containsText" text="프로젝트">
      <formula>NOT(ISERROR(SEARCH(("프로젝트"),(E65))))</formula>
    </cfRule>
    <cfRule type="containsText" dxfId="11336" priority="12606" operator="containsText" text="기타">
      <formula>NOT(ISERROR(SEARCH(("기타"),(E65))))</formula>
    </cfRule>
    <cfRule type="containsText" dxfId="11335" priority="12605" operator="containsText" text="정규교과">
      <formula>NOT(ISERROR(SEARCH(("정규교과"),(E65))))</formula>
    </cfRule>
    <cfRule type="containsText" dxfId="11334" priority="12604" operator="containsText" text="프로젝트">
      <formula>NOT(ISERROR(SEARCH(("프로젝트"),(E65))))</formula>
    </cfRule>
    <cfRule type="containsText" dxfId="11333" priority="20510" operator="containsText" text="정규교과">
      <formula>NOT(ISERROR(SEARCH(("정규교과"),(E65))))</formula>
    </cfRule>
    <cfRule type="containsText" dxfId="11332" priority="12603" operator="containsText" text="기타">
      <formula>NOT(ISERROR(SEARCH(("기타"),(E65))))</formula>
    </cfRule>
    <cfRule type="containsText" dxfId="11331" priority="12601" operator="containsText" text="프로젝트">
      <formula>NOT(ISERROR(SEARCH(("프로젝트"),(E65))))</formula>
    </cfRule>
    <cfRule type="containsText" dxfId="11330" priority="12600" operator="containsText" text="기타">
      <formula>NOT(ISERROR(SEARCH(("기타"),(E65))))</formula>
    </cfRule>
    <cfRule type="containsText" dxfId="11329" priority="12599" operator="containsText" text="정규교과">
      <formula>NOT(ISERROR(SEARCH(("정규교과"),(E65))))</formula>
    </cfRule>
    <cfRule type="containsText" dxfId="11328" priority="12598" operator="containsText" text="프로젝트">
      <formula>NOT(ISERROR(SEARCH(("프로젝트"),(E65))))</formula>
    </cfRule>
    <cfRule type="containsText" dxfId="11327" priority="12597" operator="containsText" text="기타">
      <formula>NOT(ISERROR(SEARCH(("기타"),(E65))))</formula>
    </cfRule>
    <cfRule type="containsText" dxfId="11326" priority="12596" operator="containsText" text="정규교과">
      <formula>NOT(ISERROR(SEARCH(("정규교과"),(E65))))</formula>
    </cfRule>
    <cfRule type="containsText" dxfId="11325" priority="12595" operator="containsText" text="프로젝트">
      <formula>NOT(ISERROR(SEARCH(("프로젝트"),(E65))))</formula>
    </cfRule>
    <cfRule type="containsText" dxfId="11324" priority="12594" operator="containsText" text="기타">
      <formula>NOT(ISERROR(SEARCH(("기타"),(E65))))</formula>
    </cfRule>
    <cfRule type="containsText" dxfId="11323" priority="12593" operator="containsText" text="정규교과">
      <formula>NOT(ISERROR(SEARCH(("정규교과"),(E65))))</formula>
    </cfRule>
  </conditionalFormatting>
  <conditionalFormatting sqref="E69">
    <cfRule type="containsText" dxfId="11322" priority="12421" operator="containsText" text="프로젝트">
      <formula>NOT(ISERROR(SEARCH(("프로젝트"),(E69))))</formula>
    </cfRule>
    <cfRule type="containsText" dxfId="11321" priority="12411" operator="containsText" text="기타">
      <formula>NOT(ISERROR(SEARCH(("기타"),(E69))))</formula>
    </cfRule>
    <cfRule type="containsText" dxfId="11320" priority="12410" operator="containsText" text="정규교과">
      <formula>NOT(ISERROR(SEARCH(("정규교과"),(E69))))</formula>
    </cfRule>
    <cfRule type="containsText" dxfId="11319" priority="12409" operator="containsText" text="프로젝트">
      <formula>NOT(ISERROR(SEARCH(("프로젝트"),(E69))))</formula>
    </cfRule>
    <cfRule type="containsText" dxfId="11318" priority="12408" operator="containsText" text="기타">
      <formula>NOT(ISERROR(SEARCH(("기타"),(E69))))</formula>
    </cfRule>
    <cfRule type="containsText" dxfId="11317" priority="12407" operator="containsText" text="정규교과">
      <formula>NOT(ISERROR(SEARCH(("정규교과"),(E69))))</formula>
    </cfRule>
    <cfRule type="containsText" dxfId="11316" priority="12406" operator="containsText" text="프로젝트">
      <formula>NOT(ISERROR(SEARCH(("프로젝트"),(E69))))</formula>
    </cfRule>
    <cfRule type="containsText" dxfId="11315" priority="12405" operator="containsText" text="기타">
      <formula>NOT(ISERROR(SEARCH(("기타"),(E69))))</formula>
    </cfRule>
    <cfRule type="containsText" dxfId="11314" priority="12404" operator="containsText" text="정규교과">
      <formula>NOT(ISERROR(SEARCH(("정규교과"),(E69))))</formula>
    </cfRule>
    <cfRule type="containsText" dxfId="11313" priority="12403" operator="containsText" text="프로젝트">
      <formula>NOT(ISERROR(SEARCH(("프로젝트"),(E69))))</formula>
    </cfRule>
    <cfRule type="containsText" dxfId="11312" priority="12402" operator="containsText" text="기타">
      <formula>NOT(ISERROR(SEARCH(("기타"),(E69))))</formula>
    </cfRule>
    <cfRule type="containsText" dxfId="11311" priority="12401" operator="containsText" text="정규교과">
      <formula>NOT(ISERROR(SEARCH(("정규교과"),(E69))))</formula>
    </cfRule>
    <cfRule type="containsText" dxfId="11310" priority="12400" operator="containsText" text="프로젝트">
      <formula>NOT(ISERROR(SEARCH(("프로젝트"),(E69))))</formula>
    </cfRule>
    <cfRule type="containsText" dxfId="11309" priority="12387" operator="containsText" text="기타">
      <formula>NOT(ISERROR(SEARCH(("기타"),(E69))))</formula>
    </cfRule>
    <cfRule type="containsText" dxfId="11308" priority="12398" operator="containsText" text="정규교과">
      <formula>NOT(ISERROR(SEARCH(("정규교과"),(E69))))</formula>
    </cfRule>
    <cfRule type="containsText" dxfId="11307" priority="12397" operator="containsText" text="프로젝트">
      <formula>NOT(ISERROR(SEARCH(("프로젝트"),(E69))))</formula>
    </cfRule>
    <cfRule type="containsText" dxfId="11306" priority="12388" operator="containsText" text="프로젝트">
      <formula>NOT(ISERROR(SEARCH(("프로젝트"),(E69))))</formula>
    </cfRule>
    <cfRule type="containsText" dxfId="11305" priority="12389" operator="containsText" text="정규교과">
      <formula>NOT(ISERROR(SEARCH(("정규교과"),(E69))))</formula>
    </cfRule>
    <cfRule type="containsText" dxfId="11304" priority="12390" operator="containsText" text="기타">
      <formula>NOT(ISERROR(SEARCH(("기타"),(E69))))</formula>
    </cfRule>
    <cfRule type="containsText" dxfId="11303" priority="12391" operator="containsText" text="프로젝트">
      <formula>NOT(ISERROR(SEARCH(("프로젝트"),(E69))))</formula>
    </cfRule>
    <cfRule type="containsText" dxfId="11302" priority="12392" operator="containsText" text="정규교과">
      <formula>NOT(ISERROR(SEARCH(("정규교과"),(E69))))</formula>
    </cfRule>
    <cfRule type="containsText" dxfId="11301" priority="12393" operator="containsText" text="기타">
      <formula>NOT(ISERROR(SEARCH(("기타"),(E69))))</formula>
    </cfRule>
    <cfRule type="containsText" dxfId="11300" priority="12394" operator="containsText" text="프로젝트">
      <formula>NOT(ISERROR(SEARCH(("프로젝트"),(E69))))</formula>
    </cfRule>
    <cfRule type="containsText" dxfId="11299" priority="12395" operator="containsText" text="정규교과">
      <formula>NOT(ISERROR(SEARCH(("정규교과"),(E69))))</formula>
    </cfRule>
    <cfRule type="containsText" dxfId="11298" priority="12396" operator="containsText" text="기타">
      <formula>NOT(ISERROR(SEARCH(("기타"),(E69))))</formula>
    </cfRule>
    <cfRule type="containsText" dxfId="11297" priority="12412" operator="containsText" text="프로젝트">
      <formula>NOT(ISERROR(SEARCH(("프로젝트"),(E69))))</formula>
    </cfRule>
    <cfRule type="containsText" dxfId="11296" priority="12361" operator="containsText" text="프로젝트">
      <formula>NOT(ISERROR(SEARCH(("프로젝트"),(E69))))</formula>
    </cfRule>
    <cfRule type="containsText" dxfId="11295" priority="12362" operator="containsText" text="정규교과">
      <formula>NOT(ISERROR(SEARCH(("정규교과"),(E69))))</formula>
    </cfRule>
    <cfRule type="containsText" dxfId="11294" priority="12363" operator="containsText" text="기타">
      <formula>NOT(ISERROR(SEARCH(("기타"),(E69))))</formula>
    </cfRule>
    <cfRule type="containsText" dxfId="11293" priority="12386" operator="containsText" text="정규교과">
      <formula>NOT(ISERROR(SEARCH(("정규교과"),(E69))))</formula>
    </cfRule>
    <cfRule type="containsText" dxfId="11292" priority="12364" operator="containsText" text="프로젝트">
      <formula>NOT(ISERROR(SEARCH(("프로젝트"),(E69))))</formula>
    </cfRule>
    <cfRule type="containsText" dxfId="11291" priority="12365" operator="containsText" text="정규교과">
      <formula>NOT(ISERROR(SEARCH(("정규교과"),(E69))))</formula>
    </cfRule>
    <cfRule type="containsText" dxfId="11290" priority="12366" operator="containsText" text="기타">
      <formula>NOT(ISERROR(SEARCH(("기타"),(E69))))</formula>
    </cfRule>
    <cfRule type="containsText" dxfId="11289" priority="12367" operator="containsText" text="프로젝트">
      <formula>NOT(ISERROR(SEARCH(("프로젝트"),(E69))))</formula>
    </cfRule>
    <cfRule type="containsText" dxfId="11288" priority="12368" operator="containsText" text="정규교과">
      <formula>NOT(ISERROR(SEARCH(("정규교과"),(E69))))</formula>
    </cfRule>
    <cfRule type="containsText" dxfId="11287" priority="12369" operator="containsText" text="기타">
      <formula>NOT(ISERROR(SEARCH(("기타"),(E69))))</formula>
    </cfRule>
    <cfRule type="containsText" dxfId="11286" priority="12370" operator="containsText" text="프로젝트">
      <formula>NOT(ISERROR(SEARCH(("프로젝트"),(E69))))</formula>
    </cfRule>
    <cfRule type="containsText" dxfId="11285" priority="12371" operator="containsText" text="정규교과">
      <formula>NOT(ISERROR(SEARCH(("정규교과"),(E69))))</formula>
    </cfRule>
    <cfRule type="containsText" dxfId="11284" priority="12399" operator="containsText" text="기타">
      <formula>NOT(ISERROR(SEARCH(("기타"),(E69))))</formula>
    </cfRule>
    <cfRule type="containsText" dxfId="11283" priority="12381" operator="containsText" text="기타">
      <formula>NOT(ISERROR(SEARCH(("기타"),(E69))))</formula>
    </cfRule>
    <cfRule type="containsText" dxfId="11282" priority="12379" operator="containsText" text="프로젝트">
      <formula>NOT(ISERROR(SEARCH(("프로젝트"),(E69))))</formula>
    </cfRule>
    <cfRule type="containsText" dxfId="11281" priority="12378" operator="containsText" text="기타">
      <formula>NOT(ISERROR(SEARCH(("기타"),(E69))))</formula>
    </cfRule>
    <cfRule type="containsText" dxfId="11280" priority="12377" operator="containsText" text="정규교과">
      <formula>NOT(ISERROR(SEARCH(("정규교과"),(E69))))</formula>
    </cfRule>
    <cfRule type="containsText" dxfId="11279" priority="12426" operator="containsText" text="기타">
      <formula>NOT(ISERROR(SEARCH(("기타"),(E69))))</formula>
    </cfRule>
    <cfRule type="containsText" dxfId="11278" priority="12425" operator="containsText" text="정규교과">
      <formula>NOT(ISERROR(SEARCH(("정규교과"),(E69))))</formula>
    </cfRule>
    <cfRule type="containsText" dxfId="11277" priority="12423" operator="containsText" text="기타">
      <formula>NOT(ISERROR(SEARCH(("기타"),(E69))))</formula>
    </cfRule>
    <cfRule type="containsText" dxfId="11276" priority="12422" operator="containsText" text="정규교과">
      <formula>NOT(ISERROR(SEARCH(("정규교과"),(E69))))</formula>
    </cfRule>
    <cfRule type="containsText" dxfId="11275" priority="12376" operator="containsText" text="프로젝트">
      <formula>NOT(ISERROR(SEARCH(("프로젝트"),(E69))))</formula>
    </cfRule>
    <cfRule type="containsText" dxfId="11274" priority="12372" operator="containsText" text="기타">
      <formula>NOT(ISERROR(SEARCH(("기타"),(E69))))</formula>
    </cfRule>
    <cfRule type="containsText" dxfId="11273" priority="12373" operator="containsText" text="프로젝트">
      <formula>NOT(ISERROR(SEARCH(("프로젝트"),(E69))))</formula>
    </cfRule>
    <cfRule type="containsText" dxfId="11272" priority="12374" operator="containsText" text="정규교과">
      <formula>NOT(ISERROR(SEARCH(("정규교과"),(E69))))</formula>
    </cfRule>
    <cfRule type="containsText" dxfId="11271" priority="12375" operator="containsText" text="기타">
      <formula>NOT(ISERROR(SEARCH(("기타"),(E69))))</formula>
    </cfRule>
    <cfRule type="containsText" dxfId="11270" priority="12382" operator="containsText" text="프로젝트">
      <formula>NOT(ISERROR(SEARCH(("프로젝트"),(E69))))</formula>
    </cfRule>
    <cfRule type="containsText" dxfId="11269" priority="12380" operator="containsText" text="정규교과">
      <formula>NOT(ISERROR(SEARCH(("정규교과"),(E69))))</formula>
    </cfRule>
    <cfRule type="containsText" dxfId="11268" priority="12356" operator="containsText" text="정규교과">
      <formula>NOT(ISERROR(SEARCH(("정규교과"),(E69))))</formula>
    </cfRule>
    <cfRule type="containsText" dxfId="11267" priority="12355" operator="containsText" text="프로젝트">
      <formula>NOT(ISERROR(SEARCH(("프로젝트"),(E69))))</formula>
    </cfRule>
    <cfRule type="containsText" dxfId="11266" priority="12360" operator="containsText" text="기타">
      <formula>NOT(ISERROR(SEARCH(("기타"),(E69))))</formula>
    </cfRule>
    <cfRule type="containsText" dxfId="11265" priority="12359" operator="containsText" text="정규교과">
      <formula>NOT(ISERROR(SEARCH(("정규교과"),(E69))))</formula>
    </cfRule>
    <cfRule type="containsText" dxfId="11264" priority="12358" operator="containsText" text="프로젝트">
      <formula>NOT(ISERROR(SEARCH(("프로젝트"),(E69))))</formula>
    </cfRule>
    <cfRule type="containsText" dxfId="11263" priority="12357" operator="containsText" text="기타">
      <formula>NOT(ISERROR(SEARCH(("기타"),(E69))))</formula>
    </cfRule>
    <cfRule type="containsText" dxfId="11262" priority="12354" operator="containsText" text="기타">
      <formula>NOT(ISERROR(SEARCH(("기타"),(E69))))</formula>
    </cfRule>
    <cfRule type="containsText" dxfId="11261" priority="12353" operator="containsText" text="정규교과">
      <formula>NOT(ISERROR(SEARCH(("정규교과"),(E69))))</formula>
    </cfRule>
    <cfRule type="containsText" dxfId="11260" priority="12383" operator="containsText" text="정규교과">
      <formula>NOT(ISERROR(SEARCH(("정규교과"),(E69))))</formula>
    </cfRule>
    <cfRule type="containsText" dxfId="11259" priority="12384" operator="containsText" text="기타">
      <formula>NOT(ISERROR(SEARCH(("기타"),(E69))))</formula>
    </cfRule>
    <cfRule type="containsText" dxfId="11258" priority="12385" operator="containsText" text="프로젝트">
      <formula>NOT(ISERROR(SEARCH(("프로젝트"),(E69))))</formula>
    </cfRule>
    <cfRule type="containsText" dxfId="11257" priority="20523" operator="containsText" text="기타">
      <formula>NOT(ISERROR(SEARCH(("기타"),(E69))))</formula>
    </cfRule>
    <cfRule type="containsText" dxfId="11256" priority="20522" operator="containsText" text="정규교과">
      <formula>NOT(ISERROR(SEARCH(("정규교과"),(E69))))</formula>
    </cfRule>
    <cfRule type="containsText" dxfId="11255" priority="20521" operator="containsText" text="프로젝트">
      <formula>NOT(ISERROR(SEARCH(("프로젝트"),(E69))))</formula>
    </cfRule>
    <cfRule type="containsText" dxfId="11254" priority="20520" operator="containsText" text="기타">
      <formula>NOT(ISERROR(SEARCH(("기타"),(E69))))</formula>
    </cfRule>
    <cfRule type="containsText" dxfId="11253" priority="20519" operator="containsText" text="정규교과">
      <formula>NOT(ISERROR(SEARCH(("정규교과"),(E69))))</formula>
    </cfRule>
    <cfRule type="containsText" dxfId="11252" priority="20518" operator="containsText" text="프로젝트">
      <formula>NOT(ISERROR(SEARCH(("프로젝트"),(E69))))</formula>
    </cfRule>
    <cfRule type="containsText" dxfId="11251" priority="12420" operator="containsText" text="기타">
      <formula>NOT(ISERROR(SEARCH(("기타"),(E69))))</formula>
    </cfRule>
    <cfRule type="containsText" dxfId="11250" priority="12419" operator="containsText" text="정규교과">
      <formula>NOT(ISERROR(SEARCH(("정규교과"),(E69))))</formula>
    </cfRule>
    <cfRule type="containsText" dxfId="11249" priority="12418" operator="containsText" text="프로젝트">
      <formula>NOT(ISERROR(SEARCH(("프로젝트"),(E69))))</formula>
    </cfRule>
    <cfRule type="containsText" dxfId="11248" priority="12417" operator="containsText" text="기타">
      <formula>NOT(ISERROR(SEARCH(("기타"),(E69))))</formula>
    </cfRule>
    <cfRule type="containsText" dxfId="11247" priority="12416" operator="containsText" text="정규교과">
      <formula>NOT(ISERROR(SEARCH(("정규교과"),(E69))))</formula>
    </cfRule>
    <cfRule type="containsText" dxfId="11246" priority="12415" operator="containsText" text="프로젝트">
      <formula>NOT(ISERROR(SEARCH(("프로젝트"),(E69))))</formula>
    </cfRule>
    <cfRule type="containsText" dxfId="11245" priority="12414" operator="containsText" text="기타">
      <formula>NOT(ISERROR(SEARCH(("기타"),(E69))))</formula>
    </cfRule>
    <cfRule type="containsText" dxfId="11244" priority="12413" operator="containsText" text="정규교과">
      <formula>NOT(ISERROR(SEARCH(("정규교과"),(E69))))</formula>
    </cfRule>
  </conditionalFormatting>
  <conditionalFormatting sqref="E110">
    <cfRule type="containsText" dxfId="11243" priority="8883" operator="containsText" text="기타">
      <formula>NOT(ISERROR(SEARCH(("기타"),(E110))))</formula>
    </cfRule>
    <cfRule type="containsText" dxfId="11242" priority="8878" operator="containsText" text="프로젝트">
      <formula>NOT(ISERROR(SEARCH(("프로젝트"),(E110))))</formula>
    </cfRule>
    <cfRule type="containsText" dxfId="11241" priority="8882" operator="containsText" text="정규교과">
      <formula>NOT(ISERROR(SEARCH(("정규교과"),(E110))))</formula>
    </cfRule>
    <cfRule type="containsText" dxfId="11240" priority="8869" operator="containsText" text="프로젝트">
      <formula>NOT(ISERROR(SEARCH(("프로젝트"),(E110))))</formula>
    </cfRule>
    <cfRule type="containsText" dxfId="11239" priority="8870" operator="containsText" text="정규교과">
      <formula>NOT(ISERROR(SEARCH(("정규교과"),(E110))))</formula>
    </cfRule>
    <cfRule type="containsText" dxfId="11238" priority="8871" operator="containsText" text="기타">
      <formula>NOT(ISERROR(SEARCH(("기타"),(E110))))</formula>
    </cfRule>
    <cfRule type="containsText" dxfId="11237" priority="8872" operator="containsText" text="프로젝트">
      <formula>NOT(ISERROR(SEARCH(("프로젝트"),(E110))))</formula>
    </cfRule>
    <cfRule type="containsText" dxfId="11236" priority="8873" operator="containsText" text="정규교과">
      <formula>NOT(ISERROR(SEARCH(("정규교과"),(E110))))</formula>
    </cfRule>
    <cfRule type="containsText" dxfId="11235" priority="8874" operator="containsText" text="기타">
      <formula>NOT(ISERROR(SEARCH(("기타"),(E110))))</formula>
    </cfRule>
    <cfRule type="containsText" dxfId="11234" priority="8875" operator="containsText" text="프로젝트">
      <formula>NOT(ISERROR(SEARCH(("프로젝트"),(E110))))</formula>
    </cfRule>
    <cfRule type="containsText" dxfId="11233" priority="8876" operator="containsText" text="정규교과">
      <formula>NOT(ISERROR(SEARCH(("정규교과"),(E110))))</formula>
    </cfRule>
    <cfRule type="containsText" dxfId="11232" priority="8877" operator="containsText" text="기타">
      <formula>NOT(ISERROR(SEARCH(("기타"),(E110))))</formula>
    </cfRule>
    <cfRule type="containsText" dxfId="11231" priority="8868" operator="containsText" text="휴강">
      <formula>NOT(ISERROR(SEARCH(("휴강"),(E110))))</formula>
    </cfRule>
    <cfRule type="containsText" dxfId="11230" priority="8879" operator="containsText" text="정규교과">
      <formula>NOT(ISERROR(SEARCH(("정규교과"),(E110))))</formula>
    </cfRule>
    <cfRule type="containsText" dxfId="11229" priority="8880" operator="containsText" text="기타">
      <formula>NOT(ISERROR(SEARCH(("기타"),(E110))))</formula>
    </cfRule>
    <cfRule type="containsText" dxfId="11228" priority="8881" operator="containsText" text="프로젝트">
      <formula>NOT(ISERROR(SEARCH(("프로젝트"),(E110))))</formula>
    </cfRule>
  </conditionalFormatting>
  <conditionalFormatting sqref="E114">
    <cfRule type="containsText" dxfId="11227" priority="8802" operator="containsText" text="정규교과">
      <formula>NOT(ISERROR(SEARCH(("정규교과"),(E114))))</formula>
    </cfRule>
    <cfRule type="containsText" dxfId="11226" priority="8801" operator="containsText" text="프로젝트">
      <formula>NOT(ISERROR(SEARCH(("프로젝트"),(E114))))</formula>
    </cfRule>
    <cfRule type="containsText" dxfId="11225" priority="8800" operator="containsText" text="기타">
      <formula>NOT(ISERROR(SEARCH(("기타"),(E114))))</formula>
    </cfRule>
    <cfRule type="containsText" dxfId="11224" priority="8799" operator="containsText" text="정규교과">
      <formula>NOT(ISERROR(SEARCH(("정규교과"),(E114))))</formula>
    </cfRule>
    <cfRule type="containsText" dxfId="11223" priority="8798" operator="containsText" text="프로젝트">
      <formula>NOT(ISERROR(SEARCH(("프로젝트"),(E114))))</formula>
    </cfRule>
    <cfRule type="containsText" dxfId="11222" priority="8792" operator="containsText" text="프로젝트">
      <formula>NOT(ISERROR(SEARCH(("프로젝트"),(E114))))</formula>
    </cfRule>
    <cfRule type="containsText" dxfId="11221" priority="8793" operator="containsText" text="정규교과">
      <formula>NOT(ISERROR(SEARCH(("정규교과"),(E114))))</formula>
    </cfRule>
    <cfRule type="containsText" dxfId="11220" priority="8794" operator="containsText" text="기타">
      <formula>NOT(ISERROR(SEARCH(("기타"),(E114))))</formula>
    </cfRule>
    <cfRule type="containsText" dxfId="11219" priority="8797" operator="containsText" text="기타">
      <formula>NOT(ISERROR(SEARCH(("기타"),(E114))))</formula>
    </cfRule>
    <cfRule type="containsText" dxfId="11218" priority="8796" operator="containsText" text="정규교과">
      <formula>NOT(ISERROR(SEARCH(("정규교과"),(E114))))</formula>
    </cfRule>
    <cfRule type="containsText" dxfId="11217" priority="8795" operator="containsText" text="프로젝트">
      <formula>NOT(ISERROR(SEARCH(("프로젝트"),(E114))))</formula>
    </cfRule>
    <cfRule type="containsText" dxfId="11216" priority="8788" operator="containsText" text="휴강">
      <formula>NOT(ISERROR(SEARCH(("휴강"),(E114))))</formula>
    </cfRule>
    <cfRule type="containsText" dxfId="11215" priority="8789" operator="containsText" text="프로젝트">
      <formula>NOT(ISERROR(SEARCH(("프로젝트"),(E114))))</formula>
    </cfRule>
    <cfRule type="containsText" dxfId="11214" priority="8790" operator="containsText" text="정규교과">
      <formula>NOT(ISERROR(SEARCH(("정규교과"),(E114))))</formula>
    </cfRule>
    <cfRule type="containsText" dxfId="11213" priority="8791" operator="containsText" text="기타">
      <formula>NOT(ISERROR(SEARCH(("기타"),(E114))))</formula>
    </cfRule>
    <cfRule type="containsText" dxfId="11212" priority="8803" operator="containsText" text="기타">
      <formula>NOT(ISERROR(SEARCH(("기타"),(E114))))</formula>
    </cfRule>
  </conditionalFormatting>
  <conditionalFormatting sqref="E118">
    <cfRule type="containsText" dxfId="11211" priority="8715" operator="containsText" text="프로젝트">
      <formula>NOT(ISERROR(SEARCH(("프로젝트"),(E118))))</formula>
    </cfRule>
    <cfRule type="containsText" dxfId="11210" priority="8723" operator="containsText" text="기타">
      <formula>NOT(ISERROR(SEARCH(("기타"),(E118))))</formula>
    </cfRule>
    <cfRule type="containsText" dxfId="11209" priority="8722" operator="containsText" text="정규교과">
      <formula>NOT(ISERROR(SEARCH(("정규교과"),(E118))))</formula>
    </cfRule>
    <cfRule type="containsText" dxfId="11208" priority="8721" operator="containsText" text="프로젝트">
      <formula>NOT(ISERROR(SEARCH(("프로젝트"),(E118))))</formula>
    </cfRule>
    <cfRule type="containsText" dxfId="11207" priority="8720" operator="containsText" text="기타">
      <formula>NOT(ISERROR(SEARCH(("기타"),(E118))))</formula>
    </cfRule>
    <cfRule type="containsText" dxfId="11206" priority="8719" operator="containsText" text="정규교과">
      <formula>NOT(ISERROR(SEARCH(("정규교과"),(E118))))</formula>
    </cfRule>
    <cfRule type="containsText" dxfId="11205" priority="8718" operator="containsText" text="프로젝트">
      <formula>NOT(ISERROR(SEARCH(("프로젝트"),(E118))))</formula>
    </cfRule>
    <cfRule type="containsText" dxfId="11204" priority="8717" operator="containsText" text="기타">
      <formula>NOT(ISERROR(SEARCH(("기타"),(E118))))</formula>
    </cfRule>
    <cfRule type="containsText" dxfId="11203" priority="8716" operator="containsText" text="정규교과">
      <formula>NOT(ISERROR(SEARCH(("정규교과"),(E118))))</formula>
    </cfRule>
    <cfRule type="containsText" dxfId="11202" priority="8714" operator="containsText" text="기타">
      <formula>NOT(ISERROR(SEARCH(("기타"),(E118))))</formula>
    </cfRule>
    <cfRule type="containsText" dxfId="11201" priority="8713" operator="containsText" text="정규교과">
      <formula>NOT(ISERROR(SEARCH(("정규교과"),(E118))))</formula>
    </cfRule>
    <cfRule type="containsText" dxfId="11200" priority="8712" operator="containsText" text="프로젝트">
      <formula>NOT(ISERROR(SEARCH(("프로젝트"),(E118))))</formula>
    </cfRule>
    <cfRule type="containsText" dxfId="11199" priority="8711" operator="containsText" text="기타">
      <formula>NOT(ISERROR(SEARCH(("기타"),(E118))))</formula>
    </cfRule>
    <cfRule type="containsText" dxfId="11198" priority="8710" operator="containsText" text="정규교과">
      <formula>NOT(ISERROR(SEARCH(("정규교과"),(E118))))</formula>
    </cfRule>
    <cfRule type="containsText" dxfId="11197" priority="8709" operator="containsText" text="프로젝트">
      <formula>NOT(ISERROR(SEARCH(("프로젝트"),(E118))))</formula>
    </cfRule>
    <cfRule type="containsText" dxfId="11196" priority="8708" operator="containsText" text="휴강">
      <formula>NOT(ISERROR(SEARCH(("휴강"),(E118))))</formula>
    </cfRule>
  </conditionalFormatting>
  <conditionalFormatting sqref="E123">
    <cfRule type="containsText" dxfId="11195" priority="8633" operator="containsText" text="정규교과">
      <formula>NOT(ISERROR(SEARCH(("정규교과"),(E123))))</formula>
    </cfRule>
    <cfRule type="containsText" dxfId="11194" priority="8632" operator="containsText" text="프로젝트">
      <formula>NOT(ISERROR(SEARCH(("프로젝트"),(E123))))</formula>
    </cfRule>
    <cfRule type="containsText" dxfId="11193" priority="8631" operator="containsText" text="기타">
      <formula>NOT(ISERROR(SEARCH(("기타"),(E123))))</formula>
    </cfRule>
    <cfRule type="containsText" dxfId="11192" priority="8630" operator="containsText" text="정규교과">
      <formula>NOT(ISERROR(SEARCH(("정규교과"),(E123))))</formula>
    </cfRule>
    <cfRule type="containsText" dxfId="11191" priority="8629" operator="containsText" text="프로젝트">
      <formula>NOT(ISERROR(SEARCH(("프로젝트"),(E123))))</formula>
    </cfRule>
    <cfRule type="containsText" dxfId="11190" priority="8628" operator="containsText" text="휴강">
      <formula>NOT(ISERROR(SEARCH(("휴강"),(E123))))</formula>
    </cfRule>
    <cfRule type="containsText" dxfId="11189" priority="8643" operator="containsText" text="기타">
      <formula>NOT(ISERROR(SEARCH(("기타"),(E123))))</formula>
    </cfRule>
    <cfRule type="containsText" dxfId="11188" priority="8634" operator="containsText" text="기타">
      <formula>NOT(ISERROR(SEARCH(("기타"),(E123))))</formula>
    </cfRule>
    <cfRule type="containsText" dxfId="11187" priority="8636" operator="containsText" text="정규교과">
      <formula>NOT(ISERROR(SEARCH(("정규교과"),(E123))))</formula>
    </cfRule>
    <cfRule type="containsText" dxfId="11186" priority="8642" operator="containsText" text="정규교과">
      <formula>NOT(ISERROR(SEARCH(("정규교과"),(E123))))</formula>
    </cfRule>
    <cfRule type="containsText" dxfId="11185" priority="8640" operator="containsText" text="기타">
      <formula>NOT(ISERROR(SEARCH(("기타"),(E123))))</formula>
    </cfRule>
    <cfRule type="containsText" dxfId="11184" priority="8639" operator="containsText" text="정규교과">
      <formula>NOT(ISERROR(SEARCH(("정규교과"),(E123))))</formula>
    </cfRule>
    <cfRule type="containsText" dxfId="11183" priority="8638" operator="containsText" text="프로젝트">
      <formula>NOT(ISERROR(SEARCH(("프로젝트"),(E123))))</formula>
    </cfRule>
    <cfRule type="containsText" dxfId="11182" priority="8637" operator="containsText" text="기타">
      <formula>NOT(ISERROR(SEARCH(("기타"),(E123))))</formula>
    </cfRule>
    <cfRule type="containsText" dxfId="11181" priority="8641" operator="containsText" text="프로젝트">
      <formula>NOT(ISERROR(SEARCH(("프로젝트"),(E123))))</formula>
    </cfRule>
    <cfRule type="containsText" dxfId="11180" priority="8635" operator="containsText" text="프로젝트">
      <formula>NOT(ISERROR(SEARCH(("프로젝트"),(E123))))</formula>
    </cfRule>
  </conditionalFormatting>
  <conditionalFormatting sqref="E127">
    <cfRule type="containsText" dxfId="11179" priority="8548" operator="containsText" text="휴강">
      <formula>NOT(ISERROR(SEARCH(("휴강"),(E127))))</formula>
    </cfRule>
    <cfRule type="containsText" dxfId="11178" priority="8549" operator="containsText" text="프로젝트">
      <formula>NOT(ISERROR(SEARCH(("프로젝트"),(E127))))</formula>
    </cfRule>
    <cfRule type="containsText" dxfId="11177" priority="8550" operator="containsText" text="정규교과">
      <formula>NOT(ISERROR(SEARCH(("정규교과"),(E127))))</formula>
    </cfRule>
    <cfRule type="containsText" dxfId="11176" priority="8561" operator="containsText" text="프로젝트">
      <formula>NOT(ISERROR(SEARCH(("프로젝트"),(E127))))</formula>
    </cfRule>
    <cfRule type="containsText" dxfId="11175" priority="8551" operator="containsText" text="기타">
      <formula>NOT(ISERROR(SEARCH(("기타"),(E127))))</formula>
    </cfRule>
    <cfRule type="containsText" dxfId="11174" priority="8552" operator="containsText" text="프로젝트">
      <formula>NOT(ISERROR(SEARCH(("프로젝트"),(E127))))</formula>
    </cfRule>
    <cfRule type="containsText" dxfId="11173" priority="8553" operator="containsText" text="정규교과">
      <formula>NOT(ISERROR(SEARCH(("정규교과"),(E127))))</formula>
    </cfRule>
    <cfRule type="containsText" dxfId="11172" priority="8554" operator="containsText" text="기타">
      <formula>NOT(ISERROR(SEARCH(("기타"),(E127))))</formula>
    </cfRule>
    <cfRule type="containsText" dxfId="11171" priority="8555" operator="containsText" text="프로젝트">
      <formula>NOT(ISERROR(SEARCH(("프로젝트"),(E127))))</formula>
    </cfRule>
    <cfRule type="containsText" dxfId="11170" priority="8556" operator="containsText" text="정규교과">
      <formula>NOT(ISERROR(SEARCH(("정규교과"),(E127))))</formula>
    </cfRule>
    <cfRule type="containsText" dxfId="11169" priority="8557" operator="containsText" text="기타">
      <formula>NOT(ISERROR(SEARCH(("기타"),(E127))))</formula>
    </cfRule>
    <cfRule type="containsText" dxfId="11168" priority="8558" operator="containsText" text="프로젝트">
      <formula>NOT(ISERROR(SEARCH(("프로젝트"),(E127))))</formula>
    </cfRule>
    <cfRule type="containsText" dxfId="11167" priority="8559" operator="containsText" text="정규교과">
      <formula>NOT(ISERROR(SEARCH(("정규교과"),(E127))))</formula>
    </cfRule>
    <cfRule type="containsText" dxfId="11166" priority="8560" operator="containsText" text="기타">
      <formula>NOT(ISERROR(SEARCH(("기타"),(E127))))</formula>
    </cfRule>
    <cfRule type="containsText" dxfId="11165" priority="8562" operator="containsText" text="정규교과">
      <formula>NOT(ISERROR(SEARCH(("정규교과"),(E127))))</formula>
    </cfRule>
    <cfRule type="containsText" dxfId="11164" priority="8563" operator="containsText" text="기타">
      <formula>NOT(ISERROR(SEARCH(("기타"),(E127))))</formula>
    </cfRule>
  </conditionalFormatting>
  <conditionalFormatting sqref="E131">
    <cfRule type="containsText" dxfId="11163" priority="8474" operator="containsText" text="기타">
      <formula>NOT(ISERROR(SEARCH(("기타"),(E131))))</formula>
    </cfRule>
    <cfRule type="containsText" dxfId="11162" priority="8468" operator="containsText" text="휴강">
      <formula>NOT(ISERROR(SEARCH(("휴강"),(E131))))</formula>
    </cfRule>
    <cfRule type="containsText" dxfId="11161" priority="8469" operator="containsText" text="프로젝트">
      <formula>NOT(ISERROR(SEARCH(("프로젝트"),(E131))))</formula>
    </cfRule>
    <cfRule type="containsText" dxfId="11160" priority="8470" operator="containsText" text="정규교과">
      <formula>NOT(ISERROR(SEARCH(("정규교과"),(E131))))</formula>
    </cfRule>
    <cfRule type="containsText" dxfId="11159" priority="8471" operator="containsText" text="기타">
      <formula>NOT(ISERROR(SEARCH(("기타"),(E131))))</formula>
    </cfRule>
    <cfRule type="containsText" dxfId="11158" priority="8472" operator="containsText" text="프로젝트">
      <formula>NOT(ISERROR(SEARCH(("프로젝트"),(E131))))</formula>
    </cfRule>
    <cfRule type="containsText" dxfId="11157" priority="8473" operator="containsText" text="정규교과">
      <formula>NOT(ISERROR(SEARCH(("정규교과"),(E131))))</formula>
    </cfRule>
    <cfRule type="containsText" dxfId="11156" priority="8481" operator="containsText" text="프로젝트">
      <formula>NOT(ISERROR(SEARCH(("프로젝트"),(E131))))</formula>
    </cfRule>
    <cfRule type="containsText" dxfId="11155" priority="8475" operator="containsText" text="프로젝트">
      <formula>NOT(ISERROR(SEARCH(("프로젝트"),(E131))))</formula>
    </cfRule>
    <cfRule type="containsText" dxfId="11154" priority="8476" operator="containsText" text="정규교과">
      <formula>NOT(ISERROR(SEARCH(("정규교과"),(E131))))</formula>
    </cfRule>
    <cfRule type="containsText" dxfId="11153" priority="8483" operator="containsText" text="기타">
      <formula>NOT(ISERROR(SEARCH(("기타"),(E131))))</formula>
    </cfRule>
    <cfRule type="containsText" dxfId="11152" priority="8482" operator="containsText" text="정규교과">
      <formula>NOT(ISERROR(SEARCH(("정규교과"),(E131))))</formula>
    </cfRule>
    <cfRule type="containsText" dxfId="11151" priority="8480" operator="containsText" text="기타">
      <formula>NOT(ISERROR(SEARCH(("기타"),(E131))))</formula>
    </cfRule>
    <cfRule type="containsText" dxfId="11150" priority="8479" operator="containsText" text="정규교과">
      <formula>NOT(ISERROR(SEARCH(("정규교과"),(E131))))</formula>
    </cfRule>
    <cfRule type="containsText" dxfId="11149" priority="8477" operator="containsText" text="기타">
      <formula>NOT(ISERROR(SEARCH(("기타"),(E131))))</formula>
    </cfRule>
    <cfRule type="containsText" dxfId="11148" priority="8478" operator="containsText" text="프로젝트">
      <formula>NOT(ISERROR(SEARCH(("프로젝트"),(E131))))</formula>
    </cfRule>
  </conditionalFormatting>
  <conditionalFormatting sqref="E135">
    <cfRule type="containsText" dxfId="11147" priority="8391" operator="containsText" text="기타">
      <formula>NOT(ISERROR(SEARCH(("기타"),(E135))))</formula>
    </cfRule>
    <cfRule type="containsText" dxfId="11146" priority="8400" operator="containsText" text="기타">
      <formula>NOT(ISERROR(SEARCH(("기타"),(E135))))</formula>
    </cfRule>
    <cfRule type="containsText" dxfId="11145" priority="8403" operator="containsText" text="기타">
      <formula>NOT(ISERROR(SEARCH(("기타"),(E135))))</formula>
    </cfRule>
    <cfRule type="containsText" dxfId="11144" priority="8394" operator="containsText" text="기타">
      <formula>NOT(ISERROR(SEARCH(("기타"),(E135))))</formula>
    </cfRule>
    <cfRule type="containsText" dxfId="11143" priority="8393" operator="containsText" text="정규교과">
      <formula>NOT(ISERROR(SEARCH(("정규교과"),(E135))))</formula>
    </cfRule>
    <cfRule type="containsText" dxfId="11142" priority="8392" operator="containsText" text="프로젝트">
      <formula>NOT(ISERROR(SEARCH(("프로젝트"),(E135))))</formula>
    </cfRule>
    <cfRule type="containsText" dxfId="11141" priority="8399" operator="containsText" text="정규교과">
      <formula>NOT(ISERROR(SEARCH(("정규교과"),(E135))))</formula>
    </cfRule>
    <cfRule type="containsText" dxfId="11140" priority="8397" operator="containsText" text="기타">
      <formula>NOT(ISERROR(SEARCH(("기타"),(E135))))</formula>
    </cfRule>
    <cfRule type="containsText" dxfId="11139" priority="8398" operator="containsText" text="프로젝트">
      <formula>NOT(ISERROR(SEARCH(("프로젝트"),(E135))))</formula>
    </cfRule>
    <cfRule type="containsText" dxfId="11138" priority="8390" operator="containsText" text="정규교과">
      <formula>NOT(ISERROR(SEARCH(("정규교과"),(E135))))</formula>
    </cfRule>
    <cfRule type="containsText" dxfId="11137" priority="8389" operator="containsText" text="프로젝트">
      <formula>NOT(ISERROR(SEARCH(("프로젝트"),(E135))))</formula>
    </cfRule>
    <cfRule type="containsText" dxfId="11136" priority="8388" operator="containsText" text="휴강">
      <formula>NOT(ISERROR(SEARCH(("휴강"),(E135))))</formula>
    </cfRule>
    <cfRule type="containsText" dxfId="11135" priority="8395" operator="containsText" text="프로젝트">
      <formula>NOT(ISERROR(SEARCH(("프로젝트"),(E135))))</formula>
    </cfRule>
    <cfRule type="containsText" dxfId="11134" priority="8396" operator="containsText" text="정규교과">
      <formula>NOT(ISERROR(SEARCH(("정규교과"),(E135))))</formula>
    </cfRule>
    <cfRule type="containsText" dxfId="11133" priority="8401" operator="containsText" text="프로젝트">
      <formula>NOT(ISERROR(SEARCH(("프로젝트"),(E135))))</formula>
    </cfRule>
    <cfRule type="containsText" dxfId="11132" priority="8402" operator="containsText" text="정규교과">
      <formula>NOT(ISERROR(SEARCH(("정규교과"),(E135))))</formula>
    </cfRule>
  </conditionalFormatting>
  <conditionalFormatting sqref="E139">
    <cfRule type="containsText" dxfId="11131" priority="8322" operator="containsText" text="정규교과">
      <formula>NOT(ISERROR(SEARCH(("정규교과"),(E139))))</formula>
    </cfRule>
    <cfRule type="containsText" dxfId="11130" priority="8320" operator="containsText" text="기타">
      <formula>NOT(ISERROR(SEARCH(("기타"),(E139))))</formula>
    </cfRule>
    <cfRule type="containsText" dxfId="11129" priority="8319" operator="containsText" text="정규교과">
      <formula>NOT(ISERROR(SEARCH(("정규교과"),(E139))))</formula>
    </cfRule>
    <cfRule type="containsText" dxfId="11128" priority="8318" operator="containsText" text="프로젝트">
      <formula>NOT(ISERROR(SEARCH(("프로젝트"),(E139))))</formula>
    </cfRule>
    <cfRule type="containsText" dxfId="11127" priority="8317" operator="containsText" text="기타">
      <formula>NOT(ISERROR(SEARCH(("기타"),(E139))))</formula>
    </cfRule>
    <cfRule type="containsText" dxfId="11126" priority="8316" operator="containsText" text="정규교과">
      <formula>NOT(ISERROR(SEARCH(("정규교과"),(E139))))</formula>
    </cfRule>
    <cfRule type="containsText" dxfId="11125" priority="8314" operator="containsText" text="기타">
      <formula>NOT(ISERROR(SEARCH(("기타"),(E139))))</formula>
    </cfRule>
    <cfRule type="containsText" dxfId="11124" priority="8321" operator="containsText" text="프로젝트">
      <formula>NOT(ISERROR(SEARCH(("프로젝트"),(E139))))</formula>
    </cfRule>
    <cfRule type="containsText" dxfId="11123" priority="8309" operator="containsText" text="프로젝트">
      <formula>NOT(ISERROR(SEARCH(("프로젝트"),(E139))))</formula>
    </cfRule>
    <cfRule type="containsText" dxfId="11122" priority="8308" operator="containsText" text="휴강">
      <formula>NOT(ISERROR(SEARCH(("휴강"),(E139))))</formula>
    </cfRule>
    <cfRule type="containsText" dxfId="11121" priority="8310" operator="containsText" text="정규교과">
      <formula>NOT(ISERROR(SEARCH(("정규교과"),(E139))))</formula>
    </cfRule>
    <cfRule type="containsText" dxfId="11120" priority="8311" operator="containsText" text="기타">
      <formula>NOT(ISERROR(SEARCH(("기타"),(E139))))</formula>
    </cfRule>
    <cfRule type="containsText" dxfId="11119" priority="8312" operator="containsText" text="프로젝트">
      <formula>NOT(ISERROR(SEARCH(("프로젝트"),(E139))))</formula>
    </cfRule>
    <cfRule type="containsText" dxfId="11118" priority="8313" operator="containsText" text="정규교과">
      <formula>NOT(ISERROR(SEARCH(("정규교과"),(E139))))</formula>
    </cfRule>
    <cfRule type="containsText" dxfId="11117" priority="8315" operator="containsText" text="프로젝트">
      <formula>NOT(ISERROR(SEARCH(("프로젝트"),(E139))))</formula>
    </cfRule>
    <cfRule type="containsText" dxfId="11116" priority="8323" operator="containsText" text="기타">
      <formula>NOT(ISERROR(SEARCH(("기타"),(E139))))</formula>
    </cfRule>
  </conditionalFormatting>
  <conditionalFormatting sqref="E145">
    <cfRule type="containsText" dxfId="11115" priority="6599" operator="containsText" text="프로젝트">
      <formula>NOT(ISERROR(SEARCH(("프로젝트"),(E145))))</formula>
    </cfRule>
    <cfRule type="containsText" dxfId="11114" priority="6598" operator="containsText" text="기타">
      <formula>NOT(ISERROR(SEARCH(("기타"),(E145))))</formula>
    </cfRule>
    <cfRule type="containsText" dxfId="11113" priority="6604" operator="containsText" text="기타">
      <formula>NOT(ISERROR(SEARCH(("기타"),(E145))))</formula>
    </cfRule>
    <cfRule type="containsText" dxfId="11112" priority="6605" operator="containsText" text="프로젝트">
      <formula>NOT(ISERROR(SEARCH(("프로젝트"),(E145))))</formula>
    </cfRule>
    <cfRule type="containsText" dxfId="11111" priority="6603" operator="containsText" text="정규교과">
      <formula>NOT(ISERROR(SEARCH(("정규교과"),(E145))))</formula>
    </cfRule>
    <cfRule type="containsText" dxfId="11110" priority="6606" operator="containsText" text="정규교과">
      <formula>NOT(ISERROR(SEARCH(("정규교과"),(E145))))</formula>
    </cfRule>
    <cfRule type="containsText" dxfId="11109" priority="6601" operator="containsText" text="기타">
      <formula>NOT(ISERROR(SEARCH(("기타"),(E145))))</formula>
    </cfRule>
    <cfRule type="containsText" dxfId="11108" priority="6593" operator="containsText" text="프로젝트">
      <formula>NOT(ISERROR(SEARCH(("프로젝트"),(E145))))</formula>
    </cfRule>
    <cfRule type="containsText" dxfId="11107" priority="6594" operator="containsText" text="정규교과">
      <formula>NOT(ISERROR(SEARCH(("정규교과"),(E145))))</formula>
    </cfRule>
    <cfRule type="containsText" dxfId="11106" priority="6595" operator="containsText" text="기타">
      <formula>NOT(ISERROR(SEARCH(("기타"),(E145))))</formula>
    </cfRule>
    <cfRule type="containsText" dxfId="11105" priority="6592" operator="containsText" text="휴강">
      <formula>NOT(ISERROR(SEARCH(("휴강"),(E145))))</formula>
    </cfRule>
    <cfRule type="containsText" dxfId="11104" priority="6597" operator="containsText" text="정규교과">
      <formula>NOT(ISERROR(SEARCH(("정규교과"),(E145))))</formula>
    </cfRule>
    <cfRule type="containsText" dxfId="11103" priority="6607" operator="containsText" text="기타">
      <formula>NOT(ISERROR(SEARCH(("기타"),(E145))))</formula>
    </cfRule>
    <cfRule type="containsText" dxfId="11102" priority="6600" operator="containsText" text="정규교과">
      <formula>NOT(ISERROR(SEARCH(("정규교과"),(E145))))</formula>
    </cfRule>
    <cfRule type="containsText" dxfId="11101" priority="6602" operator="containsText" text="프로젝트">
      <formula>NOT(ISERROR(SEARCH(("프로젝트"),(E145))))</formula>
    </cfRule>
    <cfRule type="containsText" dxfId="11100" priority="6596" operator="containsText" text="프로젝트">
      <formula>NOT(ISERROR(SEARCH(("프로젝트"),(E145))))</formula>
    </cfRule>
  </conditionalFormatting>
  <conditionalFormatting sqref="E149">
    <cfRule type="containsText" dxfId="11099" priority="6555" operator="containsText" text="정규교과">
      <formula>NOT(ISERROR(SEARCH(("정규교과"),(E149))))</formula>
    </cfRule>
    <cfRule type="containsText" dxfId="11098" priority="6556" operator="containsText" text="기타">
      <formula>NOT(ISERROR(SEARCH(("기타"),(E149))))</formula>
    </cfRule>
    <cfRule type="containsText" dxfId="11097" priority="6545" operator="containsText" text="프로젝트">
      <formula>NOT(ISERROR(SEARCH(("프로젝트"),(E149))))</formula>
    </cfRule>
    <cfRule type="containsText" dxfId="11096" priority="6546" operator="containsText" text="정규교과">
      <formula>NOT(ISERROR(SEARCH(("정규교과"),(E149))))</formula>
    </cfRule>
    <cfRule type="containsText" dxfId="11095" priority="6547" operator="containsText" text="기타">
      <formula>NOT(ISERROR(SEARCH(("기타"),(E149))))</formula>
    </cfRule>
    <cfRule type="containsText" dxfId="11094" priority="6548" operator="containsText" text="프로젝트">
      <formula>NOT(ISERROR(SEARCH(("프로젝트"),(E149))))</formula>
    </cfRule>
    <cfRule type="containsText" dxfId="11093" priority="6549" operator="containsText" text="정규교과">
      <formula>NOT(ISERROR(SEARCH(("정규교과"),(E149))))</formula>
    </cfRule>
    <cfRule type="containsText" dxfId="11092" priority="6557" operator="containsText" text="프로젝트">
      <formula>NOT(ISERROR(SEARCH(("프로젝트"),(E149))))</formula>
    </cfRule>
    <cfRule type="containsText" dxfId="11091" priority="6558" operator="containsText" text="정규교과">
      <formula>NOT(ISERROR(SEARCH(("정규교과"),(E149))))</formula>
    </cfRule>
    <cfRule type="containsText" dxfId="11090" priority="6544" operator="containsText" text="휴강">
      <formula>NOT(ISERROR(SEARCH(("휴강"),(E149))))</formula>
    </cfRule>
    <cfRule type="containsText" dxfId="11089" priority="6559" operator="containsText" text="기타">
      <formula>NOT(ISERROR(SEARCH(("기타"),(E149))))</formula>
    </cfRule>
    <cfRule type="containsText" dxfId="11088" priority="6550" operator="containsText" text="기타">
      <formula>NOT(ISERROR(SEARCH(("기타"),(E149))))</formula>
    </cfRule>
    <cfRule type="containsText" dxfId="11087" priority="6551" operator="containsText" text="프로젝트">
      <formula>NOT(ISERROR(SEARCH(("프로젝트"),(E149))))</formula>
    </cfRule>
    <cfRule type="containsText" dxfId="11086" priority="6552" operator="containsText" text="정규교과">
      <formula>NOT(ISERROR(SEARCH(("정규교과"),(E149))))</formula>
    </cfRule>
    <cfRule type="containsText" dxfId="11085" priority="6553" operator="containsText" text="기타">
      <formula>NOT(ISERROR(SEARCH(("기타"),(E149))))</formula>
    </cfRule>
    <cfRule type="containsText" dxfId="11084" priority="6554" operator="containsText" text="프로젝트">
      <formula>NOT(ISERROR(SEARCH(("프로젝트"),(E149))))</formula>
    </cfRule>
  </conditionalFormatting>
  <conditionalFormatting sqref="E153">
    <cfRule type="containsText" dxfId="11083" priority="6509" operator="containsText" text="프로젝트">
      <formula>NOT(ISERROR(SEARCH(("프로젝트"),(E153))))</formula>
    </cfRule>
    <cfRule type="containsText" dxfId="11082" priority="6511" operator="containsText" text="기타">
      <formula>NOT(ISERROR(SEARCH(("기타"),(E153))))</formula>
    </cfRule>
    <cfRule type="containsText" dxfId="11081" priority="6510" operator="containsText" text="정규교과">
      <formula>NOT(ISERROR(SEARCH(("정규교과"),(E153))))</formula>
    </cfRule>
    <cfRule type="containsText" dxfId="11080" priority="6508" operator="containsText" text="기타">
      <formula>NOT(ISERROR(SEARCH(("기타"),(E153))))</formula>
    </cfRule>
    <cfRule type="containsText" dxfId="11079" priority="6507" operator="containsText" text="정규교과">
      <formula>NOT(ISERROR(SEARCH(("정규교과"),(E153))))</formula>
    </cfRule>
    <cfRule type="containsText" dxfId="11078" priority="6506" operator="containsText" text="프로젝트">
      <formula>NOT(ISERROR(SEARCH(("프로젝트"),(E153))))</formula>
    </cfRule>
    <cfRule type="containsText" dxfId="11077" priority="6505" operator="containsText" text="기타">
      <formula>NOT(ISERROR(SEARCH(("기타"),(E153))))</formula>
    </cfRule>
    <cfRule type="containsText" dxfId="11076" priority="6504" operator="containsText" text="정규교과">
      <formula>NOT(ISERROR(SEARCH(("정규교과"),(E153))))</formula>
    </cfRule>
    <cfRule type="containsText" dxfId="11075" priority="6503" operator="containsText" text="프로젝트">
      <formula>NOT(ISERROR(SEARCH(("프로젝트"),(E153))))</formula>
    </cfRule>
    <cfRule type="containsText" dxfId="11074" priority="6502" operator="containsText" text="기타">
      <formula>NOT(ISERROR(SEARCH(("기타"),(E153))))</formula>
    </cfRule>
    <cfRule type="containsText" dxfId="11073" priority="6501" operator="containsText" text="정규교과">
      <formula>NOT(ISERROR(SEARCH(("정규교과"),(E153))))</formula>
    </cfRule>
    <cfRule type="containsText" dxfId="11072" priority="6500" operator="containsText" text="프로젝트">
      <formula>NOT(ISERROR(SEARCH(("프로젝트"),(E153))))</formula>
    </cfRule>
    <cfRule type="containsText" dxfId="11071" priority="6499" operator="containsText" text="기타">
      <formula>NOT(ISERROR(SEARCH(("기타"),(E153))))</formula>
    </cfRule>
    <cfRule type="containsText" dxfId="11070" priority="6498" operator="containsText" text="정규교과">
      <formula>NOT(ISERROR(SEARCH(("정규교과"),(E153))))</formula>
    </cfRule>
    <cfRule type="containsText" dxfId="11069" priority="6497" operator="containsText" text="프로젝트">
      <formula>NOT(ISERROR(SEARCH(("프로젝트"),(E153))))</formula>
    </cfRule>
    <cfRule type="containsText" dxfId="11068" priority="6496" operator="containsText" text="휴강">
      <formula>NOT(ISERROR(SEARCH(("휴강"),(E153))))</formula>
    </cfRule>
  </conditionalFormatting>
  <conditionalFormatting sqref="E158">
    <cfRule type="containsText" dxfId="11067" priority="6449" operator="containsText" text="프로젝트">
      <formula>NOT(ISERROR(SEARCH(("프로젝트"),(E158))))</formula>
    </cfRule>
    <cfRule type="containsText" dxfId="11066" priority="6457" operator="containsText" text="기타">
      <formula>NOT(ISERROR(SEARCH(("기타"),(E158))))</formula>
    </cfRule>
    <cfRule type="containsText" dxfId="11065" priority="6462" operator="containsText" text="정규교과">
      <formula>NOT(ISERROR(SEARCH(("정규교과"),(E158))))</formula>
    </cfRule>
    <cfRule type="containsText" dxfId="11064" priority="6461" operator="containsText" text="프로젝트">
      <formula>NOT(ISERROR(SEARCH(("프로젝트"),(E158))))</formula>
    </cfRule>
    <cfRule type="containsText" dxfId="11063" priority="6460" operator="containsText" text="기타">
      <formula>NOT(ISERROR(SEARCH(("기타"),(E158))))</formula>
    </cfRule>
    <cfRule type="containsText" dxfId="11062" priority="6463" operator="containsText" text="기타">
      <formula>NOT(ISERROR(SEARCH(("기타"),(E158))))</formula>
    </cfRule>
    <cfRule type="containsText" dxfId="11061" priority="6459" operator="containsText" text="정규교과">
      <formula>NOT(ISERROR(SEARCH(("정규교과"),(E158))))</formula>
    </cfRule>
    <cfRule type="containsText" dxfId="11060" priority="6450" operator="containsText" text="정규교과">
      <formula>NOT(ISERROR(SEARCH(("정규교과"),(E158))))</formula>
    </cfRule>
    <cfRule type="containsText" dxfId="11059" priority="6458" operator="containsText" text="프로젝트">
      <formula>NOT(ISERROR(SEARCH(("프로젝트"),(E158))))</formula>
    </cfRule>
    <cfRule type="containsText" dxfId="11058" priority="6451" operator="containsText" text="기타">
      <formula>NOT(ISERROR(SEARCH(("기타"),(E158))))</formula>
    </cfRule>
    <cfRule type="containsText" dxfId="11057" priority="6452" operator="containsText" text="프로젝트">
      <formula>NOT(ISERROR(SEARCH(("프로젝트"),(E158))))</formula>
    </cfRule>
    <cfRule type="containsText" dxfId="11056" priority="6453" operator="containsText" text="정규교과">
      <formula>NOT(ISERROR(SEARCH(("정규교과"),(E158))))</formula>
    </cfRule>
    <cfRule type="containsText" dxfId="11055" priority="6448" operator="containsText" text="휴강">
      <formula>NOT(ISERROR(SEARCH(("휴강"),(E158))))</formula>
    </cfRule>
    <cfRule type="containsText" dxfId="11054" priority="6454" operator="containsText" text="기타">
      <formula>NOT(ISERROR(SEARCH(("기타"),(E158))))</formula>
    </cfRule>
    <cfRule type="containsText" dxfId="11053" priority="6455" operator="containsText" text="프로젝트">
      <formula>NOT(ISERROR(SEARCH(("프로젝트"),(E158))))</formula>
    </cfRule>
    <cfRule type="containsText" dxfId="11052" priority="6456" operator="containsText" text="정규교과">
      <formula>NOT(ISERROR(SEARCH(("정규교과"),(E158))))</formula>
    </cfRule>
  </conditionalFormatting>
  <conditionalFormatting sqref="E162">
    <cfRule type="containsText" dxfId="11051" priority="6400" operator="containsText" text="휴강">
      <formula>NOT(ISERROR(SEARCH(("휴강"),(E162))))</formula>
    </cfRule>
    <cfRule type="containsText" dxfId="11050" priority="6412" operator="containsText" text="기타">
      <formula>NOT(ISERROR(SEARCH(("기타"),(E162))))</formula>
    </cfRule>
    <cfRule type="containsText" dxfId="11049" priority="6411" operator="containsText" text="정규교과">
      <formula>NOT(ISERROR(SEARCH(("정규교과"),(E162))))</formula>
    </cfRule>
    <cfRule type="containsText" dxfId="11048" priority="6407" operator="containsText" text="프로젝트">
      <formula>NOT(ISERROR(SEARCH(("프로젝트"),(E162))))</formula>
    </cfRule>
    <cfRule type="containsText" dxfId="11047" priority="6410" operator="containsText" text="프로젝트">
      <formula>NOT(ISERROR(SEARCH(("프로젝트"),(E162))))</formula>
    </cfRule>
    <cfRule type="containsText" dxfId="11046" priority="6408" operator="containsText" text="정규교과">
      <formula>NOT(ISERROR(SEARCH(("정규교과"),(E162))))</formula>
    </cfRule>
    <cfRule type="containsText" dxfId="11045" priority="6409" operator="containsText" text="기타">
      <formula>NOT(ISERROR(SEARCH(("기타"),(E162))))</formula>
    </cfRule>
    <cfRule type="containsText" dxfId="11044" priority="6413" operator="containsText" text="프로젝트">
      <formula>NOT(ISERROR(SEARCH(("프로젝트"),(E162))))</formula>
    </cfRule>
    <cfRule type="containsText" dxfId="11043" priority="6414" operator="containsText" text="정규교과">
      <formula>NOT(ISERROR(SEARCH(("정규교과"),(E162))))</formula>
    </cfRule>
    <cfRule type="containsText" dxfId="11042" priority="6415" operator="containsText" text="기타">
      <formula>NOT(ISERROR(SEARCH(("기타"),(E162))))</formula>
    </cfRule>
    <cfRule type="containsText" dxfId="11041" priority="6406" operator="containsText" text="기타">
      <formula>NOT(ISERROR(SEARCH(("기타"),(E162))))</formula>
    </cfRule>
    <cfRule type="containsText" dxfId="11040" priority="6405" operator="containsText" text="정규교과">
      <formula>NOT(ISERROR(SEARCH(("정규교과"),(E162))))</formula>
    </cfRule>
    <cfRule type="containsText" dxfId="11039" priority="6404" operator="containsText" text="프로젝트">
      <formula>NOT(ISERROR(SEARCH(("프로젝트"),(E162))))</formula>
    </cfRule>
    <cfRule type="containsText" dxfId="11038" priority="6403" operator="containsText" text="기타">
      <formula>NOT(ISERROR(SEARCH(("기타"),(E162))))</formula>
    </cfRule>
    <cfRule type="containsText" dxfId="11037" priority="6402" operator="containsText" text="정규교과">
      <formula>NOT(ISERROR(SEARCH(("정규교과"),(E162))))</formula>
    </cfRule>
    <cfRule type="containsText" dxfId="11036" priority="6401" operator="containsText" text="프로젝트">
      <formula>NOT(ISERROR(SEARCH(("프로젝트"),(E162))))</formula>
    </cfRule>
  </conditionalFormatting>
  <conditionalFormatting sqref="E166">
    <cfRule type="containsText" dxfId="11035" priority="6359" operator="containsText" text="프로젝트">
      <formula>NOT(ISERROR(SEARCH(("프로젝트"),(E166))))</formula>
    </cfRule>
    <cfRule type="containsText" dxfId="11034" priority="6358" operator="containsText" text="기타">
      <formula>NOT(ISERROR(SEARCH(("기타"),(E166))))</formula>
    </cfRule>
    <cfRule type="containsText" dxfId="11033" priority="6357" operator="containsText" text="정규교과">
      <formula>NOT(ISERROR(SEARCH(("정규교과"),(E166))))</formula>
    </cfRule>
    <cfRule type="containsText" dxfId="11032" priority="6355" operator="containsText" text="기타">
      <formula>NOT(ISERROR(SEARCH(("기타"),(E166))))</formula>
    </cfRule>
    <cfRule type="containsText" dxfId="11031" priority="6354" operator="containsText" text="정규교과">
      <formula>NOT(ISERROR(SEARCH(("정규교과"),(E166))))</formula>
    </cfRule>
    <cfRule type="containsText" dxfId="11030" priority="6360" operator="containsText" text="정규교과">
      <formula>NOT(ISERROR(SEARCH(("정규교과"),(E166))))</formula>
    </cfRule>
    <cfRule type="containsText" dxfId="11029" priority="6353" operator="containsText" text="프로젝트">
      <formula>NOT(ISERROR(SEARCH(("프로젝트"),(E166))))</formula>
    </cfRule>
    <cfRule type="containsText" dxfId="11028" priority="6352" operator="containsText" text="휴강">
      <formula>NOT(ISERROR(SEARCH(("휴강"),(E166))))</formula>
    </cfRule>
    <cfRule type="containsText" dxfId="11027" priority="6356" operator="containsText" text="프로젝트">
      <formula>NOT(ISERROR(SEARCH(("프로젝트"),(E166))))</formula>
    </cfRule>
    <cfRule type="containsText" dxfId="11026" priority="6367" operator="containsText" text="기타">
      <formula>NOT(ISERROR(SEARCH(("기타"),(E166))))</formula>
    </cfRule>
    <cfRule type="containsText" dxfId="11025" priority="6366" operator="containsText" text="정규교과">
      <formula>NOT(ISERROR(SEARCH(("정규교과"),(E166))))</formula>
    </cfRule>
    <cfRule type="containsText" dxfId="11024" priority="6365" operator="containsText" text="프로젝트">
      <formula>NOT(ISERROR(SEARCH(("프로젝트"),(E166))))</formula>
    </cfRule>
    <cfRule type="containsText" dxfId="11023" priority="6364" operator="containsText" text="기타">
      <formula>NOT(ISERROR(SEARCH(("기타"),(E166))))</formula>
    </cfRule>
    <cfRule type="containsText" dxfId="11022" priority="6363" operator="containsText" text="정규교과">
      <formula>NOT(ISERROR(SEARCH(("정규교과"),(E166))))</formula>
    </cfRule>
    <cfRule type="containsText" dxfId="11021" priority="6362" operator="containsText" text="프로젝트">
      <formula>NOT(ISERROR(SEARCH(("프로젝트"),(E166))))</formula>
    </cfRule>
    <cfRule type="containsText" dxfId="11020" priority="6361" operator="containsText" text="기타">
      <formula>NOT(ISERROR(SEARCH(("기타"),(E166))))</formula>
    </cfRule>
  </conditionalFormatting>
  <conditionalFormatting sqref="E170">
    <cfRule type="containsText" dxfId="11019" priority="6310" operator="containsText" text="기타">
      <formula>NOT(ISERROR(SEARCH(("기타"),(E170))))</formula>
    </cfRule>
    <cfRule type="containsText" dxfId="11018" priority="6309" operator="containsText" text="정규교과">
      <formula>NOT(ISERROR(SEARCH(("정규교과"),(E170))))</formula>
    </cfRule>
    <cfRule type="containsText" dxfId="11017" priority="6308" operator="containsText" text="프로젝트">
      <formula>NOT(ISERROR(SEARCH(("프로젝트"),(E170))))</formula>
    </cfRule>
    <cfRule type="containsText" dxfId="11016" priority="6307" operator="containsText" text="기타">
      <formula>NOT(ISERROR(SEARCH(("기타"),(E170))))</formula>
    </cfRule>
    <cfRule type="containsText" dxfId="11015" priority="6306" operator="containsText" text="정규교과">
      <formula>NOT(ISERROR(SEARCH(("정규교과"),(E170))))</formula>
    </cfRule>
    <cfRule type="containsText" dxfId="11014" priority="6311" operator="containsText" text="프로젝트">
      <formula>NOT(ISERROR(SEARCH(("프로젝트"),(E170))))</formula>
    </cfRule>
    <cfRule type="containsText" dxfId="11013" priority="6304" operator="containsText" text="휴강">
      <formula>NOT(ISERROR(SEARCH(("휴강"),(E170))))</formula>
    </cfRule>
    <cfRule type="containsText" dxfId="11012" priority="6318" operator="containsText" text="정규교과">
      <formula>NOT(ISERROR(SEARCH(("정규교과"),(E170))))</formula>
    </cfRule>
    <cfRule type="containsText" dxfId="11011" priority="6319" operator="containsText" text="기타">
      <formula>NOT(ISERROR(SEARCH(("기타"),(E170))))</formula>
    </cfRule>
    <cfRule type="containsText" dxfId="11010" priority="6305" operator="containsText" text="프로젝트">
      <formula>NOT(ISERROR(SEARCH(("프로젝트"),(E170))))</formula>
    </cfRule>
    <cfRule type="containsText" dxfId="11009" priority="6317" operator="containsText" text="프로젝트">
      <formula>NOT(ISERROR(SEARCH(("프로젝트"),(E170))))</formula>
    </cfRule>
    <cfRule type="containsText" dxfId="11008" priority="6316" operator="containsText" text="기타">
      <formula>NOT(ISERROR(SEARCH(("기타"),(E170))))</formula>
    </cfRule>
    <cfRule type="containsText" dxfId="11007" priority="6315" operator="containsText" text="정규교과">
      <formula>NOT(ISERROR(SEARCH(("정규교과"),(E170))))</formula>
    </cfRule>
    <cfRule type="containsText" dxfId="11006" priority="6314" operator="containsText" text="프로젝트">
      <formula>NOT(ISERROR(SEARCH(("프로젝트"),(E170))))</formula>
    </cfRule>
    <cfRule type="containsText" dxfId="11005" priority="6313" operator="containsText" text="기타">
      <formula>NOT(ISERROR(SEARCH(("기타"),(E170))))</formula>
    </cfRule>
    <cfRule type="containsText" dxfId="11004" priority="6312" operator="containsText" text="정규교과">
      <formula>NOT(ISERROR(SEARCH(("정규교과"),(E170))))</formula>
    </cfRule>
  </conditionalFormatting>
  <conditionalFormatting sqref="E174">
    <cfRule type="containsText" dxfId="11003" priority="6269" operator="containsText" text="프로젝트">
      <formula>NOT(ISERROR(SEARCH(("프로젝트"),(E174))))</formula>
    </cfRule>
    <cfRule type="containsText" dxfId="11002" priority="6270" operator="containsText" text="정규교과">
      <formula>NOT(ISERROR(SEARCH(("정규교과"),(E174))))</formula>
    </cfRule>
    <cfRule type="containsText" dxfId="11001" priority="6271" operator="containsText" text="기타">
      <formula>NOT(ISERROR(SEARCH(("기타"),(E174))))</formula>
    </cfRule>
    <cfRule type="containsText" dxfId="11000" priority="6264" operator="containsText" text="정규교과">
      <formula>NOT(ISERROR(SEARCH(("정규교과"),(E174))))</formula>
    </cfRule>
    <cfRule type="containsText" dxfId="10999" priority="6257" operator="containsText" text="프로젝트">
      <formula>NOT(ISERROR(SEARCH(("프로젝트"),(E174))))</formula>
    </cfRule>
    <cfRule type="containsText" dxfId="10998" priority="6258" operator="containsText" text="정규교과">
      <formula>NOT(ISERROR(SEARCH(("정규교과"),(E174))))</formula>
    </cfRule>
    <cfRule type="containsText" dxfId="10997" priority="6259" operator="containsText" text="기타">
      <formula>NOT(ISERROR(SEARCH(("기타"),(E174))))</formula>
    </cfRule>
    <cfRule type="containsText" dxfId="10996" priority="6260" operator="containsText" text="프로젝트">
      <formula>NOT(ISERROR(SEARCH(("프로젝트"),(E174))))</formula>
    </cfRule>
    <cfRule type="containsText" dxfId="10995" priority="6261" operator="containsText" text="정규교과">
      <formula>NOT(ISERROR(SEARCH(("정규교과"),(E174))))</formula>
    </cfRule>
    <cfRule type="containsText" dxfId="10994" priority="6262" operator="containsText" text="기타">
      <formula>NOT(ISERROR(SEARCH(("기타"),(E174))))</formula>
    </cfRule>
    <cfRule type="containsText" dxfId="10993" priority="6263" operator="containsText" text="프로젝트">
      <formula>NOT(ISERROR(SEARCH(("프로젝트"),(E174))))</formula>
    </cfRule>
    <cfRule type="containsText" dxfId="10992" priority="6265" operator="containsText" text="기타">
      <formula>NOT(ISERROR(SEARCH(("기타"),(E174))))</formula>
    </cfRule>
    <cfRule type="containsText" dxfId="10991" priority="6256" operator="containsText" text="휴강">
      <formula>NOT(ISERROR(SEARCH(("휴강"),(E174))))</formula>
    </cfRule>
    <cfRule type="containsText" dxfId="10990" priority="6266" operator="containsText" text="프로젝트">
      <formula>NOT(ISERROR(SEARCH(("프로젝트"),(E174))))</formula>
    </cfRule>
    <cfRule type="containsText" dxfId="10989" priority="6267" operator="containsText" text="정규교과">
      <formula>NOT(ISERROR(SEARCH(("정규교과"),(E174))))</formula>
    </cfRule>
    <cfRule type="containsText" dxfId="10988" priority="6268" operator="containsText" text="기타">
      <formula>NOT(ISERROR(SEARCH(("기타"),(E174))))</formula>
    </cfRule>
  </conditionalFormatting>
  <conditionalFormatting sqref="E180">
    <cfRule type="containsText" dxfId="10987" priority="5808" operator="containsText" text="휴강">
      <formula>NOT(ISERROR(SEARCH(("휴강"),(E180))))</formula>
    </cfRule>
    <cfRule type="containsText" dxfId="10986" priority="5810" operator="containsText" text="정규교과">
      <formula>NOT(ISERROR(SEARCH(("정규교과"),(E180))))</formula>
    </cfRule>
    <cfRule type="containsText" dxfId="10985" priority="5811" operator="containsText" text="기타">
      <formula>NOT(ISERROR(SEARCH(("기타"),(E180))))</formula>
    </cfRule>
    <cfRule type="containsText" dxfId="10984" priority="5812" operator="containsText" text="프로젝트">
      <formula>NOT(ISERROR(SEARCH(("프로젝트"),(E180))))</formula>
    </cfRule>
    <cfRule type="containsText" dxfId="10983" priority="5813" operator="containsText" text="정규교과">
      <formula>NOT(ISERROR(SEARCH(("정규교과"),(E180))))</formula>
    </cfRule>
    <cfRule type="containsText" dxfId="10982" priority="5814" operator="containsText" text="기타">
      <formula>NOT(ISERROR(SEARCH(("기타"),(E180))))</formula>
    </cfRule>
    <cfRule type="containsText" dxfId="10981" priority="5815" operator="containsText" text="프로젝트">
      <formula>NOT(ISERROR(SEARCH(("프로젝트"),(E180))))</formula>
    </cfRule>
    <cfRule type="containsText" dxfId="10980" priority="5818" operator="containsText" text="프로젝트">
      <formula>NOT(ISERROR(SEARCH(("프로젝트"),(E180))))</formula>
    </cfRule>
    <cfRule type="containsText" dxfId="10979" priority="5816" operator="containsText" text="정규교과">
      <formula>NOT(ISERROR(SEARCH(("정규교과"),(E180))))</formula>
    </cfRule>
    <cfRule type="containsText" dxfId="10978" priority="5817" operator="containsText" text="기타">
      <formula>NOT(ISERROR(SEARCH(("기타"),(E180))))</formula>
    </cfRule>
    <cfRule type="containsText" dxfId="10977" priority="5819" operator="containsText" text="정규교과">
      <formula>NOT(ISERROR(SEARCH(("정규교과"),(E180))))</formula>
    </cfRule>
    <cfRule type="containsText" dxfId="10976" priority="5820" operator="containsText" text="기타">
      <formula>NOT(ISERROR(SEARCH(("기타"),(E180))))</formula>
    </cfRule>
    <cfRule type="containsText" dxfId="10975" priority="5821" operator="containsText" text="프로젝트">
      <formula>NOT(ISERROR(SEARCH(("프로젝트"),(E180))))</formula>
    </cfRule>
    <cfRule type="containsText" dxfId="10974" priority="5822" operator="containsText" text="정규교과">
      <formula>NOT(ISERROR(SEARCH(("정규교과"),(E180))))</formula>
    </cfRule>
    <cfRule type="containsText" dxfId="10973" priority="5823" operator="containsText" text="기타">
      <formula>NOT(ISERROR(SEARCH(("기타"),(E180))))</formula>
    </cfRule>
    <cfRule type="containsText" dxfId="10972" priority="5809" operator="containsText" text="프로젝트">
      <formula>NOT(ISERROR(SEARCH(("프로젝트"),(E180))))</formula>
    </cfRule>
  </conditionalFormatting>
  <conditionalFormatting sqref="E184">
    <cfRule type="containsText" dxfId="10971" priority="5675" operator="containsText" text="정규교과">
      <formula>NOT(ISERROR(SEARCH(("정규교과"),(E184))))</formula>
    </cfRule>
    <cfRule type="containsText" dxfId="10970" priority="5674" operator="containsText" text="프로젝트">
      <formula>NOT(ISERROR(SEARCH(("프로젝트"),(E184))))</formula>
    </cfRule>
    <cfRule type="containsText" dxfId="10969" priority="5678" operator="containsText" text="정규교과">
      <formula>NOT(ISERROR(SEARCH(("정규교과"),(E184))))</formula>
    </cfRule>
    <cfRule type="containsText" dxfId="10968" priority="5679" operator="containsText" text="기타">
      <formula>NOT(ISERROR(SEARCH(("기타"),(E184))))</formula>
    </cfRule>
    <cfRule type="containsText" dxfId="10967" priority="5677" operator="containsText" text="프로젝트">
      <formula>NOT(ISERROR(SEARCH(("프로젝트"),(E184))))</formula>
    </cfRule>
    <cfRule type="containsText" dxfId="10966" priority="5672" operator="containsText" text="정규교과">
      <formula>NOT(ISERROR(SEARCH(("정규교과"),(E184))))</formula>
    </cfRule>
    <cfRule type="containsText" dxfId="10965" priority="5671" operator="containsText" text="프로젝트">
      <formula>NOT(ISERROR(SEARCH(("프로젝트"),(E184))))</formula>
    </cfRule>
    <cfRule type="containsText" dxfId="10964" priority="5670" operator="containsText" text="기타">
      <formula>NOT(ISERROR(SEARCH(("기타"),(E184))))</formula>
    </cfRule>
    <cfRule type="containsText" dxfId="10963" priority="5669" operator="containsText" text="정규교과">
      <formula>NOT(ISERROR(SEARCH(("정규교과"),(E184))))</formula>
    </cfRule>
    <cfRule type="containsText" dxfId="10962" priority="5668" operator="containsText" text="프로젝트">
      <formula>NOT(ISERROR(SEARCH(("프로젝트"),(E184))))</formula>
    </cfRule>
    <cfRule type="containsText" dxfId="10961" priority="5667" operator="containsText" text="기타">
      <formula>NOT(ISERROR(SEARCH(("기타"),(E184))))</formula>
    </cfRule>
    <cfRule type="containsText" dxfId="10960" priority="5666" operator="containsText" text="정규교과">
      <formula>NOT(ISERROR(SEARCH(("정규교과"),(E184))))</formula>
    </cfRule>
    <cfRule type="containsText" dxfId="10959" priority="5664" operator="containsText" text="휴강">
      <formula>NOT(ISERROR(SEARCH(("휴강"),(E184))))</formula>
    </cfRule>
    <cfRule type="containsText" dxfId="10958" priority="5665" operator="containsText" text="프로젝트">
      <formula>NOT(ISERROR(SEARCH(("프로젝트"),(E184))))</formula>
    </cfRule>
    <cfRule type="containsText" dxfId="10957" priority="5676" operator="containsText" text="기타">
      <formula>NOT(ISERROR(SEARCH(("기타"),(E184))))</formula>
    </cfRule>
    <cfRule type="containsText" dxfId="10956" priority="5673" operator="containsText" text="기타">
      <formula>NOT(ISERROR(SEARCH(("기타"),(E184))))</formula>
    </cfRule>
  </conditionalFormatting>
  <conditionalFormatting sqref="E188">
    <cfRule type="containsText" dxfId="10955" priority="5660" operator="containsText" text="기타">
      <formula>NOT(ISERROR(SEARCH(("기타"),(E188))))</formula>
    </cfRule>
    <cfRule type="containsText" dxfId="10954" priority="5659" operator="containsText" text="정규교과">
      <formula>NOT(ISERROR(SEARCH(("정규교과"),(E188))))</formula>
    </cfRule>
    <cfRule type="containsText" dxfId="10953" priority="5658" operator="containsText" text="프로젝트">
      <formula>NOT(ISERROR(SEARCH(("프로젝트"),(E188))))</formula>
    </cfRule>
    <cfRule type="containsText" dxfId="10952" priority="5657" operator="containsText" text="기타">
      <formula>NOT(ISERROR(SEARCH(("기타"),(E188))))</formula>
    </cfRule>
    <cfRule type="containsText" dxfId="10951" priority="5656" operator="containsText" text="정규교과">
      <formula>NOT(ISERROR(SEARCH(("정규교과"),(E188))))</formula>
    </cfRule>
    <cfRule type="containsText" dxfId="10950" priority="5655" operator="containsText" text="프로젝트">
      <formula>NOT(ISERROR(SEARCH(("프로젝트"),(E188))))</formula>
    </cfRule>
    <cfRule type="containsText" dxfId="10949" priority="5654" operator="containsText" text="기타">
      <formula>NOT(ISERROR(SEARCH(("기타"),(E188))))</formula>
    </cfRule>
    <cfRule type="containsText" dxfId="10948" priority="5653" operator="containsText" text="정규교과">
      <formula>NOT(ISERROR(SEARCH(("정규교과"),(E188))))</formula>
    </cfRule>
    <cfRule type="containsText" dxfId="10947" priority="5651" operator="containsText" text="기타">
      <formula>NOT(ISERROR(SEARCH(("기타"),(E188))))</formula>
    </cfRule>
    <cfRule type="containsText" dxfId="10946" priority="5661" operator="containsText" text="프로젝트">
      <formula>NOT(ISERROR(SEARCH(("프로젝트"),(E188))))</formula>
    </cfRule>
    <cfRule type="containsText" dxfId="10945" priority="5652" operator="containsText" text="프로젝트">
      <formula>NOT(ISERROR(SEARCH(("프로젝트"),(E188))))</formula>
    </cfRule>
    <cfRule type="containsText" dxfId="10944" priority="5662" operator="containsText" text="정규교과">
      <formula>NOT(ISERROR(SEARCH(("정규교과"),(E188))))</formula>
    </cfRule>
    <cfRule type="containsText" dxfId="10943" priority="5663" operator="containsText" text="기타">
      <formula>NOT(ISERROR(SEARCH(("기타"),(E188))))</formula>
    </cfRule>
    <cfRule type="containsText" dxfId="10942" priority="5650" operator="containsText" text="정규교과">
      <formula>NOT(ISERROR(SEARCH(("정규교과"),(E188))))</formula>
    </cfRule>
    <cfRule type="containsText" dxfId="10941" priority="5649" operator="containsText" text="프로젝트">
      <formula>NOT(ISERROR(SEARCH(("프로젝트"),(E188))))</formula>
    </cfRule>
    <cfRule type="containsText" dxfId="10940" priority="5648" operator="containsText" text="휴강">
      <formula>NOT(ISERROR(SEARCH(("휴강"),(E188))))</formula>
    </cfRule>
  </conditionalFormatting>
  <conditionalFormatting sqref="E209">
    <cfRule type="containsText" dxfId="10939" priority="5576" operator="containsText" text="정규교과">
      <formula>NOT(ISERROR(SEARCH(("정규교과"),(E209))))</formula>
    </cfRule>
    <cfRule type="containsText" dxfId="10938" priority="5577" operator="containsText" text="기타">
      <formula>NOT(ISERROR(SEARCH(("기타"),(E209))))</formula>
    </cfRule>
    <cfRule type="containsText" dxfId="10937" priority="5578" operator="containsText" text="프로젝트">
      <formula>NOT(ISERROR(SEARCH(("프로젝트"),(E209))))</formula>
    </cfRule>
    <cfRule type="containsText" dxfId="10936" priority="5579" operator="containsText" text="정규교과">
      <formula>NOT(ISERROR(SEARCH(("정규교과"),(E209))))</formula>
    </cfRule>
    <cfRule type="containsText" dxfId="10935" priority="5580" operator="containsText" text="기타">
      <formula>NOT(ISERROR(SEARCH(("기타"),(E209))))</formula>
    </cfRule>
    <cfRule type="containsText" dxfId="10934" priority="5581" operator="containsText" text="프로젝트">
      <formula>NOT(ISERROR(SEARCH(("프로젝트"),(E209))))</formula>
    </cfRule>
    <cfRule type="containsText" dxfId="10933" priority="5582" operator="containsText" text="정규교과">
      <formula>NOT(ISERROR(SEARCH(("정규교과"),(E209))))</formula>
    </cfRule>
    <cfRule type="containsText" dxfId="10932" priority="5583" operator="containsText" text="기타">
      <formula>NOT(ISERROR(SEARCH(("기타"),(E209))))</formula>
    </cfRule>
    <cfRule type="containsText" dxfId="10931" priority="5568" operator="containsText" text="휴강">
      <formula>NOT(ISERROR(SEARCH(("휴강"),(E209))))</formula>
    </cfRule>
    <cfRule type="containsText" dxfId="10930" priority="5569" operator="containsText" text="프로젝트">
      <formula>NOT(ISERROR(SEARCH(("프로젝트"),(E209))))</formula>
    </cfRule>
    <cfRule type="containsText" dxfId="10929" priority="5570" operator="containsText" text="정규교과">
      <formula>NOT(ISERROR(SEARCH(("정규교과"),(E209))))</formula>
    </cfRule>
    <cfRule type="containsText" dxfId="10928" priority="5571" operator="containsText" text="기타">
      <formula>NOT(ISERROR(SEARCH(("기타"),(E209))))</formula>
    </cfRule>
    <cfRule type="containsText" dxfId="10927" priority="5572" operator="containsText" text="프로젝트">
      <formula>NOT(ISERROR(SEARCH(("프로젝트"),(E209))))</formula>
    </cfRule>
    <cfRule type="containsText" dxfId="10926" priority="5573" operator="containsText" text="정규교과">
      <formula>NOT(ISERROR(SEARCH(("정규교과"),(E209))))</formula>
    </cfRule>
    <cfRule type="containsText" dxfId="10925" priority="5574" operator="containsText" text="기타">
      <formula>NOT(ISERROR(SEARCH(("기타"),(E209))))</formula>
    </cfRule>
    <cfRule type="containsText" dxfId="10924" priority="5575" operator="containsText" text="프로젝트">
      <formula>NOT(ISERROR(SEARCH(("프로젝트"),(E209))))</formula>
    </cfRule>
  </conditionalFormatting>
  <conditionalFormatting sqref="E215">
    <cfRule type="containsText" dxfId="10923" priority="4817" operator="containsText" text="기타">
      <formula>NOT(ISERROR(SEARCH(("기타"),(E215))))</formula>
    </cfRule>
    <cfRule type="containsText" dxfId="10922" priority="4818" operator="containsText" text="프로젝트">
      <formula>NOT(ISERROR(SEARCH(("프로젝트"),(E215))))</formula>
    </cfRule>
    <cfRule type="containsText" dxfId="10921" priority="4819" operator="containsText" text="정규교과">
      <formula>NOT(ISERROR(SEARCH(("정규교과"),(E215))))</formula>
    </cfRule>
    <cfRule type="containsText" dxfId="10920" priority="4820" operator="containsText" text="기타">
      <formula>NOT(ISERROR(SEARCH(("기타"),(E215))))</formula>
    </cfRule>
    <cfRule type="containsText" dxfId="10919" priority="4821" operator="containsText" text="프로젝트">
      <formula>NOT(ISERROR(SEARCH(("프로젝트"),(E215))))</formula>
    </cfRule>
    <cfRule type="containsText" dxfId="10918" priority="4823" operator="containsText" text="기타">
      <formula>NOT(ISERROR(SEARCH(("기타"),(E215))))</formula>
    </cfRule>
    <cfRule type="containsText" dxfId="10917" priority="4812" operator="containsText" text="프로젝트">
      <formula>NOT(ISERROR(SEARCH(("프로젝트"),(E215))))</formula>
    </cfRule>
    <cfRule type="containsText" dxfId="10916" priority="4813" operator="containsText" text="정규교과">
      <formula>NOT(ISERROR(SEARCH(("정규교과"),(E215))))</formula>
    </cfRule>
    <cfRule type="containsText" dxfId="10915" priority="4814" operator="containsText" text="기타">
      <formula>NOT(ISERROR(SEARCH(("기타"),(E215))))</formula>
    </cfRule>
    <cfRule type="containsText" dxfId="10914" priority="4815" operator="containsText" text="프로젝트">
      <formula>NOT(ISERROR(SEARCH(("프로젝트"),(E215))))</formula>
    </cfRule>
    <cfRule type="containsText" dxfId="10913" priority="4816" operator="containsText" text="정규교과">
      <formula>NOT(ISERROR(SEARCH(("정규교과"),(E215))))</formula>
    </cfRule>
    <cfRule type="containsText" dxfId="10912" priority="4822" operator="containsText" text="정규교과">
      <formula>NOT(ISERROR(SEARCH(("정규교과"),(E215))))</formula>
    </cfRule>
  </conditionalFormatting>
  <conditionalFormatting sqref="E219">
    <cfRule type="containsText" dxfId="10911" priority="4774" operator="containsText" text="기타">
      <formula>NOT(ISERROR(SEARCH(("기타"),(E219))))</formula>
    </cfRule>
    <cfRule type="containsText" dxfId="10910" priority="4775" operator="containsText" text="프로젝트">
      <formula>NOT(ISERROR(SEARCH(("프로젝트"),(E219))))</formula>
    </cfRule>
    <cfRule type="containsText" dxfId="10909" priority="4776" operator="containsText" text="정규교과">
      <formula>NOT(ISERROR(SEARCH(("정규교과"),(E219))))</formula>
    </cfRule>
    <cfRule type="containsText" dxfId="10908" priority="4782" operator="containsText" text="정규교과">
      <formula>NOT(ISERROR(SEARCH(("정규교과"),(E219))))</formula>
    </cfRule>
    <cfRule type="containsText" dxfId="10907" priority="4781" operator="containsText" text="프로젝트">
      <formula>NOT(ISERROR(SEARCH(("프로젝트"),(E219))))</formula>
    </cfRule>
    <cfRule type="containsText" dxfId="10906" priority="4778" operator="containsText" text="프로젝트">
      <formula>NOT(ISERROR(SEARCH(("프로젝트"),(E219))))</formula>
    </cfRule>
    <cfRule type="containsText" dxfId="10905" priority="4779" operator="containsText" text="정규교과">
      <formula>NOT(ISERROR(SEARCH(("정규교과"),(E219))))</formula>
    </cfRule>
    <cfRule type="containsText" dxfId="10904" priority="4780" operator="containsText" text="기타">
      <formula>NOT(ISERROR(SEARCH(("기타"),(E219))))</formula>
    </cfRule>
    <cfRule type="containsText" dxfId="10903" priority="4773" operator="containsText" text="정규교과">
      <formula>NOT(ISERROR(SEARCH(("정규교과"),(E219))))</formula>
    </cfRule>
    <cfRule type="containsText" dxfId="10902" priority="4777" operator="containsText" text="기타">
      <formula>NOT(ISERROR(SEARCH(("기타"),(E219))))</formula>
    </cfRule>
    <cfRule type="containsText" dxfId="10901" priority="4772" operator="containsText" text="프로젝트">
      <formula>NOT(ISERROR(SEARCH(("프로젝트"),(E219))))</formula>
    </cfRule>
    <cfRule type="containsText" dxfId="10900" priority="4783" operator="containsText" text="기타">
      <formula>NOT(ISERROR(SEARCH(("기타"),(E219))))</formula>
    </cfRule>
  </conditionalFormatting>
  <conditionalFormatting sqref="E223">
    <cfRule type="containsText" dxfId="10899" priority="4738" operator="containsText" text="프로젝트">
      <formula>NOT(ISERROR(SEARCH(("프로젝트"),(E223))))</formula>
    </cfRule>
    <cfRule type="containsText" dxfId="10898" priority="4742" operator="containsText" text="정규교과">
      <formula>NOT(ISERROR(SEARCH(("정규교과"),(E223))))</formula>
    </cfRule>
    <cfRule type="containsText" dxfId="10897" priority="4741" operator="containsText" text="프로젝트">
      <formula>NOT(ISERROR(SEARCH(("프로젝트"),(E223))))</formula>
    </cfRule>
    <cfRule type="containsText" dxfId="10896" priority="4734" operator="containsText" text="기타">
      <formula>NOT(ISERROR(SEARCH(("기타"),(E223))))</formula>
    </cfRule>
    <cfRule type="containsText" dxfId="10895" priority="4740" operator="containsText" text="기타">
      <formula>NOT(ISERROR(SEARCH(("기타"),(E223))))</formula>
    </cfRule>
    <cfRule type="containsText" dxfId="10894" priority="4739" operator="containsText" text="정규교과">
      <formula>NOT(ISERROR(SEARCH(("정규교과"),(E223))))</formula>
    </cfRule>
    <cfRule type="containsText" dxfId="10893" priority="4733" operator="containsText" text="정규교과">
      <formula>NOT(ISERROR(SEARCH(("정규교과"),(E223))))</formula>
    </cfRule>
    <cfRule type="containsText" dxfId="10892" priority="4732" operator="containsText" text="프로젝트">
      <formula>NOT(ISERROR(SEARCH(("프로젝트"),(E223))))</formula>
    </cfRule>
    <cfRule type="containsText" dxfId="10891" priority="4737" operator="containsText" text="기타">
      <formula>NOT(ISERROR(SEARCH(("기타"),(E223))))</formula>
    </cfRule>
    <cfRule type="containsText" dxfId="10890" priority="4736" operator="containsText" text="정규교과">
      <formula>NOT(ISERROR(SEARCH(("정규교과"),(E223))))</formula>
    </cfRule>
    <cfRule type="containsText" dxfId="10889" priority="4735" operator="containsText" text="프로젝트">
      <formula>NOT(ISERROR(SEARCH(("프로젝트"),(E223))))</formula>
    </cfRule>
    <cfRule type="containsText" dxfId="10888" priority="4743" operator="containsText" text="기타">
      <formula>NOT(ISERROR(SEARCH(("기타"),(E223))))</formula>
    </cfRule>
  </conditionalFormatting>
  <conditionalFormatting sqref="E228">
    <cfRule type="containsText" dxfId="10887" priority="4702" operator="containsText" text="정규교과">
      <formula>NOT(ISERROR(SEARCH(("정규교과"),(E228))))</formula>
    </cfRule>
    <cfRule type="containsText" dxfId="10886" priority="4698" operator="containsText" text="프로젝트">
      <formula>NOT(ISERROR(SEARCH(("프로젝트"),(E228))))</formula>
    </cfRule>
    <cfRule type="containsText" dxfId="10885" priority="4703" operator="containsText" text="기타">
      <formula>NOT(ISERROR(SEARCH(("기타"),(E228))))</formula>
    </cfRule>
    <cfRule type="containsText" dxfId="10884" priority="4694" operator="containsText" text="기타">
      <formula>NOT(ISERROR(SEARCH(("기타"),(E228))))</formula>
    </cfRule>
    <cfRule type="containsText" dxfId="10883" priority="4695" operator="containsText" text="프로젝트">
      <formula>NOT(ISERROR(SEARCH(("프로젝트"),(E228))))</formula>
    </cfRule>
    <cfRule type="containsText" dxfId="10882" priority="4696" operator="containsText" text="정규교과">
      <formula>NOT(ISERROR(SEARCH(("정규교과"),(E228))))</formula>
    </cfRule>
    <cfRule type="containsText" dxfId="10881" priority="4697" operator="containsText" text="기타">
      <formula>NOT(ISERROR(SEARCH(("기타"),(E228))))</formula>
    </cfRule>
    <cfRule type="containsText" dxfId="10880" priority="4699" operator="containsText" text="정규교과">
      <formula>NOT(ISERROR(SEARCH(("정규교과"),(E228))))</formula>
    </cfRule>
    <cfRule type="containsText" dxfId="10879" priority="4700" operator="containsText" text="기타">
      <formula>NOT(ISERROR(SEARCH(("기타"),(E228))))</formula>
    </cfRule>
    <cfRule type="containsText" dxfId="10878" priority="4701" operator="containsText" text="프로젝트">
      <formula>NOT(ISERROR(SEARCH(("프로젝트"),(E228))))</formula>
    </cfRule>
    <cfRule type="containsText" dxfId="10877" priority="4692" operator="containsText" text="프로젝트">
      <formula>NOT(ISERROR(SEARCH(("프로젝트"),(E228))))</formula>
    </cfRule>
    <cfRule type="containsText" dxfId="10876" priority="4693" operator="containsText" text="정규교과">
      <formula>NOT(ISERROR(SEARCH(("정규교과"),(E228))))</formula>
    </cfRule>
  </conditionalFormatting>
  <conditionalFormatting sqref="E232">
    <cfRule type="containsText" dxfId="10875" priority="4658" operator="containsText" text="프로젝트">
      <formula>NOT(ISERROR(SEARCH(("프로젝트"),(E232))))</formula>
    </cfRule>
    <cfRule type="containsText" dxfId="10874" priority="4659" operator="containsText" text="정규교과">
      <formula>NOT(ISERROR(SEARCH(("정규교과"),(E232))))</formula>
    </cfRule>
    <cfRule type="containsText" dxfId="10873" priority="4660" operator="containsText" text="기타">
      <formula>NOT(ISERROR(SEARCH(("기타"),(E232))))</formula>
    </cfRule>
    <cfRule type="containsText" dxfId="10872" priority="4662" operator="containsText" text="정규교과">
      <formula>NOT(ISERROR(SEARCH(("정규교과"),(E232))))</formula>
    </cfRule>
    <cfRule type="containsText" dxfId="10871" priority="4654" operator="containsText" text="기타">
      <formula>NOT(ISERROR(SEARCH(("기타"),(E232))))</formula>
    </cfRule>
    <cfRule type="containsText" dxfId="10870" priority="4652" operator="containsText" text="프로젝트">
      <formula>NOT(ISERROR(SEARCH(("프로젝트"),(E232))))</formula>
    </cfRule>
    <cfRule type="containsText" dxfId="10869" priority="4653" operator="containsText" text="정규교과">
      <formula>NOT(ISERROR(SEARCH(("정규교과"),(E232))))</formula>
    </cfRule>
    <cfRule type="containsText" dxfId="10868" priority="4655" operator="containsText" text="프로젝트">
      <formula>NOT(ISERROR(SEARCH(("프로젝트"),(E232))))</formula>
    </cfRule>
    <cfRule type="containsText" dxfId="10867" priority="4656" operator="containsText" text="정규교과">
      <formula>NOT(ISERROR(SEARCH(("정규교과"),(E232))))</formula>
    </cfRule>
    <cfRule type="containsText" dxfId="10866" priority="4663" operator="containsText" text="기타">
      <formula>NOT(ISERROR(SEARCH(("기타"),(E232))))</formula>
    </cfRule>
    <cfRule type="containsText" dxfId="10865" priority="4661" operator="containsText" text="프로젝트">
      <formula>NOT(ISERROR(SEARCH(("프로젝트"),(E232))))</formula>
    </cfRule>
    <cfRule type="containsText" dxfId="10864" priority="4657" operator="containsText" text="기타">
      <formula>NOT(ISERROR(SEARCH(("기타"),(E232))))</formula>
    </cfRule>
  </conditionalFormatting>
  <conditionalFormatting sqref="E236">
    <cfRule type="containsText" dxfId="10863" priority="4612" operator="containsText" text="프로젝트">
      <formula>NOT(ISERROR(SEARCH(("프로젝트"),(E236))))</formula>
    </cfRule>
    <cfRule type="containsText" dxfId="10862" priority="4623" operator="containsText" text="기타">
      <formula>NOT(ISERROR(SEARCH(("기타"),(E236))))</formula>
    </cfRule>
    <cfRule type="containsText" dxfId="10861" priority="4613" operator="containsText" text="정규교과">
      <formula>NOT(ISERROR(SEARCH(("정규교과"),(E236))))</formula>
    </cfRule>
    <cfRule type="containsText" dxfId="10860" priority="4615" operator="containsText" text="프로젝트">
      <formula>NOT(ISERROR(SEARCH(("프로젝트"),(E236))))</formula>
    </cfRule>
    <cfRule type="containsText" dxfId="10859" priority="4616" operator="containsText" text="정규교과">
      <formula>NOT(ISERROR(SEARCH(("정규교과"),(E236))))</formula>
    </cfRule>
    <cfRule type="containsText" dxfId="10858" priority="4617" operator="containsText" text="기타">
      <formula>NOT(ISERROR(SEARCH(("기타"),(E236))))</formula>
    </cfRule>
    <cfRule type="containsText" dxfId="10857" priority="4618" operator="containsText" text="프로젝트">
      <formula>NOT(ISERROR(SEARCH(("프로젝트"),(E236))))</formula>
    </cfRule>
    <cfRule type="containsText" dxfId="10856" priority="4614" operator="containsText" text="기타">
      <formula>NOT(ISERROR(SEARCH(("기타"),(E236))))</formula>
    </cfRule>
    <cfRule type="containsText" dxfId="10855" priority="4619" operator="containsText" text="정규교과">
      <formula>NOT(ISERROR(SEARCH(("정규교과"),(E236))))</formula>
    </cfRule>
    <cfRule type="containsText" dxfId="10854" priority="4620" operator="containsText" text="기타">
      <formula>NOT(ISERROR(SEARCH(("기타"),(E236))))</formula>
    </cfRule>
    <cfRule type="containsText" dxfId="10853" priority="4621" operator="containsText" text="프로젝트">
      <formula>NOT(ISERROR(SEARCH(("프로젝트"),(E236))))</formula>
    </cfRule>
    <cfRule type="containsText" dxfId="10852" priority="4622" operator="containsText" text="정규교과">
      <formula>NOT(ISERROR(SEARCH(("정규교과"),(E236))))</formula>
    </cfRule>
  </conditionalFormatting>
  <conditionalFormatting sqref="E240">
    <cfRule type="containsText" dxfId="10851" priority="4572" operator="containsText" text="프로젝트">
      <formula>NOT(ISERROR(SEARCH(("프로젝트"),(E240))))</formula>
    </cfRule>
    <cfRule type="containsText" dxfId="10850" priority="4575" operator="containsText" text="프로젝트">
      <formula>NOT(ISERROR(SEARCH(("프로젝트"),(E240))))</formula>
    </cfRule>
    <cfRule type="containsText" dxfId="10849" priority="4574" operator="containsText" text="기타">
      <formula>NOT(ISERROR(SEARCH(("기타"),(E240))))</formula>
    </cfRule>
    <cfRule type="containsText" dxfId="10848" priority="4578" operator="containsText" text="프로젝트">
      <formula>NOT(ISERROR(SEARCH(("프로젝트"),(E240))))</formula>
    </cfRule>
    <cfRule type="containsText" dxfId="10847" priority="4579" operator="containsText" text="정규교과">
      <formula>NOT(ISERROR(SEARCH(("정규교과"),(E240))))</formula>
    </cfRule>
    <cfRule type="containsText" dxfId="10846" priority="4573" operator="containsText" text="정규교과">
      <formula>NOT(ISERROR(SEARCH(("정규교과"),(E240))))</formula>
    </cfRule>
    <cfRule type="containsText" dxfId="10845" priority="4580" operator="containsText" text="기타">
      <formula>NOT(ISERROR(SEARCH(("기타"),(E240))))</formula>
    </cfRule>
    <cfRule type="containsText" dxfId="10844" priority="4576" operator="containsText" text="정규교과">
      <formula>NOT(ISERROR(SEARCH(("정규교과"),(E240))))</formula>
    </cfRule>
    <cfRule type="containsText" dxfId="10843" priority="4577" operator="containsText" text="기타">
      <formula>NOT(ISERROR(SEARCH(("기타"),(E240))))</formula>
    </cfRule>
    <cfRule type="containsText" dxfId="10842" priority="4583" operator="containsText" text="기타">
      <formula>NOT(ISERROR(SEARCH(("기타"),(E240))))</formula>
    </cfRule>
    <cfRule type="containsText" dxfId="10841" priority="4582" operator="containsText" text="정규교과">
      <formula>NOT(ISERROR(SEARCH(("정규교과"),(E240))))</formula>
    </cfRule>
    <cfRule type="containsText" dxfId="10840" priority="4581" operator="containsText" text="프로젝트">
      <formula>NOT(ISERROR(SEARCH(("프로젝트"),(E240))))</formula>
    </cfRule>
  </conditionalFormatting>
  <conditionalFormatting sqref="E244">
    <cfRule type="containsText" dxfId="10839" priority="4543" operator="containsText" text="기타">
      <formula>NOT(ISERROR(SEARCH(("기타"),(E244))))</formula>
    </cfRule>
    <cfRule type="containsText" dxfId="10838" priority="4539" operator="containsText" text="정규교과">
      <formula>NOT(ISERROR(SEARCH(("정규교과"),(E244))))</formula>
    </cfRule>
    <cfRule type="containsText" dxfId="10837" priority="4540" operator="containsText" text="기타">
      <formula>NOT(ISERROR(SEARCH(("기타"),(E244))))</formula>
    </cfRule>
    <cfRule type="containsText" dxfId="10836" priority="4541" operator="containsText" text="프로젝트">
      <formula>NOT(ISERROR(SEARCH(("프로젝트"),(E244))))</formula>
    </cfRule>
    <cfRule type="containsText" dxfId="10835" priority="4535" operator="containsText" text="프로젝트">
      <formula>NOT(ISERROR(SEARCH(("프로젝트"),(E244))))</formula>
    </cfRule>
    <cfRule type="containsText" dxfId="10834" priority="4542" operator="containsText" text="정규교과">
      <formula>NOT(ISERROR(SEARCH(("정규교과"),(E244))))</formula>
    </cfRule>
    <cfRule type="containsText" dxfId="10833" priority="4533" operator="containsText" text="정규교과">
      <formula>NOT(ISERROR(SEARCH(("정규교과"),(E244))))</formula>
    </cfRule>
    <cfRule type="containsText" dxfId="10832" priority="4538" operator="containsText" text="프로젝트">
      <formula>NOT(ISERROR(SEARCH(("프로젝트"),(E244))))</formula>
    </cfRule>
    <cfRule type="containsText" dxfId="10831" priority="4532" operator="containsText" text="프로젝트">
      <formula>NOT(ISERROR(SEARCH(("프로젝트"),(E244))))</formula>
    </cfRule>
    <cfRule type="containsText" dxfId="10830" priority="4537" operator="containsText" text="기타">
      <formula>NOT(ISERROR(SEARCH(("기타"),(E244))))</formula>
    </cfRule>
    <cfRule type="containsText" dxfId="10829" priority="4536" operator="containsText" text="정규교과">
      <formula>NOT(ISERROR(SEARCH(("정규교과"),(E244))))</formula>
    </cfRule>
    <cfRule type="containsText" dxfId="10828" priority="4534" operator="containsText" text="기타">
      <formula>NOT(ISERROR(SEARCH(("기타"),(E244))))</formula>
    </cfRule>
  </conditionalFormatting>
  <conditionalFormatting sqref="E250">
    <cfRule type="containsText" dxfId="10827" priority="3881" operator="containsText" text="기타">
      <formula>NOT(ISERROR(SEARCH(("기타"),(E250))))</formula>
    </cfRule>
    <cfRule type="containsText" dxfId="10826" priority="3875" operator="containsText" text="기타">
      <formula>NOT(ISERROR(SEARCH(("기타"),(E250))))</formula>
    </cfRule>
    <cfRule type="containsText" dxfId="10825" priority="3877" operator="containsText" text="정규교과">
      <formula>NOT(ISERROR(SEARCH(("정규교과"),(E250))))</formula>
    </cfRule>
    <cfRule type="containsText" dxfId="10824" priority="3878" operator="containsText" text="기타">
      <formula>NOT(ISERROR(SEARCH(("기타"),(E250))))</formula>
    </cfRule>
    <cfRule type="containsText" dxfId="10823" priority="3876" operator="containsText" text="프로젝트">
      <formula>NOT(ISERROR(SEARCH(("프로젝트"),(E250))))</formula>
    </cfRule>
    <cfRule type="containsText" dxfId="10822" priority="3880" operator="containsText" text="정규교과">
      <formula>NOT(ISERROR(SEARCH(("정규교과"),(E250))))</formula>
    </cfRule>
    <cfRule type="containsText" dxfId="10821" priority="3884" operator="containsText" text="기타">
      <formula>NOT(ISERROR(SEARCH(("기타"),(E250))))</formula>
    </cfRule>
    <cfRule type="containsText" dxfId="10820" priority="3879" operator="containsText" text="프로젝트">
      <formula>NOT(ISERROR(SEARCH(("프로젝트"),(E250))))</formula>
    </cfRule>
    <cfRule type="containsText" dxfId="10819" priority="3873" operator="containsText" text="프로젝트">
      <formula>NOT(ISERROR(SEARCH(("프로젝트"),(E250))))</formula>
    </cfRule>
    <cfRule type="containsText" dxfId="10818" priority="3874" operator="containsText" text="정규교과">
      <formula>NOT(ISERROR(SEARCH(("정규교과"),(E250))))</formula>
    </cfRule>
    <cfRule type="containsText" dxfId="10817" priority="3883" operator="containsText" text="정규교과">
      <formula>NOT(ISERROR(SEARCH(("정규교과"),(E250))))</formula>
    </cfRule>
    <cfRule type="containsText" dxfId="10816" priority="3882" operator="containsText" text="프로젝트">
      <formula>NOT(ISERROR(SEARCH(("프로젝트"),(E250))))</formula>
    </cfRule>
  </conditionalFormatting>
  <conditionalFormatting sqref="E254">
    <cfRule type="containsText" dxfId="10815" priority="3766" operator="containsText" text="정규교과">
      <formula>NOT(ISERROR(SEARCH(("정규교과"),(E254))))</formula>
    </cfRule>
    <cfRule type="containsText" dxfId="10814" priority="3772" operator="containsText" text="정규교과">
      <formula>NOT(ISERROR(SEARCH(("정규교과"),(E254))))</formula>
    </cfRule>
    <cfRule type="containsText" dxfId="10813" priority="3771" operator="containsText" text="프로젝트">
      <formula>NOT(ISERROR(SEARCH(("프로젝트"),(E254))))</formula>
    </cfRule>
    <cfRule type="containsText" dxfId="10812" priority="3770" operator="containsText" text="기타">
      <formula>NOT(ISERROR(SEARCH(("기타"),(E254))))</formula>
    </cfRule>
    <cfRule type="containsText" dxfId="10811" priority="3769" operator="containsText" text="정규교과">
      <formula>NOT(ISERROR(SEARCH(("정규교과"),(E254))))</formula>
    </cfRule>
    <cfRule type="containsText" dxfId="10810" priority="3767" operator="containsText" text="기타">
      <formula>NOT(ISERROR(SEARCH(("기타"),(E254))))</formula>
    </cfRule>
    <cfRule type="containsText" dxfId="10809" priority="3765" operator="containsText" text="프로젝트">
      <formula>NOT(ISERROR(SEARCH(("프로젝트"),(E254))))</formula>
    </cfRule>
    <cfRule type="containsText" dxfId="10808" priority="3764" operator="containsText" text="기타">
      <formula>NOT(ISERROR(SEARCH(("기타"),(E254))))</formula>
    </cfRule>
    <cfRule type="containsText" dxfId="10807" priority="3763" operator="containsText" text="정규교과">
      <formula>NOT(ISERROR(SEARCH(("정규교과"),(E254))))</formula>
    </cfRule>
    <cfRule type="containsText" dxfId="10806" priority="3762" operator="containsText" text="프로젝트">
      <formula>NOT(ISERROR(SEARCH(("프로젝트"),(E254))))</formula>
    </cfRule>
    <cfRule type="containsText" dxfId="10805" priority="3768" operator="containsText" text="프로젝트">
      <formula>NOT(ISERROR(SEARCH(("프로젝트"),(E254))))</formula>
    </cfRule>
    <cfRule type="containsText" dxfId="10804" priority="3773" operator="containsText" text="기타">
      <formula>NOT(ISERROR(SEARCH(("기타"),(E254))))</formula>
    </cfRule>
  </conditionalFormatting>
  <conditionalFormatting sqref="E258">
    <cfRule type="containsText" dxfId="10803" priority="3658" operator="containsText" text="정규교과">
      <formula>NOT(ISERROR(SEARCH(("정규교과"),(E258))))</formula>
    </cfRule>
    <cfRule type="containsText" dxfId="10802" priority="3653" operator="containsText" text="기타">
      <formula>NOT(ISERROR(SEARCH(("기타"),(E258))))</formula>
    </cfRule>
    <cfRule type="containsText" dxfId="10801" priority="3652" operator="containsText" text="정규교과">
      <formula>NOT(ISERROR(SEARCH(("정규교과"),(E258))))</formula>
    </cfRule>
    <cfRule type="containsText" dxfId="10800" priority="3659" operator="containsText" text="기타">
      <formula>NOT(ISERROR(SEARCH(("기타"),(E258))))</formula>
    </cfRule>
    <cfRule type="containsText" dxfId="10799" priority="3651" operator="containsText" text="프로젝트">
      <formula>NOT(ISERROR(SEARCH(("프로젝트"),(E258))))</formula>
    </cfRule>
    <cfRule type="containsText" dxfId="10798" priority="3657" operator="containsText" text="프로젝트">
      <formula>NOT(ISERROR(SEARCH(("프로젝트"),(E258))))</formula>
    </cfRule>
    <cfRule type="containsText" dxfId="10797" priority="3654" operator="containsText" text="프로젝트">
      <formula>NOT(ISERROR(SEARCH(("프로젝트"),(E258))))</formula>
    </cfRule>
    <cfRule type="containsText" dxfId="10796" priority="3660" operator="containsText" text="프로젝트">
      <formula>NOT(ISERROR(SEARCH(("프로젝트"),(E258))))</formula>
    </cfRule>
    <cfRule type="containsText" dxfId="10795" priority="3661" operator="containsText" text="정규교과">
      <formula>NOT(ISERROR(SEARCH(("정규교과"),(E258))))</formula>
    </cfRule>
    <cfRule type="containsText" dxfId="10794" priority="3662" operator="containsText" text="기타">
      <formula>NOT(ISERROR(SEARCH(("기타"),(E258))))</formula>
    </cfRule>
    <cfRule type="containsText" dxfId="10793" priority="3655" operator="containsText" text="정규교과">
      <formula>NOT(ISERROR(SEARCH(("정규교과"),(E258))))</formula>
    </cfRule>
    <cfRule type="containsText" dxfId="10792" priority="3656" operator="containsText" text="기타">
      <formula>NOT(ISERROR(SEARCH(("기타"),(E258))))</formula>
    </cfRule>
  </conditionalFormatting>
  <conditionalFormatting sqref="E263">
    <cfRule type="containsText" dxfId="10791" priority="3547" operator="containsText" text="정규교과">
      <formula>NOT(ISERROR(SEARCH(("정규교과"),(E263))))</formula>
    </cfRule>
    <cfRule type="containsText" dxfId="10790" priority="3549" operator="containsText" text="프로젝트">
      <formula>NOT(ISERROR(SEARCH(("프로젝트"),(E263))))</formula>
    </cfRule>
    <cfRule type="containsText" dxfId="10789" priority="3550" operator="containsText" text="정규교과">
      <formula>NOT(ISERROR(SEARCH(("정규교과"),(E263))))</formula>
    </cfRule>
    <cfRule type="containsText" dxfId="10788" priority="3551" operator="containsText" text="기타">
      <formula>NOT(ISERROR(SEARCH(("기타"),(E263))))</formula>
    </cfRule>
    <cfRule type="containsText" dxfId="10787" priority="3546" operator="containsText" text="프로젝트">
      <formula>NOT(ISERROR(SEARCH(("프로젝트"),(E263))))</formula>
    </cfRule>
    <cfRule type="containsText" dxfId="10786" priority="3543" operator="containsText" text="프로젝트">
      <formula>NOT(ISERROR(SEARCH(("프로젝트"),(E263))))</formula>
    </cfRule>
    <cfRule type="containsText" dxfId="10785" priority="3542" operator="containsText" text="기타">
      <formula>NOT(ISERROR(SEARCH(("기타"),(E263))))</formula>
    </cfRule>
    <cfRule type="containsText" dxfId="10784" priority="3541" operator="containsText" text="정규교과">
      <formula>NOT(ISERROR(SEARCH(("정규교과"),(E263))))</formula>
    </cfRule>
    <cfRule type="containsText" dxfId="10783" priority="3548" operator="containsText" text="기타">
      <formula>NOT(ISERROR(SEARCH(("기타"),(E263))))</formula>
    </cfRule>
    <cfRule type="containsText" dxfId="10782" priority="3545" operator="containsText" text="기타">
      <formula>NOT(ISERROR(SEARCH(("기타"),(E263))))</formula>
    </cfRule>
    <cfRule type="containsText" dxfId="10781" priority="3544" operator="containsText" text="정규교과">
      <formula>NOT(ISERROR(SEARCH(("정규교과"),(E263))))</formula>
    </cfRule>
    <cfRule type="containsText" dxfId="10780" priority="3540" operator="containsText" text="프로젝트">
      <formula>NOT(ISERROR(SEARCH(("프로젝트"),(E263))))</formula>
    </cfRule>
  </conditionalFormatting>
  <conditionalFormatting sqref="E267">
    <cfRule type="containsText" dxfId="10779" priority="3434" operator="containsText" text="기타">
      <formula>NOT(ISERROR(SEARCH(("기타"),(E267))))</formula>
    </cfRule>
    <cfRule type="containsText" dxfId="10778" priority="3439" operator="containsText" text="정규교과">
      <formula>NOT(ISERROR(SEARCH(("정규교과"),(E267))))</formula>
    </cfRule>
    <cfRule type="containsText" dxfId="10777" priority="3440" operator="containsText" text="기타">
      <formula>NOT(ISERROR(SEARCH(("기타"),(E267))))</formula>
    </cfRule>
    <cfRule type="containsText" dxfId="10776" priority="3438" operator="containsText" text="프로젝트">
      <formula>NOT(ISERROR(SEARCH(("프로젝트"),(E267))))</formula>
    </cfRule>
    <cfRule type="containsText" dxfId="10775" priority="3437" operator="containsText" text="기타">
      <formula>NOT(ISERROR(SEARCH(("기타"),(E267))))</formula>
    </cfRule>
    <cfRule type="containsText" dxfId="10774" priority="3436" operator="containsText" text="정규교과">
      <formula>NOT(ISERROR(SEARCH(("정규교과"),(E267))))</formula>
    </cfRule>
    <cfRule type="containsText" dxfId="10773" priority="3435" operator="containsText" text="프로젝트">
      <formula>NOT(ISERROR(SEARCH(("프로젝트"),(E267))))</formula>
    </cfRule>
    <cfRule type="containsText" dxfId="10772" priority="3433" operator="containsText" text="정규교과">
      <formula>NOT(ISERROR(SEARCH(("정규교과"),(E267))))</formula>
    </cfRule>
    <cfRule type="containsText" dxfId="10771" priority="3432" operator="containsText" text="프로젝트">
      <formula>NOT(ISERROR(SEARCH(("프로젝트"),(E267))))</formula>
    </cfRule>
    <cfRule type="containsText" dxfId="10770" priority="3431" operator="containsText" text="기타">
      <formula>NOT(ISERROR(SEARCH(("기타"),(E267))))</formula>
    </cfRule>
    <cfRule type="containsText" dxfId="10769" priority="3430" operator="containsText" text="정규교과">
      <formula>NOT(ISERROR(SEARCH(("정규교과"),(E267))))</formula>
    </cfRule>
    <cfRule type="containsText" dxfId="10768" priority="3429" operator="containsText" text="프로젝트">
      <formula>NOT(ISERROR(SEARCH(("프로젝트"),(E267))))</formula>
    </cfRule>
  </conditionalFormatting>
  <conditionalFormatting sqref="E271">
    <cfRule type="containsText" dxfId="10767" priority="3318" operator="containsText" text="프로젝트">
      <formula>NOT(ISERROR(SEARCH(("프로젝트"),(E271))))</formula>
    </cfRule>
    <cfRule type="containsText" dxfId="10766" priority="3319" operator="containsText" text="정규교과">
      <formula>NOT(ISERROR(SEARCH(("정규교과"),(E271))))</formula>
    </cfRule>
    <cfRule type="containsText" dxfId="10765" priority="3320" operator="containsText" text="기타">
      <formula>NOT(ISERROR(SEARCH(("기타"),(E271))))</formula>
    </cfRule>
    <cfRule type="containsText" dxfId="10764" priority="3321" operator="containsText" text="프로젝트">
      <formula>NOT(ISERROR(SEARCH(("프로젝트"),(E271))))</formula>
    </cfRule>
    <cfRule type="containsText" dxfId="10763" priority="3327" operator="containsText" text="프로젝트">
      <formula>NOT(ISERROR(SEARCH(("프로젝트"),(E271))))</formula>
    </cfRule>
    <cfRule type="containsText" dxfId="10762" priority="3322" operator="containsText" text="정규교과">
      <formula>NOT(ISERROR(SEARCH(("정규교과"),(E271))))</formula>
    </cfRule>
    <cfRule type="containsText" dxfId="10761" priority="3325" operator="containsText" text="정규교과">
      <formula>NOT(ISERROR(SEARCH(("정규교과"),(E271))))</formula>
    </cfRule>
    <cfRule type="containsText" dxfId="10760" priority="3323" operator="containsText" text="기타">
      <formula>NOT(ISERROR(SEARCH(("기타"),(E271))))</formula>
    </cfRule>
    <cfRule type="containsText" dxfId="10759" priority="3324" operator="containsText" text="프로젝트">
      <formula>NOT(ISERROR(SEARCH(("프로젝트"),(E271))))</formula>
    </cfRule>
    <cfRule type="containsText" dxfId="10758" priority="3326" operator="containsText" text="기타">
      <formula>NOT(ISERROR(SEARCH(("기타"),(E271))))</formula>
    </cfRule>
    <cfRule type="containsText" dxfId="10757" priority="3328" operator="containsText" text="정규교과">
      <formula>NOT(ISERROR(SEARCH(("정규교과"),(E271))))</formula>
    </cfRule>
    <cfRule type="containsText" dxfId="10756" priority="3329" operator="containsText" text="기타">
      <formula>NOT(ISERROR(SEARCH(("기타"),(E271))))</formula>
    </cfRule>
  </conditionalFormatting>
  <conditionalFormatting sqref="E275">
    <cfRule type="containsText" dxfId="10755" priority="3214" operator="containsText" text="정규교과">
      <formula>NOT(ISERROR(SEARCH(("정규교과"),(E275))))</formula>
    </cfRule>
    <cfRule type="containsText" dxfId="10754" priority="3207" operator="containsText" text="프로젝트">
      <formula>NOT(ISERROR(SEARCH(("프로젝트"),(E275))))</formula>
    </cfRule>
    <cfRule type="containsText" dxfId="10753" priority="3209" operator="containsText" text="기타">
      <formula>NOT(ISERROR(SEARCH(("기타"),(E275))))</formula>
    </cfRule>
    <cfRule type="containsText" dxfId="10752" priority="3210" operator="containsText" text="프로젝트">
      <formula>NOT(ISERROR(SEARCH(("프로젝트"),(E275))))</formula>
    </cfRule>
    <cfRule type="containsText" dxfId="10751" priority="3211" operator="containsText" text="정규교과">
      <formula>NOT(ISERROR(SEARCH(("정규교과"),(E275))))</formula>
    </cfRule>
    <cfRule type="containsText" dxfId="10750" priority="3212" operator="containsText" text="기타">
      <formula>NOT(ISERROR(SEARCH(("기타"),(E275))))</formula>
    </cfRule>
    <cfRule type="containsText" dxfId="10749" priority="3213" operator="containsText" text="프로젝트">
      <formula>NOT(ISERROR(SEARCH(("프로젝트"),(E275))))</formula>
    </cfRule>
    <cfRule type="containsText" dxfId="10748" priority="3215" operator="containsText" text="기타">
      <formula>NOT(ISERROR(SEARCH(("기타"),(E275))))</formula>
    </cfRule>
    <cfRule type="containsText" dxfId="10747" priority="3208" operator="containsText" text="정규교과">
      <formula>NOT(ISERROR(SEARCH(("정규교과"),(E275))))</formula>
    </cfRule>
    <cfRule type="containsText" dxfId="10746" priority="3216" operator="containsText" text="프로젝트">
      <formula>NOT(ISERROR(SEARCH(("프로젝트"),(E275))))</formula>
    </cfRule>
    <cfRule type="containsText" dxfId="10745" priority="3218" operator="containsText" text="기타">
      <formula>NOT(ISERROR(SEARCH(("기타"),(E275))))</formula>
    </cfRule>
    <cfRule type="containsText" dxfId="10744" priority="3217" operator="containsText" text="정규교과">
      <formula>NOT(ISERROR(SEARCH(("정규교과"),(E275))))</formula>
    </cfRule>
  </conditionalFormatting>
  <conditionalFormatting sqref="E279">
    <cfRule type="containsText" dxfId="10743" priority="3099" operator="containsText" text="프로젝트">
      <formula>NOT(ISERROR(SEARCH(("프로젝트"),(E279))))</formula>
    </cfRule>
    <cfRule type="containsText" dxfId="10742" priority="3106" operator="containsText" text="정규교과">
      <formula>NOT(ISERROR(SEARCH(("정규교과"),(E279))))</formula>
    </cfRule>
    <cfRule type="containsText" dxfId="10741" priority="3098" operator="containsText" text="기타">
      <formula>NOT(ISERROR(SEARCH(("기타"),(E279))))</formula>
    </cfRule>
    <cfRule type="containsText" dxfId="10740" priority="3107" operator="containsText" text="기타">
      <formula>NOT(ISERROR(SEARCH(("기타"),(E279))))</formula>
    </cfRule>
    <cfRule type="containsText" dxfId="10739" priority="3105" operator="containsText" text="프로젝트">
      <formula>NOT(ISERROR(SEARCH(("프로젝트"),(E279))))</formula>
    </cfRule>
    <cfRule type="containsText" dxfId="10738" priority="3104" operator="containsText" text="기타">
      <formula>NOT(ISERROR(SEARCH(("기타"),(E279))))</formula>
    </cfRule>
    <cfRule type="containsText" dxfId="10737" priority="3097" operator="containsText" text="정규교과">
      <formula>NOT(ISERROR(SEARCH(("정규교과"),(E279))))</formula>
    </cfRule>
    <cfRule type="containsText" dxfId="10736" priority="3096" operator="containsText" text="프로젝트">
      <formula>NOT(ISERROR(SEARCH(("프로젝트"),(E279))))</formula>
    </cfRule>
    <cfRule type="containsText" dxfId="10735" priority="3103" operator="containsText" text="정규교과">
      <formula>NOT(ISERROR(SEARCH(("정규교과"),(E279))))</formula>
    </cfRule>
    <cfRule type="containsText" dxfId="10734" priority="3102" operator="containsText" text="프로젝트">
      <formula>NOT(ISERROR(SEARCH(("프로젝트"),(E279))))</formula>
    </cfRule>
    <cfRule type="containsText" dxfId="10733" priority="3101" operator="containsText" text="기타">
      <formula>NOT(ISERROR(SEARCH(("기타"),(E279))))</formula>
    </cfRule>
    <cfRule type="containsText" dxfId="10732" priority="3100" operator="containsText" text="정규교과">
      <formula>NOT(ISERROR(SEARCH(("정규교과"),(E279))))</formula>
    </cfRule>
  </conditionalFormatting>
  <conditionalFormatting sqref="E324">
    <cfRule type="containsText" dxfId="10731" priority="2640" operator="containsText" text="프로젝트">
      <formula>NOT(ISERROR(SEARCH(("프로젝트"),(E324))))</formula>
    </cfRule>
    <cfRule type="containsText" dxfId="10730" priority="2641" operator="containsText" text="정규교과">
      <formula>NOT(ISERROR(SEARCH(("정규교과"),(E324))))</formula>
    </cfRule>
    <cfRule type="containsText" dxfId="10729" priority="2639" operator="containsText" text="휴강">
      <formula>NOT(ISERROR(SEARCH(("휴강"),(E324))))</formula>
    </cfRule>
    <cfRule type="containsText" dxfId="10728" priority="2642" operator="containsText" text="기타">
      <formula>NOT(ISERROR(SEARCH(("기타"),(E324))))</formula>
    </cfRule>
  </conditionalFormatting>
  <conditionalFormatting sqref="E328">
    <cfRule type="containsText" dxfId="10727" priority="2636" operator="containsText" text="프로젝트">
      <formula>NOT(ISERROR(SEARCH(("프로젝트"),(E328))))</formula>
    </cfRule>
    <cfRule type="containsText" dxfId="10726" priority="2638" operator="containsText" text="기타">
      <formula>NOT(ISERROR(SEARCH(("기타"),(E328))))</formula>
    </cfRule>
    <cfRule type="containsText" dxfId="10725" priority="2635" operator="containsText" text="휴강">
      <formula>NOT(ISERROR(SEARCH(("휴강"),(E328))))</formula>
    </cfRule>
    <cfRule type="containsText" dxfId="10724" priority="2637" operator="containsText" text="정규교과">
      <formula>NOT(ISERROR(SEARCH(("정규교과"),(E328))))</formula>
    </cfRule>
  </conditionalFormatting>
  <conditionalFormatting sqref="E333">
    <cfRule type="containsText" dxfId="10723" priority="2633" operator="containsText" text="정규교과">
      <formula>NOT(ISERROR(SEARCH(("정규교과"),(E333))))</formula>
    </cfRule>
    <cfRule type="containsText" dxfId="10722" priority="2632" operator="containsText" text="프로젝트">
      <formula>NOT(ISERROR(SEARCH(("프로젝트"),(E333))))</formula>
    </cfRule>
    <cfRule type="containsText" dxfId="10721" priority="2631" operator="containsText" text="휴강">
      <formula>NOT(ISERROR(SEARCH(("휴강"),(E333))))</formula>
    </cfRule>
    <cfRule type="containsText" dxfId="10720" priority="2634" operator="containsText" text="기타">
      <formula>NOT(ISERROR(SEARCH(("기타"),(E333))))</formula>
    </cfRule>
  </conditionalFormatting>
  <conditionalFormatting sqref="E337">
    <cfRule type="containsText" dxfId="10719" priority="49" operator="containsText" text="휴강">
      <formula>NOT(ISERROR(SEARCH(("휴강"),(E337))))</formula>
    </cfRule>
    <cfRule type="containsText" dxfId="10718" priority="52" operator="containsText" text="기타">
      <formula>NOT(ISERROR(SEARCH(("기타"),(E337))))</formula>
    </cfRule>
    <cfRule type="containsText" dxfId="10717" priority="51" operator="containsText" text="정규교과">
      <formula>NOT(ISERROR(SEARCH(("정규교과"),(E337))))</formula>
    </cfRule>
    <cfRule type="containsText" dxfId="10716" priority="50" operator="containsText" text="프로젝트">
      <formula>NOT(ISERROR(SEARCH(("프로젝트"),(E337))))</formula>
    </cfRule>
  </conditionalFormatting>
  <conditionalFormatting sqref="E341">
    <cfRule type="containsText" dxfId="10715" priority="45" operator="containsText" text="휴강">
      <formula>NOT(ISERROR(SEARCH(("휴강"),(E341))))</formula>
    </cfRule>
    <cfRule type="containsText" dxfId="10714" priority="47" operator="containsText" text="정규교과">
      <formula>NOT(ISERROR(SEARCH(("정규교과"),(E341))))</formula>
    </cfRule>
    <cfRule type="containsText" dxfId="10713" priority="48" operator="containsText" text="기타">
      <formula>NOT(ISERROR(SEARCH(("기타"),(E341))))</formula>
    </cfRule>
    <cfRule type="containsText" dxfId="10712" priority="46" operator="containsText" text="프로젝트">
      <formula>NOT(ISERROR(SEARCH(("프로젝트"),(E341))))</formula>
    </cfRule>
  </conditionalFormatting>
  <conditionalFormatting sqref="E345">
    <cfRule type="containsText" dxfId="10711" priority="41" operator="containsText" text="휴강">
      <formula>NOT(ISERROR(SEARCH(("휴강"),(E345))))</formula>
    </cfRule>
    <cfRule type="containsText" dxfId="10710" priority="44" operator="containsText" text="기타">
      <formula>NOT(ISERROR(SEARCH(("기타"),(E345))))</formula>
    </cfRule>
    <cfRule type="containsText" dxfId="10709" priority="43" operator="containsText" text="정규교과">
      <formula>NOT(ISERROR(SEARCH(("정규교과"),(E345))))</formula>
    </cfRule>
    <cfRule type="containsText" dxfId="10708" priority="42" operator="containsText" text="프로젝트">
      <formula>NOT(ISERROR(SEARCH(("프로젝트"),(E345))))</formula>
    </cfRule>
  </conditionalFormatting>
  <conditionalFormatting sqref="E349">
    <cfRule type="containsText" dxfId="10707" priority="38" operator="containsText" text="프로젝트">
      <formula>NOT(ISERROR(SEARCH(("프로젝트"),(E349))))</formula>
    </cfRule>
    <cfRule type="containsText" dxfId="10706" priority="37" operator="containsText" text="휴강">
      <formula>NOT(ISERROR(SEARCH(("휴강"),(E349))))</formula>
    </cfRule>
    <cfRule type="containsText" dxfId="10705" priority="40" operator="containsText" text="기타">
      <formula>NOT(ISERROR(SEARCH(("기타"),(E349))))</formula>
    </cfRule>
    <cfRule type="containsText" dxfId="10704" priority="39" operator="containsText" text="정규교과">
      <formula>NOT(ISERROR(SEARCH(("정규교과"),(E349))))</formula>
    </cfRule>
  </conditionalFormatting>
  <conditionalFormatting sqref="E355">
    <cfRule type="containsText" dxfId="10703" priority="1341" operator="containsText" text="정규교과">
      <formula>NOT(ISERROR(SEARCH(("정규교과"),(E355))))</formula>
    </cfRule>
    <cfRule type="containsText" dxfId="10702" priority="1340" operator="containsText" text="프로젝트">
      <formula>NOT(ISERROR(SEARCH(("프로젝트"),(E355))))</formula>
    </cfRule>
    <cfRule type="containsText" dxfId="10701" priority="1338" operator="containsText" text="정규교과">
      <formula>NOT(ISERROR(SEARCH(("정규교과"),(E355))))</formula>
    </cfRule>
    <cfRule type="containsText" dxfId="10700" priority="1336" operator="containsText" text="기타">
      <formula>NOT(ISERROR(SEARCH(("기타"),(E355))))</formula>
    </cfRule>
    <cfRule type="containsText" dxfId="10699" priority="1335" operator="containsText" text="정규교과">
      <formula>NOT(ISERROR(SEARCH(("정규교과"),(E355))))</formula>
    </cfRule>
    <cfRule type="containsText" dxfId="10698" priority="1344" operator="containsText" text="정규교과">
      <formula>NOT(ISERROR(SEARCH(("정규교과"),(E355))))</formula>
    </cfRule>
    <cfRule type="containsText" dxfId="10697" priority="1334" operator="containsText" text="프로젝트">
      <formula>NOT(ISERROR(SEARCH(("프로젝트"),(E355))))</formula>
    </cfRule>
    <cfRule type="containsText" dxfId="10696" priority="1333" operator="containsText" text="기타">
      <formula>NOT(ISERROR(SEARCH(("기타"),(E355))))</formula>
    </cfRule>
    <cfRule type="containsText" dxfId="10695" priority="1332" operator="containsText" text="정규교과">
      <formula>NOT(ISERROR(SEARCH(("정규교과"),(E355))))</formula>
    </cfRule>
    <cfRule type="containsText" dxfId="10694" priority="1331" operator="containsText" text="프로젝트">
      <formula>NOT(ISERROR(SEARCH(("프로젝트"),(E355))))</formula>
    </cfRule>
    <cfRule type="containsText" dxfId="10693" priority="1329" operator="containsText" text="정규교과">
      <formula>NOT(ISERROR(SEARCH(("정규교과"),(E355))))</formula>
    </cfRule>
    <cfRule type="containsText" dxfId="10692" priority="1328" operator="containsText" text="프로젝트">
      <formula>NOT(ISERROR(SEARCH(("프로젝트"),(E355))))</formula>
    </cfRule>
    <cfRule type="containsText" dxfId="10691" priority="1327" operator="containsText" text="기타">
      <formula>NOT(ISERROR(SEARCH(("기타"),(E355))))</formula>
    </cfRule>
    <cfRule type="containsText" dxfId="10690" priority="1326" operator="containsText" text="정규교과">
      <formula>NOT(ISERROR(SEARCH(("정규교과"),(E355))))</formula>
    </cfRule>
    <cfRule type="containsText" dxfId="10689" priority="1325" operator="containsText" text="프로젝트">
      <formula>NOT(ISERROR(SEARCH(("프로젝트"),(E355))))</formula>
    </cfRule>
    <cfRule type="containsText" dxfId="10688" priority="1343" operator="containsText" text="프로젝트">
      <formula>NOT(ISERROR(SEARCH(("프로젝트"),(E355))))</formula>
    </cfRule>
    <cfRule type="containsText" dxfId="10687" priority="1337" operator="containsText" text="프로젝트">
      <formula>NOT(ISERROR(SEARCH(("프로젝트"),(E355))))</formula>
    </cfRule>
    <cfRule type="containsText" dxfId="10686" priority="1345" operator="containsText" text="기타">
      <formula>NOT(ISERROR(SEARCH(("기타"),(E355))))</formula>
    </cfRule>
    <cfRule type="containsText" dxfId="10685" priority="1339" operator="containsText" text="기타">
      <formula>NOT(ISERROR(SEARCH(("기타"),(E355))))</formula>
    </cfRule>
    <cfRule type="containsText" dxfId="10684" priority="1342" operator="containsText" text="기타">
      <formula>NOT(ISERROR(SEARCH(("기타"),(E355))))</formula>
    </cfRule>
    <cfRule type="containsText" dxfId="10683" priority="1330" operator="containsText" text="기타">
      <formula>NOT(ISERROR(SEARCH(("기타"),(E355))))</formula>
    </cfRule>
  </conditionalFormatting>
  <conditionalFormatting sqref="E359">
    <cfRule type="containsText" dxfId="10682" priority="1206" operator="containsText" text="기타">
      <formula>NOT(ISERROR(SEARCH(("기타"),(E359))))</formula>
    </cfRule>
    <cfRule type="containsText" dxfId="10681" priority="1205" operator="containsText" text="정규교과">
      <formula>NOT(ISERROR(SEARCH(("정규교과"),(E359))))</formula>
    </cfRule>
    <cfRule type="containsText" dxfId="10680" priority="1204" operator="containsText" text="프로젝트">
      <formula>NOT(ISERROR(SEARCH(("프로젝트"),(E359))))</formula>
    </cfRule>
    <cfRule type="containsText" dxfId="10679" priority="1203" operator="containsText" text="기타">
      <formula>NOT(ISERROR(SEARCH(("기타"),(E359))))</formula>
    </cfRule>
    <cfRule type="containsText" dxfId="10678" priority="1202" operator="containsText" text="정규교과">
      <formula>NOT(ISERROR(SEARCH(("정규교과"),(E359))))</formula>
    </cfRule>
    <cfRule type="containsText" dxfId="10677" priority="1201" operator="containsText" text="프로젝트">
      <formula>NOT(ISERROR(SEARCH(("프로젝트"),(E359))))</formula>
    </cfRule>
    <cfRule type="containsText" dxfId="10676" priority="1200" operator="containsText" text="기타">
      <formula>NOT(ISERROR(SEARCH(("기타"),(E359))))</formula>
    </cfRule>
    <cfRule type="containsText" dxfId="10675" priority="1198" operator="containsText" text="프로젝트">
      <formula>NOT(ISERROR(SEARCH(("프로젝트"),(E359))))</formula>
    </cfRule>
    <cfRule type="containsText" dxfId="10674" priority="1197" operator="containsText" text="기타">
      <formula>NOT(ISERROR(SEARCH(("기타"),(E359))))</formula>
    </cfRule>
    <cfRule type="containsText" dxfId="10673" priority="1196" operator="containsText" text="정규교과">
      <formula>NOT(ISERROR(SEARCH(("정규교과"),(E359))))</formula>
    </cfRule>
    <cfRule type="containsText" dxfId="10672" priority="1195" operator="containsText" text="프로젝트">
      <formula>NOT(ISERROR(SEARCH(("프로젝트"),(E359))))</formula>
    </cfRule>
    <cfRule type="containsText" dxfId="10671" priority="1199" operator="containsText" text="정규교과">
      <formula>NOT(ISERROR(SEARCH(("정규교과"),(E359))))</formula>
    </cfRule>
    <cfRule type="containsText" dxfId="10670" priority="1215" operator="containsText" text="기타">
      <formula>NOT(ISERROR(SEARCH(("기타"),(E359))))</formula>
    </cfRule>
    <cfRule type="containsText" dxfId="10669" priority="1214" operator="containsText" text="정규교과">
      <formula>NOT(ISERROR(SEARCH(("정규교과"),(E359))))</formula>
    </cfRule>
    <cfRule type="containsText" dxfId="10668" priority="1213" operator="containsText" text="프로젝트">
      <formula>NOT(ISERROR(SEARCH(("프로젝트"),(E359))))</formula>
    </cfRule>
    <cfRule type="containsText" dxfId="10667" priority="1212" operator="containsText" text="기타">
      <formula>NOT(ISERROR(SEARCH(("기타"),(E359))))</formula>
    </cfRule>
    <cfRule type="containsText" dxfId="10666" priority="1211" operator="containsText" text="정규교과">
      <formula>NOT(ISERROR(SEARCH(("정규교과"),(E359))))</formula>
    </cfRule>
    <cfRule type="containsText" dxfId="10665" priority="1210" operator="containsText" text="프로젝트">
      <formula>NOT(ISERROR(SEARCH(("프로젝트"),(E359))))</formula>
    </cfRule>
    <cfRule type="containsText" dxfId="10664" priority="1209" operator="containsText" text="기타">
      <formula>NOT(ISERROR(SEARCH(("기타"),(E359))))</formula>
    </cfRule>
    <cfRule type="containsText" dxfId="10663" priority="1208" operator="containsText" text="정규교과">
      <formula>NOT(ISERROR(SEARCH(("정규교과"),(E359))))</formula>
    </cfRule>
    <cfRule type="containsText" dxfId="10662" priority="1207" operator="containsText" text="프로젝트">
      <formula>NOT(ISERROR(SEARCH(("프로젝트"),(E359))))</formula>
    </cfRule>
  </conditionalFormatting>
  <conditionalFormatting sqref="E363">
    <cfRule type="containsText" dxfId="10661" priority="1066" operator="containsText" text="정규교과">
      <formula>NOT(ISERROR(SEARCH(("정규교과"),(E363))))</formula>
    </cfRule>
    <cfRule type="containsText" dxfId="10660" priority="1067" operator="containsText" text="기타">
      <formula>NOT(ISERROR(SEARCH(("기타"),(E363))))</formula>
    </cfRule>
    <cfRule type="containsText" dxfId="10659" priority="1071" operator="containsText" text="프로젝트">
      <formula>NOT(ISERROR(SEARCH(("프로젝트"),(E363))))</formula>
    </cfRule>
    <cfRule type="containsText" dxfId="10658" priority="1077" operator="containsText" text="프로젝트">
      <formula>NOT(ISERROR(SEARCH(("프로젝트"),(E363))))</formula>
    </cfRule>
    <cfRule type="containsText" dxfId="10657" priority="1083" operator="containsText" text="프로젝트">
      <formula>NOT(ISERROR(SEARCH(("프로젝트"),(E363))))</formula>
    </cfRule>
    <cfRule type="containsText" dxfId="10656" priority="1076" operator="containsText" text="기타">
      <formula>NOT(ISERROR(SEARCH(("기타"),(E363))))</formula>
    </cfRule>
    <cfRule type="containsText" dxfId="10655" priority="1075" operator="containsText" text="정규교과">
      <formula>NOT(ISERROR(SEARCH(("정규교과"),(E363))))</formula>
    </cfRule>
    <cfRule type="containsText" dxfId="10654" priority="1068" operator="containsText" text="프로젝트">
      <formula>NOT(ISERROR(SEARCH(("프로젝트"),(E363))))</formula>
    </cfRule>
    <cfRule type="containsText" dxfId="10653" priority="1073" operator="containsText" text="기타">
      <formula>NOT(ISERROR(SEARCH(("기타"),(E363))))</formula>
    </cfRule>
    <cfRule type="containsText" dxfId="10652" priority="1072" operator="containsText" text="정규교과">
      <formula>NOT(ISERROR(SEARCH(("정규교과"),(E363))))</formula>
    </cfRule>
    <cfRule type="containsText" dxfId="10651" priority="1084" operator="containsText" text="정규교과">
      <formula>NOT(ISERROR(SEARCH(("정규교과"),(E363))))</formula>
    </cfRule>
    <cfRule type="containsText" dxfId="10650" priority="1085" operator="containsText" text="기타">
      <formula>NOT(ISERROR(SEARCH(("기타"),(E363))))</formula>
    </cfRule>
    <cfRule type="containsText" dxfId="10649" priority="1078" operator="containsText" text="정규교과">
      <formula>NOT(ISERROR(SEARCH(("정규교과"),(E363))))</formula>
    </cfRule>
    <cfRule type="containsText" dxfId="10648" priority="1065" operator="containsText" text="프로젝트">
      <formula>NOT(ISERROR(SEARCH(("프로젝트"),(E363))))</formula>
    </cfRule>
    <cfRule type="containsText" dxfId="10647" priority="1074" operator="containsText" text="프로젝트">
      <formula>NOT(ISERROR(SEARCH(("프로젝트"),(E363))))</formula>
    </cfRule>
    <cfRule type="containsText" dxfId="10646" priority="1069" operator="containsText" text="정규교과">
      <formula>NOT(ISERROR(SEARCH(("정규교과"),(E363))))</formula>
    </cfRule>
    <cfRule type="containsText" dxfId="10645" priority="1070" operator="containsText" text="기타">
      <formula>NOT(ISERROR(SEARCH(("기타"),(E363))))</formula>
    </cfRule>
    <cfRule type="containsText" dxfId="10644" priority="1079" operator="containsText" text="기타">
      <formula>NOT(ISERROR(SEARCH(("기타"),(E363))))</formula>
    </cfRule>
    <cfRule type="containsText" dxfId="10643" priority="1080" operator="containsText" text="프로젝트">
      <formula>NOT(ISERROR(SEARCH(("프로젝트"),(E363))))</formula>
    </cfRule>
    <cfRule type="containsText" dxfId="10642" priority="1081" operator="containsText" text="정규교과">
      <formula>NOT(ISERROR(SEARCH(("정규교과"),(E363))))</formula>
    </cfRule>
    <cfRule type="containsText" dxfId="10641" priority="1082" operator="containsText" text="기타">
      <formula>NOT(ISERROR(SEARCH(("기타"),(E363))))</formula>
    </cfRule>
  </conditionalFormatting>
  <conditionalFormatting sqref="E368">
    <cfRule type="containsText" dxfId="10640" priority="942" operator="containsText" text="정규교과">
      <formula>NOT(ISERROR(SEARCH(("정규교과"),(E368))))</formula>
    </cfRule>
    <cfRule type="containsText" dxfId="10639" priority="940" operator="containsText" text="기타">
      <formula>NOT(ISERROR(SEARCH(("기타"),(E368))))</formula>
    </cfRule>
    <cfRule type="containsText" dxfId="10638" priority="939" operator="containsText" text="정규교과">
      <formula>NOT(ISERROR(SEARCH(("정규교과"),(E368))))</formula>
    </cfRule>
    <cfRule type="containsText" dxfId="10637" priority="941" operator="containsText" text="프로젝트">
      <formula>NOT(ISERROR(SEARCH(("프로젝트"),(E368))))</formula>
    </cfRule>
    <cfRule type="containsText" dxfId="10636" priority="947" operator="containsText" text="프로젝트">
      <formula>NOT(ISERROR(SEARCH(("프로젝트"),(E368))))</formula>
    </cfRule>
    <cfRule type="containsText" dxfId="10635" priority="938" operator="containsText" text="프로젝트">
      <formula>NOT(ISERROR(SEARCH(("프로젝트"),(E368))))</formula>
    </cfRule>
    <cfRule type="containsText" dxfId="10634" priority="937" operator="containsText" text="기타">
      <formula>NOT(ISERROR(SEARCH(("기타"),(E368))))</formula>
    </cfRule>
    <cfRule type="containsText" dxfId="10633" priority="948" operator="containsText" text="정규교과">
      <formula>NOT(ISERROR(SEARCH(("정규교과"),(E368))))</formula>
    </cfRule>
    <cfRule type="containsText" dxfId="10632" priority="935" operator="containsText" text="프로젝트">
      <formula>NOT(ISERROR(SEARCH(("프로젝트"),(E368))))</formula>
    </cfRule>
    <cfRule type="containsText" dxfId="10631" priority="949" operator="containsText" text="기타">
      <formula>NOT(ISERROR(SEARCH(("기타"),(E368))))</formula>
    </cfRule>
    <cfRule type="containsText" dxfId="10630" priority="953" operator="containsText" text="프로젝트">
      <formula>NOT(ISERROR(SEARCH(("프로젝트"),(E368))))</formula>
    </cfRule>
    <cfRule type="containsText" dxfId="10629" priority="946" operator="containsText" text="기타">
      <formula>NOT(ISERROR(SEARCH(("기타"),(E368))))</formula>
    </cfRule>
    <cfRule type="containsText" dxfId="10628" priority="945" operator="containsText" text="정규교과">
      <formula>NOT(ISERROR(SEARCH(("정규교과"),(E368))))</formula>
    </cfRule>
    <cfRule type="containsText" dxfId="10627" priority="944" operator="containsText" text="프로젝트">
      <formula>NOT(ISERROR(SEARCH(("프로젝트"),(E368))))</formula>
    </cfRule>
    <cfRule type="containsText" dxfId="10626" priority="943" operator="containsText" text="기타">
      <formula>NOT(ISERROR(SEARCH(("기타"),(E368))))</formula>
    </cfRule>
    <cfRule type="containsText" dxfId="10625" priority="936" operator="containsText" text="정규교과">
      <formula>NOT(ISERROR(SEARCH(("정규교과"),(E368))))</formula>
    </cfRule>
    <cfRule type="containsText" dxfId="10624" priority="950" operator="containsText" text="프로젝트">
      <formula>NOT(ISERROR(SEARCH(("프로젝트"),(E368))))</formula>
    </cfRule>
    <cfRule type="containsText" dxfId="10623" priority="951" operator="containsText" text="정규교과">
      <formula>NOT(ISERROR(SEARCH(("정규교과"),(E368))))</formula>
    </cfRule>
    <cfRule type="containsText" dxfId="10622" priority="952" operator="containsText" text="기타">
      <formula>NOT(ISERROR(SEARCH(("기타"),(E368))))</formula>
    </cfRule>
    <cfRule type="containsText" dxfId="10621" priority="954" operator="containsText" text="정규교과">
      <formula>NOT(ISERROR(SEARCH(("정규교과"),(E368))))</formula>
    </cfRule>
    <cfRule type="containsText" dxfId="10620" priority="955" operator="containsText" text="기타">
      <formula>NOT(ISERROR(SEARCH(("기타"),(E368))))</formula>
    </cfRule>
  </conditionalFormatting>
  <conditionalFormatting sqref="E372">
    <cfRule type="containsText" dxfId="10619" priority="820" operator="containsText" text="프로젝트">
      <formula>NOT(ISERROR(SEARCH(("프로젝트"),(E372))))</formula>
    </cfRule>
    <cfRule type="containsText" dxfId="10618" priority="819" operator="containsText" text="기타">
      <formula>NOT(ISERROR(SEARCH(("기타"),(E372))))</formula>
    </cfRule>
    <cfRule type="containsText" dxfId="10617" priority="822" operator="containsText" text="기타">
      <formula>NOT(ISERROR(SEARCH(("기타"),(E372))))</formula>
    </cfRule>
    <cfRule type="containsText" dxfId="10616" priority="805" operator="containsText" text="프로젝트">
      <formula>NOT(ISERROR(SEARCH(("프로젝트"),(E372))))</formula>
    </cfRule>
    <cfRule type="containsText" dxfId="10615" priority="816" operator="containsText" text="기타">
      <formula>NOT(ISERROR(SEARCH(("기타"),(E372))))</formula>
    </cfRule>
    <cfRule type="containsText" dxfId="10614" priority="811" operator="containsText" text="프로젝트">
      <formula>NOT(ISERROR(SEARCH(("프로젝트"),(E372))))</formula>
    </cfRule>
    <cfRule type="containsText" dxfId="10613" priority="815" operator="containsText" text="정규교과">
      <formula>NOT(ISERROR(SEARCH(("정규교과"),(E372))))</formula>
    </cfRule>
    <cfRule type="containsText" dxfId="10612" priority="814" operator="containsText" text="프로젝트">
      <formula>NOT(ISERROR(SEARCH(("프로젝트"),(E372))))</formula>
    </cfRule>
    <cfRule type="containsText" dxfId="10611" priority="813" operator="containsText" text="기타">
      <formula>NOT(ISERROR(SEARCH(("기타"),(E372))))</formula>
    </cfRule>
    <cfRule type="containsText" dxfId="10610" priority="807" operator="containsText" text="기타">
      <formula>NOT(ISERROR(SEARCH(("기타"),(E372))))</formula>
    </cfRule>
    <cfRule type="containsText" dxfId="10609" priority="812" operator="containsText" text="정규교과">
      <formula>NOT(ISERROR(SEARCH(("정규교과"),(E372))))</formula>
    </cfRule>
    <cfRule type="containsText" dxfId="10608" priority="823" operator="containsText" text="프로젝트">
      <formula>NOT(ISERROR(SEARCH(("프로젝트"),(E372))))</formula>
    </cfRule>
    <cfRule type="containsText" dxfId="10607" priority="825" operator="containsText" text="기타">
      <formula>NOT(ISERROR(SEARCH(("기타"),(E372))))</formula>
    </cfRule>
    <cfRule type="containsText" dxfId="10606" priority="817" operator="containsText" text="프로젝트">
      <formula>NOT(ISERROR(SEARCH(("프로젝트"),(E372))))</formula>
    </cfRule>
    <cfRule type="containsText" dxfId="10605" priority="821" operator="containsText" text="정규교과">
      <formula>NOT(ISERROR(SEARCH(("정규교과"),(E372))))</formula>
    </cfRule>
    <cfRule type="containsText" dxfId="10604" priority="824" operator="containsText" text="정규교과">
      <formula>NOT(ISERROR(SEARCH(("정규교과"),(E372))))</formula>
    </cfRule>
    <cfRule type="containsText" dxfId="10603" priority="810" operator="containsText" text="기타">
      <formula>NOT(ISERROR(SEARCH(("기타"),(E372))))</formula>
    </cfRule>
    <cfRule type="containsText" dxfId="10602" priority="818" operator="containsText" text="정규교과">
      <formula>NOT(ISERROR(SEARCH(("정규교과"),(E372))))</formula>
    </cfRule>
    <cfRule type="containsText" dxfId="10601" priority="809" operator="containsText" text="정규교과">
      <formula>NOT(ISERROR(SEARCH(("정규교과"),(E372))))</formula>
    </cfRule>
    <cfRule type="containsText" dxfId="10600" priority="808" operator="containsText" text="프로젝트">
      <formula>NOT(ISERROR(SEARCH(("프로젝트"),(E372))))</formula>
    </cfRule>
    <cfRule type="containsText" dxfId="10599" priority="806" operator="containsText" text="정규교과">
      <formula>NOT(ISERROR(SEARCH(("정규교과"),(E372))))</formula>
    </cfRule>
  </conditionalFormatting>
  <conditionalFormatting sqref="E376">
    <cfRule type="containsText" dxfId="10598" priority="685" operator="containsText" text="정규교과">
      <formula>NOT(ISERROR(SEARCH(("정규교과"),(E376))))</formula>
    </cfRule>
    <cfRule type="containsText" dxfId="10597" priority="686" operator="containsText" text="기타">
      <formula>NOT(ISERROR(SEARCH(("기타"),(E376))))</formula>
    </cfRule>
    <cfRule type="containsText" dxfId="10596" priority="687" operator="containsText" text="프로젝트">
      <formula>NOT(ISERROR(SEARCH(("프로젝트"),(E376))))</formula>
    </cfRule>
    <cfRule type="containsText" dxfId="10595" priority="688" operator="containsText" text="정규교과">
      <formula>NOT(ISERROR(SEARCH(("정규교과"),(E376))))</formula>
    </cfRule>
    <cfRule type="containsText" dxfId="10594" priority="689" operator="containsText" text="기타">
      <formula>NOT(ISERROR(SEARCH(("기타"),(E376))))</formula>
    </cfRule>
    <cfRule type="containsText" dxfId="10593" priority="690" operator="containsText" text="프로젝트">
      <formula>NOT(ISERROR(SEARCH(("프로젝트"),(E376))))</formula>
    </cfRule>
    <cfRule type="containsText" dxfId="10592" priority="691" operator="containsText" text="정규교과">
      <formula>NOT(ISERROR(SEARCH(("정규교과"),(E376))))</formula>
    </cfRule>
    <cfRule type="containsText" dxfId="10591" priority="692" operator="containsText" text="기타">
      <formula>NOT(ISERROR(SEARCH(("기타"),(E376))))</formula>
    </cfRule>
    <cfRule type="containsText" dxfId="10590" priority="693" operator="containsText" text="프로젝트">
      <formula>NOT(ISERROR(SEARCH(("프로젝트"),(E376))))</formula>
    </cfRule>
    <cfRule type="containsText" dxfId="10589" priority="694" operator="containsText" text="정규교과">
      <formula>NOT(ISERROR(SEARCH(("정규교과"),(E376))))</formula>
    </cfRule>
    <cfRule type="containsText" dxfId="10588" priority="695" operator="containsText" text="기타">
      <formula>NOT(ISERROR(SEARCH(("기타"),(E376))))</formula>
    </cfRule>
    <cfRule type="containsText" dxfId="10587" priority="677" operator="containsText" text="기타">
      <formula>NOT(ISERROR(SEARCH(("기타"),(E376))))</formula>
    </cfRule>
    <cfRule type="containsText" dxfId="10586" priority="678" operator="containsText" text="프로젝트">
      <formula>NOT(ISERROR(SEARCH(("프로젝트"),(E376))))</formula>
    </cfRule>
    <cfRule type="containsText" dxfId="10585" priority="679" operator="containsText" text="정규교과">
      <formula>NOT(ISERROR(SEARCH(("정규교과"),(E376))))</formula>
    </cfRule>
    <cfRule type="containsText" dxfId="10584" priority="680" operator="containsText" text="기타">
      <formula>NOT(ISERROR(SEARCH(("기타"),(E376))))</formula>
    </cfRule>
    <cfRule type="containsText" dxfId="10583" priority="675" operator="containsText" text="프로젝트">
      <formula>NOT(ISERROR(SEARCH(("프로젝트"),(E376))))</formula>
    </cfRule>
    <cfRule type="containsText" dxfId="10582" priority="676" operator="containsText" text="정규교과">
      <formula>NOT(ISERROR(SEARCH(("정규교과"),(E376))))</formula>
    </cfRule>
    <cfRule type="containsText" dxfId="10581" priority="681" operator="containsText" text="프로젝트">
      <formula>NOT(ISERROR(SEARCH(("프로젝트"),(E376))))</formula>
    </cfRule>
    <cfRule type="containsText" dxfId="10580" priority="682" operator="containsText" text="정규교과">
      <formula>NOT(ISERROR(SEARCH(("정규교과"),(E376))))</formula>
    </cfRule>
    <cfRule type="containsText" dxfId="10579" priority="683" operator="containsText" text="기타">
      <formula>NOT(ISERROR(SEARCH(("기타"),(E376))))</formula>
    </cfRule>
    <cfRule type="containsText" dxfId="10578" priority="684" operator="containsText" text="프로젝트">
      <formula>NOT(ISERROR(SEARCH(("프로젝트"),(E376))))</formula>
    </cfRule>
  </conditionalFormatting>
  <conditionalFormatting sqref="E380">
    <cfRule type="containsText" dxfId="10577" priority="564" operator="containsText" text="정규교과">
      <formula>NOT(ISERROR(SEARCH(("정규교과"),(E380))))</formula>
    </cfRule>
    <cfRule type="containsText" dxfId="10576" priority="551" operator="containsText" text="프로젝트">
      <formula>NOT(ISERROR(SEARCH(("프로젝트"),(E380))))</formula>
    </cfRule>
    <cfRule type="containsText" dxfId="10575" priority="545" operator="containsText" text="프로젝트">
      <formula>NOT(ISERROR(SEARCH(("프로젝트"),(E380))))</formula>
    </cfRule>
    <cfRule type="containsText" dxfId="10574" priority="557" operator="containsText" text="프로젝트">
      <formula>NOT(ISERROR(SEARCH(("프로젝트"),(E380))))</formula>
    </cfRule>
    <cfRule type="containsText" dxfId="10573" priority="552" operator="containsText" text="정규교과">
      <formula>NOT(ISERROR(SEARCH(("정규교과"),(E380))))</formula>
    </cfRule>
    <cfRule type="containsText" dxfId="10572" priority="562" operator="containsText" text="기타">
      <formula>NOT(ISERROR(SEARCH(("기타"),(E380))))</formula>
    </cfRule>
    <cfRule type="containsText" dxfId="10571" priority="561" operator="containsText" text="정규교과">
      <formula>NOT(ISERROR(SEARCH(("정규교과"),(E380))))</formula>
    </cfRule>
    <cfRule type="containsText" dxfId="10570" priority="563" operator="containsText" text="프로젝트">
      <formula>NOT(ISERROR(SEARCH(("프로젝트"),(E380))))</formula>
    </cfRule>
    <cfRule type="containsText" dxfId="10569" priority="553" operator="containsText" text="기타">
      <formula>NOT(ISERROR(SEARCH(("기타"),(E380))))</formula>
    </cfRule>
    <cfRule type="containsText" dxfId="10568" priority="556" operator="containsText" text="기타">
      <formula>NOT(ISERROR(SEARCH(("기타"),(E380))))</formula>
    </cfRule>
    <cfRule type="containsText" dxfId="10567" priority="565" operator="containsText" text="기타">
      <formula>NOT(ISERROR(SEARCH(("기타"),(E380))))</formula>
    </cfRule>
    <cfRule type="containsText" dxfId="10566" priority="554" operator="containsText" text="프로젝트">
      <formula>NOT(ISERROR(SEARCH(("프로젝트"),(E380))))</formula>
    </cfRule>
    <cfRule type="containsText" dxfId="10565" priority="555" operator="containsText" text="정규교과">
      <formula>NOT(ISERROR(SEARCH(("정규교과"),(E380))))</formula>
    </cfRule>
    <cfRule type="containsText" dxfId="10564" priority="560" operator="containsText" text="프로젝트">
      <formula>NOT(ISERROR(SEARCH(("프로젝트"),(E380))))</formula>
    </cfRule>
    <cfRule type="containsText" dxfId="10563" priority="559" operator="containsText" text="기타">
      <formula>NOT(ISERROR(SEARCH(("기타"),(E380))))</formula>
    </cfRule>
    <cfRule type="containsText" dxfId="10562" priority="558" operator="containsText" text="정규교과">
      <formula>NOT(ISERROR(SEARCH(("정규교과"),(E380))))</formula>
    </cfRule>
    <cfRule type="containsText" dxfId="10561" priority="550" operator="containsText" text="기타">
      <formula>NOT(ISERROR(SEARCH(("기타"),(E380))))</formula>
    </cfRule>
    <cfRule type="containsText" dxfId="10560" priority="549" operator="containsText" text="정규교과">
      <formula>NOT(ISERROR(SEARCH(("정규교과"),(E380))))</formula>
    </cfRule>
    <cfRule type="containsText" dxfId="10559" priority="548" operator="containsText" text="프로젝트">
      <formula>NOT(ISERROR(SEARCH(("프로젝트"),(E380))))</formula>
    </cfRule>
    <cfRule type="containsText" dxfId="10558" priority="547" operator="containsText" text="기타">
      <formula>NOT(ISERROR(SEARCH(("기타"),(E380))))</formula>
    </cfRule>
    <cfRule type="containsText" dxfId="10557" priority="546" operator="containsText" text="정규교과">
      <formula>NOT(ISERROR(SEARCH(("정규교과"),(E380))))</formula>
    </cfRule>
  </conditionalFormatting>
  <conditionalFormatting sqref="E384">
    <cfRule type="containsText" dxfId="10556" priority="416" operator="containsText" text="정규교과">
      <formula>NOT(ISERROR(SEARCH(("정규교과"),(E384))))</formula>
    </cfRule>
    <cfRule type="containsText" dxfId="10555" priority="417" operator="containsText" text="기타">
      <formula>NOT(ISERROR(SEARCH(("기타"),(E384))))</formula>
    </cfRule>
    <cfRule type="containsText" dxfId="10554" priority="415" operator="containsText" text="프로젝트">
      <formula>NOT(ISERROR(SEARCH(("프로젝트"),(E384))))</formula>
    </cfRule>
    <cfRule type="containsText" dxfId="10553" priority="419" operator="containsText" text="정규교과">
      <formula>NOT(ISERROR(SEARCH(("정규교과"),(E384))))</formula>
    </cfRule>
    <cfRule type="containsText" dxfId="10552" priority="418" operator="containsText" text="프로젝트">
      <formula>NOT(ISERROR(SEARCH(("프로젝트"),(E384))))</formula>
    </cfRule>
    <cfRule type="containsText" dxfId="10551" priority="420" operator="containsText" text="기타">
      <formula>NOT(ISERROR(SEARCH(("기타"),(E384))))</formula>
    </cfRule>
    <cfRule type="containsText" dxfId="10550" priority="421" operator="containsText" text="프로젝트">
      <formula>NOT(ISERROR(SEARCH(("프로젝트"),(E384))))</formula>
    </cfRule>
    <cfRule type="containsText" dxfId="10549" priority="422" operator="containsText" text="정규교과">
      <formula>NOT(ISERROR(SEARCH(("정규교과"),(E384))))</formula>
    </cfRule>
    <cfRule type="containsText" dxfId="10548" priority="423" operator="containsText" text="기타">
      <formula>NOT(ISERROR(SEARCH(("기타"),(E384))))</formula>
    </cfRule>
    <cfRule type="containsText" dxfId="10547" priority="432" operator="containsText" text="기타">
      <formula>NOT(ISERROR(SEARCH(("기타"),(E384))))</formula>
    </cfRule>
    <cfRule type="containsText" dxfId="10546" priority="431" operator="containsText" text="정규교과">
      <formula>NOT(ISERROR(SEARCH(("정규교과"),(E384))))</formula>
    </cfRule>
    <cfRule type="containsText" dxfId="10545" priority="430" operator="containsText" text="프로젝트">
      <formula>NOT(ISERROR(SEARCH(("프로젝트"),(E384))))</formula>
    </cfRule>
    <cfRule type="containsText" dxfId="10544" priority="429" operator="containsText" text="기타">
      <formula>NOT(ISERROR(SEARCH(("기타"),(E384))))</formula>
    </cfRule>
    <cfRule type="containsText" dxfId="10543" priority="428" operator="containsText" text="정규교과">
      <formula>NOT(ISERROR(SEARCH(("정규교과"),(E384))))</formula>
    </cfRule>
    <cfRule type="containsText" dxfId="10542" priority="427" operator="containsText" text="프로젝트">
      <formula>NOT(ISERROR(SEARCH(("프로젝트"),(E384))))</formula>
    </cfRule>
    <cfRule type="containsText" dxfId="10541" priority="433" operator="containsText" text="프로젝트">
      <formula>NOT(ISERROR(SEARCH(("프로젝트"),(E384))))</formula>
    </cfRule>
    <cfRule type="containsText" dxfId="10540" priority="426" operator="containsText" text="기타">
      <formula>NOT(ISERROR(SEARCH(("기타"),(E384))))</formula>
    </cfRule>
    <cfRule type="containsText" dxfId="10539" priority="425" operator="containsText" text="정규교과">
      <formula>NOT(ISERROR(SEARCH(("정규교과"),(E384))))</formula>
    </cfRule>
    <cfRule type="containsText" dxfId="10538" priority="424" operator="containsText" text="프로젝트">
      <formula>NOT(ISERROR(SEARCH(("프로젝트"),(E384))))</formula>
    </cfRule>
    <cfRule type="containsText" dxfId="10537" priority="435" operator="containsText" text="기타">
      <formula>NOT(ISERROR(SEARCH(("기타"),(E384))))</formula>
    </cfRule>
    <cfRule type="containsText" dxfId="10536" priority="434" operator="containsText" text="정규교과">
      <formula>NOT(ISERROR(SEARCH(("정규교과"),(E384))))</formula>
    </cfRule>
  </conditionalFormatting>
  <conditionalFormatting sqref="E40:F40">
    <cfRule type="containsText" dxfId="10535" priority="13798" operator="containsText" text="프로젝트">
      <formula>NOT(ISERROR(SEARCH(("프로젝트"),(E40))))</formula>
    </cfRule>
  </conditionalFormatting>
  <conditionalFormatting sqref="E44:F44">
    <cfRule type="containsText" dxfId="10534" priority="13591" operator="containsText" text="프로젝트">
      <formula>NOT(ISERROR(SEARCH(("프로젝트"),(E44))))</formula>
    </cfRule>
  </conditionalFormatting>
  <conditionalFormatting sqref="E48:F48">
    <cfRule type="containsText" dxfId="10533" priority="20403" operator="containsText" text="기타">
      <formula>NOT(ISERROR(SEARCH(("기타"),(E48))))</formula>
    </cfRule>
    <cfRule type="containsText" dxfId="10532" priority="20402" operator="containsText" text="정규교과">
      <formula>NOT(ISERROR(SEARCH(("정규교과"),(E48))))</formula>
    </cfRule>
    <cfRule type="containsText" dxfId="10531" priority="20401" operator="containsText" text="프로젝트">
      <formula>NOT(ISERROR(SEARCH(("프로젝트"),(E48))))</formula>
    </cfRule>
    <cfRule type="containsText" dxfId="10530" priority="13384" operator="containsText" text="프로젝트">
      <formula>NOT(ISERROR(SEARCH(("프로젝트"),(E48))))</formula>
    </cfRule>
  </conditionalFormatting>
  <conditionalFormatting sqref="E53:F53">
    <cfRule type="containsText" dxfId="10529" priority="20412" operator="containsText" text="기타">
      <formula>NOT(ISERROR(SEARCH(("기타"),(E53))))</formula>
    </cfRule>
    <cfRule type="containsText" dxfId="10528" priority="20411" operator="containsText" text="정규교과">
      <formula>NOT(ISERROR(SEARCH(("정규교과"),(E53))))</formula>
    </cfRule>
    <cfRule type="containsText" dxfId="10527" priority="20410" operator="containsText" text="프로젝트">
      <formula>NOT(ISERROR(SEARCH(("프로젝트"),(E53))))</formula>
    </cfRule>
    <cfRule type="containsText" dxfId="10526" priority="13177" operator="containsText" text="프로젝트">
      <formula>NOT(ISERROR(SEARCH(("프로젝트"),(E53))))</formula>
    </cfRule>
  </conditionalFormatting>
  <conditionalFormatting sqref="E57:F57">
    <cfRule type="containsText" dxfId="10525" priority="20423" operator="containsText" text="정규교과">
      <formula>NOT(ISERROR(SEARCH(("정규교과"),(E57))))</formula>
    </cfRule>
    <cfRule type="containsText" dxfId="10524" priority="20424" operator="containsText" text="기타">
      <formula>NOT(ISERROR(SEARCH(("기타"),(E57))))</formula>
    </cfRule>
    <cfRule type="containsText" dxfId="10523" priority="12970" operator="containsText" text="프로젝트">
      <formula>NOT(ISERROR(SEARCH(("프로젝트"),(E57))))</formula>
    </cfRule>
    <cfRule type="containsText" dxfId="10522" priority="20422" operator="containsText" text="프로젝트">
      <formula>NOT(ISERROR(SEARCH(("프로젝트"),(E57))))</formula>
    </cfRule>
  </conditionalFormatting>
  <conditionalFormatting sqref="E61:F61">
    <cfRule type="containsText" dxfId="10521" priority="20434" operator="containsText" text="프로젝트">
      <formula>NOT(ISERROR(SEARCH(("프로젝트"),(E61))))</formula>
    </cfRule>
    <cfRule type="containsText" dxfId="10520" priority="20435" operator="containsText" text="정규교과">
      <formula>NOT(ISERROR(SEARCH(("정규교과"),(E61))))</formula>
    </cfRule>
    <cfRule type="containsText" dxfId="10519" priority="20436" operator="containsText" text="기타">
      <formula>NOT(ISERROR(SEARCH(("기타"),(E61))))</formula>
    </cfRule>
    <cfRule type="containsText" dxfId="10518" priority="12763" operator="containsText" text="프로젝트">
      <formula>NOT(ISERROR(SEARCH(("프로젝트"),(E61))))</formula>
    </cfRule>
  </conditionalFormatting>
  <conditionalFormatting sqref="E65:F65">
    <cfRule type="containsText" dxfId="10517" priority="12556" operator="containsText" text="프로젝트">
      <formula>NOT(ISERROR(SEARCH(("프로젝트"),(E65))))</formula>
    </cfRule>
    <cfRule type="containsText" dxfId="10516" priority="20446" operator="containsText" text="프로젝트">
      <formula>NOT(ISERROR(SEARCH(("프로젝트"),(E65))))</formula>
    </cfRule>
    <cfRule type="containsText" dxfId="10515" priority="20448" operator="containsText" text="기타">
      <formula>NOT(ISERROR(SEARCH(("기타"),(E65))))</formula>
    </cfRule>
    <cfRule type="containsText" dxfId="10514" priority="20447" operator="containsText" text="정규교과">
      <formula>NOT(ISERROR(SEARCH(("정규교과"),(E65))))</formula>
    </cfRule>
  </conditionalFormatting>
  <conditionalFormatting sqref="E69:F69">
    <cfRule type="containsText" dxfId="10513" priority="20460" operator="containsText" text="기타">
      <formula>NOT(ISERROR(SEARCH(("기타"),(E69))))</formula>
    </cfRule>
    <cfRule type="containsText" dxfId="10512" priority="20459" operator="containsText" text="정규교과">
      <formula>NOT(ISERROR(SEARCH(("정규교과"),(E69))))</formula>
    </cfRule>
    <cfRule type="containsText" dxfId="10511" priority="20458" operator="containsText" text="프로젝트">
      <formula>NOT(ISERROR(SEARCH(("프로젝트"),(E69))))</formula>
    </cfRule>
    <cfRule type="containsText" dxfId="10510" priority="12349" operator="containsText" text="프로젝트">
      <formula>NOT(ISERROR(SEARCH(("프로젝트"),(E69))))</formula>
    </cfRule>
  </conditionalFormatting>
  <conditionalFormatting sqref="E219:F219">
    <cfRule type="containsText" dxfId="10509" priority="4792" operator="containsText" text="정규교과">
      <formula>NOT(ISERROR(SEARCH(("정규교과"),(E219))))</formula>
    </cfRule>
    <cfRule type="containsText" dxfId="10508" priority="4793" operator="containsText" text="기타">
      <formula>NOT(ISERROR(SEARCH(("기타"),(E219))))</formula>
    </cfRule>
    <cfRule type="containsText" dxfId="10507" priority="4794" operator="containsText" text="프로젝트">
      <formula>NOT(ISERROR(SEARCH(("프로젝트"),(E219))))</formula>
    </cfRule>
    <cfRule type="containsText" dxfId="10506" priority="4791" operator="containsText" text="프로젝트">
      <formula>NOT(ISERROR(SEARCH(("프로젝트"),(E219))))</formula>
    </cfRule>
    <cfRule type="containsText" dxfId="10505" priority="4795" operator="containsText" text="정규교과">
      <formula>NOT(ISERROR(SEARCH(("정규교과"),(E219))))</formula>
    </cfRule>
    <cfRule type="containsText" dxfId="10504" priority="4796" operator="containsText" text="기타">
      <formula>NOT(ISERROR(SEARCH(("기타"),(E219))))</formula>
    </cfRule>
    <cfRule type="containsText" dxfId="10503" priority="4797" operator="containsText" text="프로젝트">
      <formula>NOT(ISERROR(SEARCH(("프로젝트"),(E219))))</formula>
    </cfRule>
    <cfRule type="containsText" dxfId="10502" priority="4798" operator="containsText" text="정규교과">
      <formula>NOT(ISERROR(SEARCH(("정규교과"),(E219))))</formula>
    </cfRule>
    <cfRule type="containsText" dxfId="10501" priority="4799" operator="containsText" text="기타">
      <formula>NOT(ISERROR(SEARCH(("기타"),(E219))))</formula>
    </cfRule>
    <cfRule type="containsText" dxfId="10500" priority="4789" operator="containsText" text="정규교과">
      <formula>NOT(ISERROR(SEARCH(("정규교과"),(E219))))</formula>
    </cfRule>
    <cfRule type="containsText" dxfId="10499" priority="4786" operator="containsText" text="정규교과">
      <formula>NOT(ISERROR(SEARCH(("정규교과"),(E219))))</formula>
    </cfRule>
    <cfRule type="containsText" dxfId="10498" priority="4790" operator="containsText" text="기타">
      <formula>NOT(ISERROR(SEARCH(("기타"),(E219))))</formula>
    </cfRule>
    <cfRule type="containsText" dxfId="10497" priority="4787" operator="containsText" text="기타">
      <formula>NOT(ISERROR(SEARCH(("기타"),(E219))))</formula>
    </cfRule>
    <cfRule type="containsText" dxfId="10496" priority="4788" operator="containsText" text="프로젝트">
      <formula>NOT(ISERROR(SEARCH(("프로젝트"),(E219))))</formula>
    </cfRule>
    <cfRule type="containsText" dxfId="10495" priority="4785" operator="containsText" text="프로젝트">
      <formula>NOT(ISERROR(SEARCH(("프로젝트"),(E219))))</formula>
    </cfRule>
    <cfRule type="containsText" dxfId="10494" priority="4784" operator="containsText" text="휴강">
      <formula>NOT(ISERROR(SEARCH(("휴강"),(E219))))</formula>
    </cfRule>
  </conditionalFormatting>
  <conditionalFormatting sqref="E223:F223">
    <cfRule type="containsText" dxfId="10493" priority="4749" operator="containsText" text="정규교과">
      <formula>NOT(ISERROR(SEARCH(("정규교과"),(E223))))</formula>
    </cfRule>
    <cfRule type="containsText" dxfId="10492" priority="4748" operator="containsText" text="프로젝트">
      <formula>NOT(ISERROR(SEARCH(("프로젝트"),(E223))))</formula>
    </cfRule>
    <cfRule type="containsText" dxfId="10491" priority="4747" operator="containsText" text="기타">
      <formula>NOT(ISERROR(SEARCH(("기타"),(E223))))</formula>
    </cfRule>
    <cfRule type="containsText" dxfId="10490" priority="4746" operator="containsText" text="정규교과">
      <formula>NOT(ISERROR(SEARCH(("정규교과"),(E223))))</formula>
    </cfRule>
    <cfRule type="containsText" dxfId="10489" priority="4745" operator="containsText" text="프로젝트">
      <formula>NOT(ISERROR(SEARCH(("프로젝트"),(E223))))</formula>
    </cfRule>
    <cfRule type="containsText" dxfId="10488" priority="4744" operator="containsText" text="휴강">
      <formula>NOT(ISERROR(SEARCH(("휴강"),(E223))))</formula>
    </cfRule>
    <cfRule type="containsText" dxfId="10487" priority="4757" operator="containsText" text="프로젝트">
      <formula>NOT(ISERROR(SEARCH(("프로젝트"),(E223))))</formula>
    </cfRule>
    <cfRule type="containsText" dxfId="10486" priority="4755" operator="containsText" text="정규교과">
      <formula>NOT(ISERROR(SEARCH(("정규교과"),(E223))))</formula>
    </cfRule>
    <cfRule type="containsText" dxfId="10485" priority="4756" operator="containsText" text="기타">
      <formula>NOT(ISERROR(SEARCH(("기타"),(E223))))</formula>
    </cfRule>
    <cfRule type="containsText" dxfId="10484" priority="4759" operator="containsText" text="기타">
      <formula>NOT(ISERROR(SEARCH(("기타"),(E223))))</formula>
    </cfRule>
    <cfRule type="containsText" dxfId="10483" priority="4750" operator="containsText" text="기타">
      <formula>NOT(ISERROR(SEARCH(("기타"),(E223))))</formula>
    </cfRule>
    <cfRule type="containsText" dxfId="10482" priority="4758" operator="containsText" text="정규교과">
      <formula>NOT(ISERROR(SEARCH(("정규교과"),(E223))))</formula>
    </cfRule>
    <cfRule type="containsText" dxfId="10481" priority="4754" operator="containsText" text="프로젝트">
      <formula>NOT(ISERROR(SEARCH(("프로젝트"),(E223))))</formula>
    </cfRule>
    <cfRule type="containsText" dxfId="10480" priority="4753" operator="containsText" text="기타">
      <formula>NOT(ISERROR(SEARCH(("기타"),(E223))))</formula>
    </cfRule>
    <cfRule type="containsText" dxfId="10479" priority="4752" operator="containsText" text="정규교과">
      <formula>NOT(ISERROR(SEARCH(("정규교과"),(E223))))</formula>
    </cfRule>
    <cfRule type="containsText" dxfId="10478" priority="4751" operator="containsText" text="프로젝트">
      <formula>NOT(ISERROR(SEARCH(("프로젝트"),(E223))))</formula>
    </cfRule>
  </conditionalFormatting>
  <conditionalFormatting sqref="E228:F228">
    <cfRule type="containsText" dxfId="10477" priority="4719" operator="containsText" text="기타">
      <formula>NOT(ISERROR(SEARCH(("기타"),(E228))))</formula>
    </cfRule>
    <cfRule type="containsText" dxfId="10476" priority="4704" operator="containsText" text="휴강">
      <formula>NOT(ISERROR(SEARCH(("휴강"),(E228))))</formula>
    </cfRule>
    <cfRule type="containsText" dxfId="10475" priority="4705" operator="containsText" text="프로젝트">
      <formula>NOT(ISERROR(SEARCH(("프로젝트"),(E228))))</formula>
    </cfRule>
    <cfRule type="containsText" dxfId="10474" priority="4706" operator="containsText" text="정규교과">
      <formula>NOT(ISERROR(SEARCH(("정규교과"),(E228))))</formula>
    </cfRule>
    <cfRule type="containsText" dxfId="10473" priority="4707" operator="containsText" text="기타">
      <formula>NOT(ISERROR(SEARCH(("기타"),(E228))))</formula>
    </cfRule>
    <cfRule type="containsText" dxfId="10472" priority="4708" operator="containsText" text="프로젝트">
      <formula>NOT(ISERROR(SEARCH(("프로젝트"),(E228))))</formula>
    </cfRule>
    <cfRule type="containsText" dxfId="10471" priority="4709" operator="containsText" text="정규교과">
      <formula>NOT(ISERROR(SEARCH(("정규교과"),(E228))))</formula>
    </cfRule>
    <cfRule type="containsText" dxfId="10470" priority="4710" operator="containsText" text="기타">
      <formula>NOT(ISERROR(SEARCH(("기타"),(E228))))</formula>
    </cfRule>
    <cfRule type="containsText" dxfId="10469" priority="4711" operator="containsText" text="프로젝트">
      <formula>NOT(ISERROR(SEARCH(("프로젝트"),(E228))))</formula>
    </cfRule>
    <cfRule type="containsText" dxfId="10468" priority="4712" operator="containsText" text="정규교과">
      <formula>NOT(ISERROR(SEARCH(("정규교과"),(E228))))</formula>
    </cfRule>
    <cfRule type="containsText" dxfId="10467" priority="4713" operator="containsText" text="기타">
      <formula>NOT(ISERROR(SEARCH(("기타"),(E228))))</formula>
    </cfRule>
    <cfRule type="containsText" dxfId="10466" priority="4714" operator="containsText" text="프로젝트">
      <formula>NOT(ISERROR(SEARCH(("프로젝트"),(E228))))</formula>
    </cfRule>
    <cfRule type="containsText" dxfId="10465" priority="4715" operator="containsText" text="정규교과">
      <formula>NOT(ISERROR(SEARCH(("정규교과"),(E228))))</formula>
    </cfRule>
    <cfRule type="containsText" dxfId="10464" priority="4716" operator="containsText" text="기타">
      <formula>NOT(ISERROR(SEARCH(("기타"),(E228))))</formula>
    </cfRule>
    <cfRule type="containsText" dxfId="10463" priority="4717" operator="containsText" text="프로젝트">
      <formula>NOT(ISERROR(SEARCH(("프로젝트"),(E228))))</formula>
    </cfRule>
    <cfRule type="containsText" dxfId="10462" priority="4718" operator="containsText" text="정규교과">
      <formula>NOT(ISERROR(SEARCH(("정규교과"),(E228))))</formula>
    </cfRule>
  </conditionalFormatting>
  <conditionalFormatting sqref="E232:F232">
    <cfRule type="containsText" dxfId="10461" priority="4676" operator="containsText" text="기타">
      <formula>NOT(ISERROR(SEARCH(("기타"),(E232))))</formula>
    </cfRule>
    <cfRule type="containsText" dxfId="10460" priority="4677" operator="containsText" text="프로젝트">
      <formula>NOT(ISERROR(SEARCH(("프로젝트"),(E232))))</formula>
    </cfRule>
    <cfRule type="containsText" dxfId="10459" priority="4678" operator="containsText" text="정규교과">
      <formula>NOT(ISERROR(SEARCH(("정규교과"),(E232))))</formula>
    </cfRule>
    <cfRule type="containsText" dxfId="10458" priority="4679" operator="containsText" text="기타">
      <formula>NOT(ISERROR(SEARCH(("기타"),(E232))))</formula>
    </cfRule>
    <cfRule type="containsText" dxfId="10457" priority="4665" operator="containsText" text="프로젝트">
      <formula>NOT(ISERROR(SEARCH(("프로젝트"),(E232))))</formula>
    </cfRule>
    <cfRule type="containsText" dxfId="10456" priority="4664" operator="containsText" text="휴강">
      <formula>NOT(ISERROR(SEARCH(("휴강"),(E232))))</formula>
    </cfRule>
    <cfRule type="containsText" dxfId="10455" priority="4666" operator="containsText" text="정규교과">
      <formula>NOT(ISERROR(SEARCH(("정규교과"),(E232))))</formula>
    </cfRule>
    <cfRule type="containsText" dxfId="10454" priority="4667" operator="containsText" text="기타">
      <formula>NOT(ISERROR(SEARCH(("기타"),(E232))))</formula>
    </cfRule>
    <cfRule type="containsText" dxfId="10453" priority="4668" operator="containsText" text="프로젝트">
      <formula>NOT(ISERROR(SEARCH(("프로젝트"),(E232))))</formula>
    </cfRule>
    <cfRule type="containsText" dxfId="10452" priority="4669" operator="containsText" text="정규교과">
      <formula>NOT(ISERROR(SEARCH(("정규교과"),(E232))))</formula>
    </cfRule>
    <cfRule type="containsText" dxfId="10451" priority="4670" operator="containsText" text="기타">
      <formula>NOT(ISERROR(SEARCH(("기타"),(E232))))</formula>
    </cfRule>
    <cfRule type="containsText" dxfId="10450" priority="4671" operator="containsText" text="프로젝트">
      <formula>NOT(ISERROR(SEARCH(("프로젝트"),(E232))))</formula>
    </cfRule>
    <cfRule type="containsText" dxfId="10449" priority="4672" operator="containsText" text="정규교과">
      <formula>NOT(ISERROR(SEARCH(("정규교과"),(E232))))</formula>
    </cfRule>
    <cfRule type="containsText" dxfId="10448" priority="4673" operator="containsText" text="기타">
      <formula>NOT(ISERROR(SEARCH(("기타"),(E232))))</formula>
    </cfRule>
    <cfRule type="containsText" dxfId="10447" priority="4674" operator="containsText" text="프로젝트">
      <formula>NOT(ISERROR(SEARCH(("프로젝트"),(E232))))</formula>
    </cfRule>
    <cfRule type="containsText" dxfId="10446" priority="4675" operator="containsText" text="정규교과">
      <formula>NOT(ISERROR(SEARCH(("정규교과"),(E232))))</formula>
    </cfRule>
  </conditionalFormatting>
  <conditionalFormatting sqref="E236:F236">
    <cfRule type="containsText" dxfId="10445" priority="4638" operator="containsText" text="정규교과">
      <formula>NOT(ISERROR(SEARCH(("정규교과"),(E236))))</formula>
    </cfRule>
    <cfRule type="containsText" dxfId="10444" priority="4634" operator="containsText" text="프로젝트">
      <formula>NOT(ISERROR(SEARCH(("프로젝트"),(E236))))</formula>
    </cfRule>
    <cfRule type="containsText" dxfId="10443" priority="4633" operator="containsText" text="기타">
      <formula>NOT(ISERROR(SEARCH(("기타"),(E236))))</formula>
    </cfRule>
    <cfRule type="containsText" dxfId="10442" priority="4632" operator="containsText" text="정규교과">
      <formula>NOT(ISERROR(SEARCH(("정규교과"),(E236))))</formula>
    </cfRule>
    <cfRule type="containsText" dxfId="10441" priority="4625" operator="containsText" text="프로젝트">
      <formula>NOT(ISERROR(SEARCH(("프로젝트"),(E236))))</formula>
    </cfRule>
    <cfRule type="containsText" dxfId="10440" priority="4624" operator="containsText" text="휴강">
      <formula>NOT(ISERROR(SEARCH(("휴강"),(E236))))</formula>
    </cfRule>
    <cfRule type="containsText" dxfId="10439" priority="4629" operator="containsText" text="정규교과">
      <formula>NOT(ISERROR(SEARCH(("정규교과"),(E236))))</formula>
    </cfRule>
    <cfRule type="containsText" dxfId="10438" priority="4636" operator="containsText" text="기타">
      <formula>NOT(ISERROR(SEARCH(("기타"),(E236))))</formula>
    </cfRule>
    <cfRule type="containsText" dxfId="10437" priority="4639" operator="containsText" text="기타">
      <formula>NOT(ISERROR(SEARCH(("기타"),(E236))))</formula>
    </cfRule>
    <cfRule type="containsText" dxfId="10436" priority="4637" operator="containsText" text="프로젝트">
      <formula>NOT(ISERROR(SEARCH(("프로젝트"),(E236))))</formula>
    </cfRule>
    <cfRule type="containsText" dxfId="10435" priority="4635" operator="containsText" text="정규교과">
      <formula>NOT(ISERROR(SEARCH(("정규교과"),(E236))))</formula>
    </cfRule>
    <cfRule type="containsText" dxfId="10434" priority="4631" operator="containsText" text="프로젝트">
      <formula>NOT(ISERROR(SEARCH(("프로젝트"),(E236))))</formula>
    </cfRule>
    <cfRule type="containsText" dxfId="10433" priority="4630" operator="containsText" text="기타">
      <formula>NOT(ISERROR(SEARCH(("기타"),(E236))))</formula>
    </cfRule>
    <cfRule type="containsText" dxfId="10432" priority="4628" operator="containsText" text="프로젝트">
      <formula>NOT(ISERROR(SEARCH(("프로젝트"),(E236))))</formula>
    </cfRule>
    <cfRule type="containsText" dxfId="10431" priority="4627" operator="containsText" text="기타">
      <formula>NOT(ISERROR(SEARCH(("기타"),(E236))))</formula>
    </cfRule>
    <cfRule type="containsText" dxfId="10430" priority="4626" operator="containsText" text="정규교과">
      <formula>NOT(ISERROR(SEARCH(("정규교과"),(E236))))</formula>
    </cfRule>
  </conditionalFormatting>
  <conditionalFormatting sqref="E240:F240">
    <cfRule type="containsText" dxfId="10429" priority="4590" operator="containsText" text="기타">
      <formula>NOT(ISERROR(SEARCH(("기타"),(E240))))</formula>
    </cfRule>
    <cfRule type="containsText" dxfId="10428" priority="4589" operator="containsText" text="정규교과">
      <formula>NOT(ISERROR(SEARCH(("정규교과"),(E240))))</formula>
    </cfRule>
    <cfRule type="containsText" dxfId="10427" priority="4588" operator="containsText" text="프로젝트">
      <formula>NOT(ISERROR(SEARCH(("프로젝트"),(E240))))</formula>
    </cfRule>
    <cfRule type="containsText" dxfId="10426" priority="4599" operator="containsText" text="기타">
      <formula>NOT(ISERROR(SEARCH(("기타"),(E240))))</formula>
    </cfRule>
    <cfRule type="containsText" dxfId="10425" priority="4587" operator="containsText" text="기타">
      <formula>NOT(ISERROR(SEARCH(("기타"),(E240))))</formula>
    </cfRule>
    <cfRule type="containsText" dxfId="10424" priority="4596" operator="containsText" text="기타">
      <formula>NOT(ISERROR(SEARCH(("기타"),(E240))))</formula>
    </cfRule>
    <cfRule type="containsText" dxfId="10423" priority="4585" operator="containsText" text="프로젝트">
      <formula>NOT(ISERROR(SEARCH(("프로젝트"),(E240))))</formula>
    </cfRule>
    <cfRule type="containsText" dxfId="10422" priority="4584" operator="containsText" text="휴강">
      <formula>NOT(ISERROR(SEARCH(("휴강"),(E240))))</formula>
    </cfRule>
    <cfRule type="containsText" dxfId="10421" priority="4586" operator="containsText" text="정규교과">
      <formula>NOT(ISERROR(SEARCH(("정규교과"),(E240))))</formula>
    </cfRule>
    <cfRule type="containsText" dxfId="10420" priority="4591" operator="containsText" text="프로젝트">
      <formula>NOT(ISERROR(SEARCH(("프로젝트"),(E240))))</formula>
    </cfRule>
    <cfRule type="containsText" dxfId="10419" priority="4592" operator="containsText" text="정규교과">
      <formula>NOT(ISERROR(SEARCH(("정규교과"),(E240))))</formula>
    </cfRule>
    <cfRule type="containsText" dxfId="10418" priority="4593" operator="containsText" text="기타">
      <formula>NOT(ISERROR(SEARCH(("기타"),(E240))))</formula>
    </cfRule>
    <cfRule type="containsText" dxfId="10417" priority="4594" operator="containsText" text="프로젝트">
      <formula>NOT(ISERROR(SEARCH(("프로젝트"),(E240))))</formula>
    </cfRule>
    <cfRule type="containsText" dxfId="10416" priority="4595" operator="containsText" text="정규교과">
      <formula>NOT(ISERROR(SEARCH(("정규교과"),(E240))))</formula>
    </cfRule>
    <cfRule type="containsText" dxfId="10415" priority="4597" operator="containsText" text="프로젝트">
      <formula>NOT(ISERROR(SEARCH(("프로젝트"),(E240))))</formula>
    </cfRule>
    <cfRule type="containsText" dxfId="10414" priority="4598" operator="containsText" text="정규교과">
      <formula>NOT(ISERROR(SEARCH(("정규교과"),(E240))))</formula>
    </cfRule>
  </conditionalFormatting>
  <conditionalFormatting sqref="E244:F244">
    <cfRule type="containsText" dxfId="10413" priority="4550" operator="containsText" text="기타">
      <formula>NOT(ISERROR(SEARCH(("기타"),(E244))))</formula>
    </cfRule>
    <cfRule type="containsText" dxfId="10412" priority="4551" operator="containsText" text="프로젝트">
      <formula>NOT(ISERROR(SEARCH(("프로젝트"),(E244))))</formula>
    </cfRule>
    <cfRule type="containsText" dxfId="10411" priority="4559" operator="containsText" text="기타">
      <formula>NOT(ISERROR(SEARCH(("기타"),(E244))))</formula>
    </cfRule>
    <cfRule type="containsText" dxfId="10410" priority="4558" operator="containsText" text="정규교과">
      <formula>NOT(ISERROR(SEARCH(("정규교과"),(E244))))</formula>
    </cfRule>
    <cfRule type="containsText" dxfId="10409" priority="4557" operator="containsText" text="프로젝트">
      <formula>NOT(ISERROR(SEARCH(("프로젝트"),(E244))))</formula>
    </cfRule>
    <cfRule type="containsText" dxfId="10408" priority="4556" operator="containsText" text="기타">
      <formula>NOT(ISERROR(SEARCH(("기타"),(E244))))</formula>
    </cfRule>
    <cfRule type="containsText" dxfId="10407" priority="4555" operator="containsText" text="정규교과">
      <formula>NOT(ISERROR(SEARCH(("정규교과"),(E244))))</formula>
    </cfRule>
    <cfRule type="containsText" dxfId="10406" priority="4553" operator="containsText" text="기타">
      <formula>NOT(ISERROR(SEARCH(("기타"),(E244))))</formula>
    </cfRule>
    <cfRule type="containsText" dxfId="10405" priority="4554" operator="containsText" text="프로젝트">
      <formula>NOT(ISERROR(SEARCH(("프로젝트"),(E244))))</formula>
    </cfRule>
    <cfRule type="containsText" dxfId="10404" priority="4552" operator="containsText" text="정규교과">
      <formula>NOT(ISERROR(SEARCH(("정규교과"),(E244))))</formula>
    </cfRule>
    <cfRule type="containsText" dxfId="10403" priority="4549" operator="containsText" text="정규교과">
      <formula>NOT(ISERROR(SEARCH(("정규교과"),(E244))))</formula>
    </cfRule>
    <cfRule type="containsText" dxfId="10402" priority="4548" operator="containsText" text="프로젝트">
      <formula>NOT(ISERROR(SEARCH(("프로젝트"),(E244))))</formula>
    </cfRule>
    <cfRule type="containsText" dxfId="10401" priority="4547" operator="containsText" text="기타">
      <formula>NOT(ISERROR(SEARCH(("기타"),(E244))))</formula>
    </cfRule>
    <cfRule type="containsText" dxfId="10400" priority="4546" operator="containsText" text="정규교과">
      <formula>NOT(ISERROR(SEARCH(("정규교과"),(E244))))</formula>
    </cfRule>
    <cfRule type="containsText" dxfId="10399" priority="4545" operator="containsText" text="프로젝트">
      <formula>NOT(ISERROR(SEARCH(("프로젝트"),(E244))))</formula>
    </cfRule>
    <cfRule type="containsText" dxfId="10398" priority="4544" operator="containsText" text="휴강">
      <formula>NOT(ISERROR(SEARCH(("휴강"),(E244))))</formula>
    </cfRule>
  </conditionalFormatting>
  <conditionalFormatting sqref="E193:G193">
    <cfRule type="containsText" dxfId="10397" priority="5647" operator="containsText" text="기타">
      <formula>NOT(ISERROR(SEARCH(("기타"),(E193))))</formula>
    </cfRule>
    <cfRule type="containsText" dxfId="10396" priority="5634" operator="containsText" text="정규교과">
      <formula>NOT(ISERROR(SEARCH(("정규교과"),(E193))))</formula>
    </cfRule>
    <cfRule type="containsText" dxfId="10395" priority="5633" operator="containsText" text="프로젝트">
      <formula>NOT(ISERROR(SEARCH(("프로젝트"),(E193))))</formula>
    </cfRule>
    <cfRule type="containsText" dxfId="10394" priority="5632" operator="containsText" text="휴강">
      <formula>NOT(ISERROR(SEARCH(("휴강"),(E193))))</formula>
    </cfRule>
    <cfRule type="containsText" dxfId="10393" priority="5636" operator="containsText" text="프로젝트">
      <formula>NOT(ISERROR(SEARCH(("프로젝트"),(E193))))</formula>
    </cfRule>
    <cfRule type="containsText" dxfId="10392" priority="5637" operator="containsText" text="정규교과">
      <formula>NOT(ISERROR(SEARCH(("정규교과"),(E193))))</formula>
    </cfRule>
    <cfRule type="containsText" dxfId="10391" priority="5639" operator="containsText" text="프로젝트">
      <formula>NOT(ISERROR(SEARCH(("프로젝트"),(E193))))</formula>
    </cfRule>
    <cfRule type="containsText" dxfId="10390" priority="5638" operator="containsText" text="기타">
      <formula>NOT(ISERROR(SEARCH(("기타"),(E193))))</formula>
    </cfRule>
    <cfRule type="containsText" dxfId="10389" priority="5635" operator="containsText" text="기타">
      <formula>NOT(ISERROR(SEARCH(("기타"),(E193))))</formula>
    </cfRule>
    <cfRule type="containsText" dxfId="10388" priority="5640" operator="containsText" text="정규교과">
      <formula>NOT(ISERROR(SEARCH(("정규교과"),(E193))))</formula>
    </cfRule>
    <cfRule type="containsText" dxfId="10387" priority="5641" operator="containsText" text="기타">
      <formula>NOT(ISERROR(SEARCH(("기타"),(E193))))</formula>
    </cfRule>
    <cfRule type="containsText" dxfId="10386" priority="5642" operator="containsText" text="프로젝트">
      <formula>NOT(ISERROR(SEARCH(("프로젝트"),(E193))))</formula>
    </cfRule>
    <cfRule type="containsText" dxfId="10385" priority="5643" operator="containsText" text="정규교과">
      <formula>NOT(ISERROR(SEARCH(("정규교과"),(E193))))</formula>
    </cfRule>
    <cfRule type="containsText" dxfId="10384" priority="5644" operator="containsText" text="기타">
      <formula>NOT(ISERROR(SEARCH(("기타"),(E193))))</formula>
    </cfRule>
    <cfRule type="containsText" dxfId="10383" priority="5645" operator="containsText" text="프로젝트">
      <formula>NOT(ISERROR(SEARCH(("프로젝트"),(E193))))</formula>
    </cfRule>
    <cfRule type="containsText" dxfId="10382" priority="5646" operator="containsText" text="정규교과">
      <formula>NOT(ISERROR(SEARCH(("정규교과"),(E193))))</formula>
    </cfRule>
  </conditionalFormatting>
  <conditionalFormatting sqref="E197:G197">
    <cfRule type="containsText" dxfId="10381" priority="5552" operator="containsText" text="휴강">
      <formula>NOT(ISERROR(SEARCH(("휴강"),(E197))))</formula>
    </cfRule>
    <cfRule type="containsText" dxfId="10380" priority="5553" operator="containsText" text="프로젝트">
      <formula>NOT(ISERROR(SEARCH(("프로젝트"),(E197))))</formula>
    </cfRule>
    <cfRule type="containsText" dxfId="10379" priority="5561" operator="containsText" text="기타">
      <formula>NOT(ISERROR(SEARCH(("기타"),(E197))))</formula>
    </cfRule>
    <cfRule type="containsText" dxfId="10378" priority="5554" operator="containsText" text="정규교과">
      <formula>NOT(ISERROR(SEARCH(("정규교과"),(E197))))</formula>
    </cfRule>
    <cfRule type="containsText" dxfId="10377" priority="5555" operator="containsText" text="기타">
      <formula>NOT(ISERROR(SEARCH(("기타"),(E197))))</formula>
    </cfRule>
    <cfRule type="containsText" dxfId="10376" priority="5556" operator="containsText" text="프로젝트">
      <formula>NOT(ISERROR(SEARCH(("프로젝트"),(E197))))</formula>
    </cfRule>
    <cfRule type="containsText" dxfId="10375" priority="5557" operator="containsText" text="정규교과">
      <formula>NOT(ISERROR(SEARCH(("정규교과"),(E197))))</formula>
    </cfRule>
    <cfRule type="containsText" dxfId="10374" priority="5558" operator="containsText" text="기타">
      <formula>NOT(ISERROR(SEARCH(("기타"),(E197))))</formula>
    </cfRule>
    <cfRule type="containsText" dxfId="10373" priority="5559" operator="containsText" text="프로젝트">
      <formula>NOT(ISERROR(SEARCH(("프로젝트"),(E197))))</formula>
    </cfRule>
    <cfRule type="containsText" dxfId="10372" priority="5560" operator="containsText" text="정규교과">
      <formula>NOT(ISERROR(SEARCH(("정규교과"),(E197))))</formula>
    </cfRule>
    <cfRule type="containsText" dxfId="10371" priority="5562" operator="containsText" text="프로젝트">
      <formula>NOT(ISERROR(SEARCH(("프로젝트"),(E197))))</formula>
    </cfRule>
    <cfRule type="containsText" dxfId="10370" priority="5564" operator="containsText" text="기타">
      <formula>NOT(ISERROR(SEARCH(("기타"),(E197))))</formula>
    </cfRule>
    <cfRule type="containsText" dxfId="10369" priority="5565" operator="containsText" text="프로젝트">
      <formula>NOT(ISERROR(SEARCH(("프로젝트"),(E197))))</formula>
    </cfRule>
    <cfRule type="containsText" dxfId="10368" priority="5566" operator="containsText" text="정규교과">
      <formula>NOT(ISERROR(SEARCH(("정규교과"),(E197))))</formula>
    </cfRule>
    <cfRule type="containsText" dxfId="10367" priority="5567" operator="containsText" text="기타">
      <formula>NOT(ISERROR(SEARCH(("기타"),(E197))))</formula>
    </cfRule>
    <cfRule type="containsText" dxfId="10366" priority="5563" operator="containsText" text="정규교과">
      <formula>NOT(ISERROR(SEARCH(("정규교과"),(E197))))</formula>
    </cfRule>
  </conditionalFormatting>
  <conditionalFormatting sqref="E201:G201">
    <cfRule type="containsText" dxfId="10365" priority="5551" operator="containsText" text="기타">
      <formula>NOT(ISERROR(SEARCH(("기타"),(E201))))</formula>
    </cfRule>
    <cfRule type="containsText" dxfId="10364" priority="5550" operator="containsText" text="정규교과">
      <formula>NOT(ISERROR(SEARCH(("정규교과"),(E201))))</formula>
    </cfRule>
    <cfRule type="containsText" dxfId="10363" priority="5549" operator="containsText" text="프로젝트">
      <formula>NOT(ISERROR(SEARCH(("프로젝트"),(E201))))</formula>
    </cfRule>
    <cfRule type="containsText" dxfId="10362" priority="5548" operator="containsText" text="기타">
      <formula>NOT(ISERROR(SEARCH(("기타"),(E201))))</formula>
    </cfRule>
    <cfRule type="containsText" dxfId="10361" priority="5546" operator="containsText" text="프로젝트">
      <formula>NOT(ISERROR(SEARCH(("프로젝트"),(E201))))</formula>
    </cfRule>
    <cfRule type="containsText" dxfId="10360" priority="5545" operator="containsText" text="기타">
      <formula>NOT(ISERROR(SEARCH(("기타"),(E201))))</formula>
    </cfRule>
    <cfRule type="containsText" dxfId="10359" priority="5544" operator="containsText" text="정규교과">
      <formula>NOT(ISERROR(SEARCH(("정규교과"),(E201))))</formula>
    </cfRule>
    <cfRule type="containsText" dxfId="10358" priority="5543" operator="containsText" text="프로젝트">
      <formula>NOT(ISERROR(SEARCH(("프로젝트"),(E201))))</formula>
    </cfRule>
    <cfRule type="containsText" dxfId="10357" priority="5542" operator="containsText" text="기타">
      <formula>NOT(ISERROR(SEARCH(("기타"),(E201))))</formula>
    </cfRule>
    <cfRule type="containsText" dxfId="10356" priority="5541" operator="containsText" text="정규교과">
      <formula>NOT(ISERROR(SEARCH(("정규교과"),(E201))))</formula>
    </cfRule>
    <cfRule type="containsText" dxfId="10355" priority="5540" operator="containsText" text="프로젝트">
      <formula>NOT(ISERROR(SEARCH(("프로젝트"),(E201))))</formula>
    </cfRule>
    <cfRule type="containsText" dxfId="10354" priority="5539" operator="containsText" text="기타">
      <formula>NOT(ISERROR(SEARCH(("기타"),(E201))))</formula>
    </cfRule>
    <cfRule type="containsText" dxfId="10353" priority="5538" operator="containsText" text="정규교과">
      <formula>NOT(ISERROR(SEARCH(("정규교과"),(E201))))</formula>
    </cfRule>
    <cfRule type="containsText" dxfId="10352" priority="5537" operator="containsText" text="프로젝트">
      <formula>NOT(ISERROR(SEARCH(("프로젝트"),(E201))))</formula>
    </cfRule>
    <cfRule type="containsText" dxfId="10351" priority="5536" operator="containsText" text="휴강">
      <formula>NOT(ISERROR(SEARCH(("휴강"),(E201))))</formula>
    </cfRule>
    <cfRule type="containsText" dxfId="10350" priority="5547" operator="containsText" text="정규교과">
      <formula>NOT(ISERROR(SEARCH(("정규교과"),(E201))))</formula>
    </cfRule>
  </conditionalFormatting>
  <conditionalFormatting sqref="E205:G205">
    <cfRule type="containsText" dxfId="10349" priority="5535" operator="containsText" text="기타">
      <formula>NOT(ISERROR(SEARCH(("기타"),(E205))))</formula>
    </cfRule>
    <cfRule type="containsText" dxfId="10348" priority="5534" operator="containsText" text="정규교과">
      <formula>NOT(ISERROR(SEARCH(("정규교과"),(E205))))</formula>
    </cfRule>
    <cfRule type="containsText" dxfId="10347" priority="5520" operator="containsText" text="휴강">
      <formula>NOT(ISERROR(SEARCH(("휴강"),(E205))))</formula>
    </cfRule>
    <cfRule type="containsText" dxfId="10346" priority="5521" operator="containsText" text="프로젝트">
      <formula>NOT(ISERROR(SEARCH(("프로젝트"),(E205))))</formula>
    </cfRule>
    <cfRule type="containsText" dxfId="10345" priority="5522" operator="containsText" text="정규교과">
      <formula>NOT(ISERROR(SEARCH(("정규교과"),(E205))))</formula>
    </cfRule>
    <cfRule type="containsText" dxfId="10344" priority="5523" operator="containsText" text="기타">
      <formula>NOT(ISERROR(SEARCH(("기타"),(E205))))</formula>
    </cfRule>
    <cfRule type="containsText" dxfId="10343" priority="5524" operator="containsText" text="프로젝트">
      <formula>NOT(ISERROR(SEARCH(("프로젝트"),(E205))))</formula>
    </cfRule>
    <cfRule type="containsText" dxfId="10342" priority="5525" operator="containsText" text="정규교과">
      <formula>NOT(ISERROR(SEARCH(("정규교과"),(E205))))</formula>
    </cfRule>
    <cfRule type="containsText" dxfId="10341" priority="5526" operator="containsText" text="기타">
      <formula>NOT(ISERROR(SEARCH(("기타"),(E205))))</formula>
    </cfRule>
    <cfRule type="containsText" dxfId="10340" priority="5527" operator="containsText" text="프로젝트">
      <formula>NOT(ISERROR(SEARCH(("프로젝트"),(E205))))</formula>
    </cfRule>
    <cfRule type="containsText" dxfId="10339" priority="5528" operator="containsText" text="정규교과">
      <formula>NOT(ISERROR(SEARCH(("정규교과"),(E205))))</formula>
    </cfRule>
    <cfRule type="containsText" dxfId="10338" priority="5529" operator="containsText" text="기타">
      <formula>NOT(ISERROR(SEARCH(("기타"),(E205))))</formula>
    </cfRule>
    <cfRule type="containsText" dxfId="10337" priority="5530" operator="containsText" text="프로젝트">
      <formula>NOT(ISERROR(SEARCH(("프로젝트"),(E205))))</formula>
    </cfRule>
    <cfRule type="containsText" dxfId="10336" priority="5531" operator="containsText" text="정규교과">
      <formula>NOT(ISERROR(SEARCH(("정규교과"),(E205))))</formula>
    </cfRule>
    <cfRule type="containsText" dxfId="10335" priority="5532" operator="containsText" text="기타">
      <formula>NOT(ISERROR(SEARCH(("기타"),(E205))))</formula>
    </cfRule>
    <cfRule type="containsText" dxfId="10334" priority="5533" operator="containsText" text="프로젝트">
      <formula>NOT(ISERROR(SEARCH(("프로젝트"),(E205))))</formula>
    </cfRule>
  </conditionalFormatting>
  <conditionalFormatting sqref="E215:H215">
    <cfRule type="containsText" dxfId="10333" priority="4832" operator="containsText" text="정규교과">
      <formula>NOT(ISERROR(SEARCH(("정규교과"),(E215))))</formula>
    </cfRule>
    <cfRule type="containsText" dxfId="10332" priority="4833" operator="containsText" text="기타">
      <formula>NOT(ISERROR(SEARCH(("기타"),(E215))))</formula>
    </cfRule>
    <cfRule type="containsText" dxfId="10331" priority="4834" operator="containsText" text="프로젝트">
      <formula>NOT(ISERROR(SEARCH(("프로젝트"),(E215))))</formula>
    </cfRule>
    <cfRule type="containsText" dxfId="10330" priority="4835" operator="containsText" text="정규교과">
      <formula>NOT(ISERROR(SEARCH(("정규교과"),(E215))))</formula>
    </cfRule>
    <cfRule type="containsText" dxfId="10329" priority="4836" operator="containsText" text="기타">
      <formula>NOT(ISERROR(SEARCH(("기타"),(E215))))</formula>
    </cfRule>
    <cfRule type="containsText" dxfId="10328" priority="4837" operator="containsText" text="프로젝트">
      <formula>NOT(ISERROR(SEARCH(("프로젝트"),(E215))))</formula>
    </cfRule>
    <cfRule type="containsText" dxfId="10327" priority="4838" operator="containsText" text="정규교과">
      <formula>NOT(ISERROR(SEARCH(("정규교과"),(E215))))</formula>
    </cfRule>
    <cfRule type="containsText" dxfId="10326" priority="4839" operator="containsText" text="기타">
      <formula>NOT(ISERROR(SEARCH(("기타"),(E215))))</formula>
    </cfRule>
    <cfRule type="containsText" dxfId="10325" priority="4824" operator="containsText" text="휴강">
      <formula>NOT(ISERROR(SEARCH(("휴강"),(E215))))</formula>
    </cfRule>
    <cfRule type="containsText" dxfId="10324" priority="4825" operator="containsText" text="프로젝트">
      <formula>NOT(ISERROR(SEARCH(("프로젝트"),(E215))))</formula>
    </cfRule>
    <cfRule type="containsText" dxfId="10323" priority="4826" operator="containsText" text="정규교과">
      <formula>NOT(ISERROR(SEARCH(("정규교과"),(E215))))</formula>
    </cfRule>
    <cfRule type="containsText" dxfId="10322" priority="4827" operator="containsText" text="기타">
      <formula>NOT(ISERROR(SEARCH(("기타"),(E215))))</formula>
    </cfRule>
    <cfRule type="containsText" dxfId="10321" priority="4828" operator="containsText" text="프로젝트">
      <formula>NOT(ISERROR(SEARCH(("프로젝트"),(E215))))</formula>
    </cfRule>
    <cfRule type="containsText" dxfId="10320" priority="4829" operator="containsText" text="정규교과">
      <formula>NOT(ISERROR(SEARCH(("정규교과"),(E215))))</formula>
    </cfRule>
    <cfRule type="containsText" dxfId="10319" priority="4830" operator="containsText" text="기타">
      <formula>NOT(ISERROR(SEARCH(("기타"),(E215))))</formula>
    </cfRule>
    <cfRule type="containsText" dxfId="10318" priority="4831" operator="containsText" text="프로젝트">
      <formula>NOT(ISERROR(SEARCH(("프로젝트"),(E215))))</formula>
    </cfRule>
  </conditionalFormatting>
  <conditionalFormatting sqref="F40">
    <cfRule type="containsText" dxfId="10317" priority="13791" operator="containsText" text="기타">
      <formula>NOT(ISERROR(SEARCH(("기타"),(F40))))</formula>
    </cfRule>
    <cfRule type="containsText" dxfId="10316" priority="13792" operator="containsText" text="프로젝트">
      <formula>NOT(ISERROR(SEARCH(("프로젝트"),(F40))))</formula>
    </cfRule>
    <cfRule type="containsText" dxfId="10315" priority="13793" operator="containsText" text="정규교과">
      <formula>NOT(ISERROR(SEARCH(("정규교과"),(F40))))</formula>
    </cfRule>
    <cfRule type="containsText" dxfId="10314" priority="13794" operator="containsText" text="기타">
      <formula>NOT(ISERROR(SEARCH(("기타"),(F40))))</formula>
    </cfRule>
    <cfRule type="containsText" dxfId="10313" priority="13795" operator="containsText" text="프로젝트">
      <formula>NOT(ISERROR(SEARCH(("프로젝트"),(F40))))</formula>
    </cfRule>
    <cfRule type="containsText" dxfId="10312" priority="13796" operator="containsText" text="정규교과">
      <formula>NOT(ISERROR(SEARCH(("정규교과"),(F40))))</formula>
    </cfRule>
    <cfRule type="containsText" dxfId="10311" priority="13797" operator="containsText" text="기타">
      <formula>NOT(ISERROR(SEARCH(("기타"),(F40))))</formula>
    </cfRule>
    <cfRule type="containsText" dxfId="10310" priority="13799" operator="containsText" text="정규교과">
      <formula>NOT(ISERROR(SEARCH(("정규교과"),(F40))))</formula>
    </cfRule>
    <cfRule type="containsText" dxfId="10309" priority="13800" operator="containsText" text="기타">
      <formula>NOT(ISERROR(SEARCH(("기타"),(F40))))</formula>
    </cfRule>
    <cfRule type="containsText" dxfId="10308" priority="13774" operator="containsText" text="프로젝트">
      <formula>NOT(ISERROR(SEARCH(("프로젝트"),(F40))))</formula>
    </cfRule>
    <cfRule type="containsText" dxfId="10307" priority="13773" operator="containsText" text="기타">
      <formula>NOT(ISERROR(SEARCH(("기타"),(F40))))</formula>
    </cfRule>
    <cfRule type="containsText" dxfId="10306" priority="13772" operator="containsText" text="정규교과">
      <formula>NOT(ISERROR(SEARCH(("정규교과"),(F40))))</formula>
    </cfRule>
    <cfRule type="containsText" dxfId="10305" priority="13771" operator="containsText" text="프로젝트">
      <formula>NOT(ISERROR(SEARCH(("프로젝트"),(F40))))</formula>
    </cfRule>
    <cfRule type="containsText" dxfId="10304" priority="13770" operator="containsText" text="기타">
      <formula>NOT(ISERROR(SEARCH(("기타"),(F40))))</formula>
    </cfRule>
    <cfRule type="containsText" dxfId="10303" priority="13769" operator="containsText" text="정규교과">
      <formula>NOT(ISERROR(SEARCH(("정규교과"),(F40))))</formula>
    </cfRule>
    <cfRule type="containsText" dxfId="10302" priority="13768" operator="containsText" text="프로젝트">
      <formula>NOT(ISERROR(SEARCH(("프로젝트"),(F40))))</formula>
    </cfRule>
    <cfRule type="containsText" dxfId="10301" priority="13767" operator="containsText" text="기타">
      <formula>NOT(ISERROR(SEARCH(("기타"),(F40))))</formula>
    </cfRule>
    <cfRule type="containsText" dxfId="10300" priority="13737" operator="containsText" text="기타">
      <formula>NOT(ISERROR(SEARCH(("기타"),(F40))))</formula>
    </cfRule>
    <cfRule type="containsText" dxfId="10299" priority="13738" operator="containsText" text="프로젝트">
      <formula>NOT(ISERROR(SEARCH(("프로젝트"),(F40))))</formula>
    </cfRule>
    <cfRule type="containsText" dxfId="10298" priority="13739" operator="containsText" text="정규교과">
      <formula>NOT(ISERROR(SEARCH(("정규교과"),(F40))))</formula>
    </cfRule>
    <cfRule type="containsText" dxfId="10297" priority="13740" operator="containsText" text="기타">
      <formula>NOT(ISERROR(SEARCH(("기타"),(F40))))</formula>
    </cfRule>
    <cfRule type="containsText" dxfId="10296" priority="13766" operator="containsText" text="정규교과">
      <formula>NOT(ISERROR(SEARCH(("정규교과"),(F40))))</formula>
    </cfRule>
    <cfRule type="containsText" dxfId="10295" priority="13741" operator="containsText" text="프로젝트">
      <formula>NOT(ISERROR(SEARCH(("프로젝트"),(F40))))</formula>
    </cfRule>
    <cfRule type="containsText" dxfId="10294" priority="13742" operator="containsText" text="정규교과">
      <formula>NOT(ISERROR(SEARCH(("정규교과"),(F40))))</formula>
    </cfRule>
    <cfRule type="containsText" dxfId="10293" priority="13743" operator="containsText" text="기타">
      <formula>NOT(ISERROR(SEARCH(("기타"),(F40))))</formula>
    </cfRule>
    <cfRule type="containsText" dxfId="10292" priority="13744" operator="containsText" text="프로젝트">
      <formula>NOT(ISERROR(SEARCH(("프로젝트"),(F40))))</formula>
    </cfRule>
    <cfRule type="containsText" dxfId="10291" priority="13745" operator="containsText" text="정규교과">
      <formula>NOT(ISERROR(SEARCH(("정규교과"),(F40))))</formula>
    </cfRule>
    <cfRule type="containsText" dxfId="10290" priority="13746" operator="containsText" text="기타">
      <formula>NOT(ISERROR(SEARCH(("기타"),(F40))))</formula>
    </cfRule>
    <cfRule type="containsText" dxfId="10289" priority="13747" operator="containsText" text="프로젝트">
      <formula>NOT(ISERROR(SEARCH(("프로젝트"),(F40))))</formula>
    </cfRule>
    <cfRule type="containsText" dxfId="10288" priority="13748" operator="containsText" text="정규교과">
      <formula>NOT(ISERROR(SEARCH(("정규교과"),(F40))))</formula>
    </cfRule>
    <cfRule type="containsText" dxfId="10287" priority="13765" operator="containsText" text="프로젝트">
      <formula>NOT(ISERROR(SEARCH(("프로젝트"),(F40))))</formula>
    </cfRule>
    <cfRule type="containsText" dxfId="10286" priority="13764" operator="containsText" text="기타">
      <formula>NOT(ISERROR(SEARCH(("기타"),(F40))))</formula>
    </cfRule>
    <cfRule type="containsText" dxfId="10285" priority="13763" operator="containsText" text="정규교과">
      <formula>NOT(ISERROR(SEARCH(("정규교과"),(F40))))</formula>
    </cfRule>
    <cfRule type="containsText" dxfId="10284" priority="13762" operator="containsText" text="프로젝트">
      <formula>NOT(ISERROR(SEARCH(("프로젝트"),(F40))))</formula>
    </cfRule>
    <cfRule type="containsText" dxfId="10283" priority="13761" operator="containsText" text="기타">
      <formula>NOT(ISERROR(SEARCH(("기타"),(F40))))</formula>
    </cfRule>
    <cfRule type="containsText" dxfId="10282" priority="13760" operator="containsText" text="정규교과">
      <formula>NOT(ISERROR(SEARCH(("정규교과"),(F40))))</formula>
    </cfRule>
    <cfRule type="containsText" dxfId="10281" priority="13736" operator="containsText" text="정규교과">
      <formula>NOT(ISERROR(SEARCH(("정규교과"),(F40))))</formula>
    </cfRule>
    <cfRule type="containsText" dxfId="10280" priority="13759" operator="containsText" text="프로젝트">
      <formula>NOT(ISERROR(SEARCH(("프로젝트"),(F40))))</formula>
    </cfRule>
    <cfRule type="containsText" dxfId="10279" priority="13758" operator="containsText" text="기타">
      <formula>NOT(ISERROR(SEARCH(("기타"),(F40))))</formula>
    </cfRule>
    <cfRule type="containsText" dxfId="10278" priority="13776" operator="containsText" text="기타">
      <formula>NOT(ISERROR(SEARCH(("기타"),(F40))))</formula>
    </cfRule>
    <cfRule type="containsText" dxfId="10277" priority="13757" operator="containsText" text="정규교과">
      <formula>NOT(ISERROR(SEARCH(("정규교과"),(F40))))</formula>
    </cfRule>
    <cfRule type="containsText" dxfId="10276" priority="13756" operator="containsText" text="프로젝트">
      <formula>NOT(ISERROR(SEARCH(("프로젝트"),(F40))))</formula>
    </cfRule>
    <cfRule type="containsText" dxfId="10275" priority="13755" operator="containsText" text="기타">
      <formula>NOT(ISERROR(SEARCH(("기타"),(F40))))</formula>
    </cfRule>
    <cfRule type="containsText" dxfId="10274" priority="13777" operator="containsText" text="프로젝트">
      <formula>NOT(ISERROR(SEARCH(("프로젝트"),(F40))))</formula>
    </cfRule>
    <cfRule type="containsText" dxfId="10273" priority="13778" operator="containsText" text="정규교과">
      <formula>NOT(ISERROR(SEARCH(("정규교과"),(F40))))</formula>
    </cfRule>
    <cfRule type="containsText" dxfId="10272" priority="13779" operator="containsText" text="기타">
      <formula>NOT(ISERROR(SEARCH(("기타"),(F40))))</formula>
    </cfRule>
    <cfRule type="containsText" dxfId="10271" priority="13749" operator="containsText" text="기타">
      <formula>NOT(ISERROR(SEARCH(("기타"),(F40))))</formula>
    </cfRule>
    <cfRule type="containsText" dxfId="10270" priority="13750" operator="containsText" text="프로젝트">
      <formula>NOT(ISERROR(SEARCH(("프로젝트"),(F40))))</formula>
    </cfRule>
    <cfRule type="containsText" dxfId="10269" priority="13751" operator="containsText" text="정규교과">
      <formula>NOT(ISERROR(SEARCH(("정규교과"),(F40))))</formula>
    </cfRule>
    <cfRule type="containsText" dxfId="10268" priority="13752" operator="containsText" text="기타">
      <formula>NOT(ISERROR(SEARCH(("기타"),(F40))))</formula>
    </cfRule>
    <cfRule type="containsText" dxfId="10267" priority="13753" operator="containsText" text="프로젝트">
      <formula>NOT(ISERROR(SEARCH(("프로젝트"),(F40))))</formula>
    </cfRule>
    <cfRule type="containsText" dxfId="10266" priority="13775" operator="containsText" text="정규교과">
      <formula>NOT(ISERROR(SEARCH(("정규교과"),(F40))))</formula>
    </cfRule>
    <cfRule type="containsText" dxfId="10265" priority="13780" operator="containsText" text="프로젝트">
      <formula>NOT(ISERROR(SEARCH(("프로젝트"),(F40))))</formula>
    </cfRule>
    <cfRule type="containsText" dxfId="10264" priority="13781" operator="containsText" text="정규교과">
      <formula>NOT(ISERROR(SEARCH(("정규교과"),(F40))))</formula>
    </cfRule>
    <cfRule type="containsText" dxfId="10263" priority="13782" operator="containsText" text="기타">
      <formula>NOT(ISERROR(SEARCH(("기타"),(F40))))</formula>
    </cfRule>
    <cfRule type="containsText" dxfId="10262" priority="13783" operator="containsText" text="프로젝트">
      <formula>NOT(ISERROR(SEARCH(("프로젝트"),(F40))))</formula>
    </cfRule>
    <cfRule type="containsText" dxfId="10261" priority="13784" operator="containsText" text="정규교과">
      <formula>NOT(ISERROR(SEARCH(("정규교과"),(F40))))</formula>
    </cfRule>
    <cfRule type="containsText" dxfId="10260" priority="13785" operator="containsText" text="기타">
      <formula>NOT(ISERROR(SEARCH(("기타"),(F40))))</formula>
    </cfRule>
    <cfRule type="containsText" dxfId="10259" priority="13786" operator="containsText" text="프로젝트">
      <formula>NOT(ISERROR(SEARCH(("프로젝트"),(F40))))</formula>
    </cfRule>
    <cfRule type="containsText" dxfId="10258" priority="13787" operator="containsText" text="정규교과">
      <formula>NOT(ISERROR(SEARCH(("정규교과"),(F40))))</formula>
    </cfRule>
    <cfRule type="containsText" dxfId="10257" priority="13788" operator="containsText" text="기타">
      <formula>NOT(ISERROR(SEARCH(("기타"),(F40))))</formula>
    </cfRule>
    <cfRule type="containsText" dxfId="10256" priority="13789" operator="containsText" text="프로젝트">
      <formula>NOT(ISERROR(SEARCH(("프로젝트"),(F40))))</formula>
    </cfRule>
    <cfRule type="containsText" dxfId="10255" priority="13790" operator="containsText" text="정규교과">
      <formula>NOT(ISERROR(SEARCH(("정규교과"),(F40))))</formula>
    </cfRule>
    <cfRule type="containsText" dxfId="10254" priority="13754" operator="containsText" text="정규교과">
      <formula>NOT(ISERROR(SEARCH(("정규교과"),(F40))))</formula>
    </cfRule>
  </conditionalFormatting>
  <conditionalFormatting sqref="F44">
    <cfRule type="containsText" dxfId="10253" priority="13545" operator="containsText" text="기타">
      <formula>NOT(ISERROR(SEARCH(("기타"),(F44))))</formula>
    </cfRule>
    <cfRule type="containsText" dxfId="10252" priority="13544" operator="containsText" text="정규교과">
      <formula>NOT(ISERROR(SEARCH(("정규교과"),(F44))))</formula>
    </cfRule>
    <cfRule type="containsText" dxfId="10251" priority="13543" operator="containsText" text="프로젝트">
      <formula>NOT(ISERROR(SEARCH(("프로젝트"),(F44))))</formula>
    </cfRule>
    <cfRule type="containsText" dxfId="10250" priority="13542" operator="containsText" text="기타">
      <formula>NOT(ISERROR(SEARCH(("기타"),(F44))))</formula>
    </cfRule>
    <cfRule type="containsText" dxfId="10249" priority="13541" operator="containsText" text="정규교과">
      <formula>NOT(ISERROR(SEARCH(("정규교과"),(F44))))</formula>
    </cfRule>
    <cfRule type="containsText" dxfId="10248" priority="13540" operator="containsText" text="프로젝트">
      <formula>NOT(ISERROR(SEARCH(("프로젝트"),(F44))))</formula>
    </cfRule>
    <cfRule type="containsText" dxfId="10247" priority="13539" operator="containsText" text="기타">
      <formula>NOT(ISERROR(SEARCH(("기타"),(F44))))</formula>
    </cfRule>
    <cfRule type="containsText" dxfId="10246" priority="13538" operator="containsText" text="정규교과">
      <formula>NOT(ISERROR(SEARCH(("정규교과"),(F44))))</formula>
    </cfRule>
    <cfRule type="containsText" dxfId="10245" priority="13537" operator="containsText" text="프로젝트">
      <formula>NOT(ISERROR(SEARCH(("프로젝트"),(F44))))</formula>
    </cfRule>
    <cfRule type="containsText" dxfId="10244" priority="13536" operator="containsText" text="기타">
      <formula>NOT(ISERROR(SEARCH(("기타"),(F44))))</formula>
    </cfRule>
    <cfRule type="containsText" dxfId="10243" priority="13535" operator="containsText" text="정규교과">
      <formula>NOT(ISERROR(SEARCH(("정규교과"),(F44))))</formula>
    </cfRule>
    <cfRule type="containsText" dxfId="10242" priority="13534" operator="containsText" text="프로젝트">
      <formula>NOT(ISERROR(SEARCH(("프로젝트"),(F44))))</formula>
    </cfRule>
    <cfRule type="containsText" dxfId="10241" priority="13533" operator="containsText" text="기타">
      <formula>NOT(ISERROR(SEARCH(("기타"),(F44))))</formula>
    </cfRule>
    <cfRule type="containsText" dxfId="10240" priority="13532" operator="containsText" text="정규교과">
      <formula>NOT(ISERROR(SEARCH(("정규교과"),(F44))))</formula>
    </cfRule>
    <cfRule type="containsText" dxfId="10239" priority="13531" operator="containsText" text="프로젝트">
      <formula>NOT(ISERROR(SEARCH(("프로젝트"),(F44))))</formula>
    </cfRule>
    <cfRule type="containsText" dxfId="10238" priority="13530" operator="containsText" text="기타">
      <formula>NOT(ISERROR(SEARCH(("기타"),(F44))))</formula>
    </cfRule>
    <cfRule type="containsText" dxfId="10237" priority="13529" operator="containsText" text="정규교과">
      <formula>NOT(ISERROR(SEARCH(("정규교과"),(F44))))</formula>
    </cfRule>
    <cfRule type="containsText" dxfId="10236" priority="13572" operator="containsText" text="기타">
      <formula>NOT(ISERROR(SEARCH(("기타"),(F44))))</formula>
    </cfRule>
    <cfRule type="containsText" dxfId="10235" priority="13593" operator="containsText" text="기타">
      <formula>NOT(ISERROR(SEARCH(("기타"),(F44))))</formula>
    </cfRule>
    <cfRule type="containsText" dxfId="10234" priority="13592" operator="containsText" text="정규교과">
      <formula>NOT(ISERROR(SEARCH(("정규교과"),(F44))))</formula>
    </cfRule>
    <cfRule type="containsText" dxfId="10233" priority="13590" operator="containsText" text="기타">
      <formula>NOT(ISERROR(SEARCH(("기타"),(F44))))</formula>
    </cfRule>
    <cfRule type="containsText" dxfId="10232" priority="13589" operator="containsText" text="정규교과">
      <formula>NOT(ISERROR(SEARCH(("정규교과"),(F44))))</formula>
    </cfRule>
    <cfRule type="containsText" dxfId="10231" priority="13588" operator="containsText" text="프로젝트">
      <formula>NOT(ISERROR(SEARCH(("프로젝트"),(F44))))</formula>
    </cfRule>
    <cfRule type="containsText" dxfId="10230" priority="13587" operator="containsText" text="기타">
      <formula>NOT(ISERROR(SEARCH(("기타"),(F44))))</formula>
    </cfRule>
    <cfRule type="containsText" dxfId="10229" priority="13586" operator="containsText" text="정규교과">
      <formula>NOT(ISERROR(SEARCH(("정규교과"),(F44))))</formula>
    </cfRule>
    <cfRule type="containsText" dxfId="10228" priority="13585" operator="containsText" text="프로젝트">
      <formula>NOT(ISERROR(SEARCH(("프로젝트"),(F44))))</formula>
    </cfRule>
    <cfRule type="containsText" dxfId="10227" priority="13584" operator="containsText" text="기타">
      <formula>NOT(ISERROR(SEARCH(("기타"),(F44))))</formula>
    </cfRule>
    <cfRule type="containsText" dxfId="10226" priority="13583" operator="containsText" text="정규교과">
      <formula>NOT(ISERROR(SEARCH(("정규교과"),(F44))))</formula>
    </cfRule>
    <cfRule type="containsText" dxfId="10225" priority="13582" operator="containsText" text="프로젝트">
      <formula>NOT(ISERROR(SEARCH(("프로젝트"),(F44))))</formula>
    </cfRule>
    <cfRule type="containsText" dxfId="10224" priority="13581" operator="containsText" text="기타">
      <formula>NOT(ISERROR(SEARCH(("기타"),(F44))))</formula>
    </cfRule>
    <cfRule type="containsText" dxfId="10223" priority="13580" operator="containsText" text="정규교과">
      <formula>NOT(ISERROR(SEARCH(("정규교과"),(F44))))</formula>
    </cfRule>
    <cfRule type="containsText" dxfId="10222" priority="13579" operator="containsText" text="프로젝트">
      <formula>NOT(ISERROR(SEARCH(("프로젝트"),(F44))))</formula>
    </cfRule>
    <cfRule type="containsText" dxfId="10221" priority="13578" operator="containsText" text="기타">
      <formula>NOT(ISERROR(SEARCH(("기타"),(F44))))</formula>
    </cfRule>
    <cfRule type="containsText" dxfId="10220" priority="13577" operator="containsText" text="정규교과">
      <formula>NOT(ISERROR(SEARCH(("정규교과"),(F44))))</formula>
    </cfRule>
    <cfRule type="containsText" dxfId="10219" priority="13576" operator="containsText" text="프로젝트">
      <formula>NOT(ISERROR(SEARCH(("프로젝트"),(F44))))</formula>
    </cfRule>
    <cfRule type="containsText" dxfId="10218" priority="13575" operator="containsText" text="기타">
      <formula>NOT(ISERROR(SEARCH(("기타"),(F44))))</formula>
    </cfRule>
    <cfRule type="containsText" dxfId="10217" priority="13574" operator="containsText" text="정규교과">
      <formula>NOT(ISERROR(SEARCH(("정규교과"),(F44))))</formula>
    </cfRule>
    <cfRule type="containsText" dxfId="10216" priority="13573" operator="containsText" text="프로젝트">
      <formula>NOT(ISERROR(SEARCH(("프로젝트"),(F44))))</formula>
    </cfRule>
    <cfRule type="containsText" dxfId="10215" priority="13571" operator="containsText" text="정규교과">
      <formula>NOT(ISERROR(SEARCH(("정규교과"),(F44))))</formula>
    </cfRule>
    <cfRule type="containsText" dxfId="10214" priority="13570" operator="containsText" text="프로젝트">
      <formula>NOT(ISERROR(SEARCH(("프로젝트"),(F44))))</formula>
    </cfRule>
    <cfRule type="containsText" dxfId="10213" priority="13569" operator="containsText" text="기타">
      <formula>NOT(ISERROR(SEARCH(("기타"),(F44))))</formula>
    </cfRule>
    <cfRule type="containsText" dxfId="10212" priority="13568" operator="containsText" text="정규교과">
      <formula>NOT(ISERROR(SEARCH(("정규교과"),(F44))))</formula>
    </cfRule>
    <cfRule type="containsText" dxfId="10211" priority="13567" operator="containsText" text="프로젝트">
      <formula>NOT(ISERROR(SEARCH(("프로젝트"),(F44))))</formula>
    </cfRule>
    <cfRule type="containsText" dxfId="10210" priority="13566" operator="containsText" text="기타">
      <formula>NOT(ISERROR(SEARCH(("기타"),(F44))))</formula>
    </cfRule>
    <cfRule type="containsText" dxfId="10209" priority="13565" operator="containsText" text="정규교과">
      <formula>NOT(ISERROR(SEARCH(("정규교과"),(F44))))</formula>
    </cfRule>
    <cfRule type="containsText" dxfId="10208" priority="13564" operator="containsText" text="프로젝트">
      <formula>NOT(ISERROR(SEARCH(("프로젝트"),(F44))))</formula>
    </cfRule>
    <cfRule type="containsText" dxfId="10207" priority="13563" operator="containsText" text="기타">
      <formula>NOT(ISERROR(SEARCH(("기타"),(F44))))</formula>
    </cfRule>
    <cfRule type="containsText" dxfId="10206" priority="13562" operator="containsText" text="정규교과">
      <formula>NOT(ISERROR(SEARCH(("정규교과"),(F44))))</formula>
    </cfRule>
    <cfRule type="containsText" dxfId="10205" priority="13561" operator="containsText" text="프로젝트">
      <formula>NOT(ISERROR(SEARCH(("프로젝트"),(F44))))</formula>
    </cfRule>
    <cfRule type="containsText" dxfId="10204" priority="13560" operator="containsText" text="기타">
      <formula>NOT(ISERROR(SEARCH(("기타"),(F44))))</formula>
    </cfRule>
    <cfRule type="containsText" dxfId="10203" priority="13559" operator="containsText" text="정규교과">
      <formula>NOT(ISERROR(SEARCH(("정규교과"),(F44))))</formula>
    </cfRule>
    <cfRule type="containsText" dxfId="10202" priority="13558" operator="containsText" text="프로젝트">
      <formula>NOT(ISERROR(SEARCH(("프로젝트"),(F44))))</formula>
    </cfRule>
    <cfRule type="containsText" dxfId="10201" priority="13557" operator="containsText" text="기타">
      <formula>NOT(ISERROR(SEARCH(("기타"),(F44))))</formula>
    </cfRule>
    <cfRule type="containsText" dxfId="10200" priority="13556" operator="containsText" text="정규교과">
      <formula>NOT(ISERROR(SEARCH(("정규교과"),(F44))))</formula>
    </cfRule>
    <cfRule type="containsText" dxfId="10199" priority="13555" operator="containsText" text="프로젝트">
      <formula>NOT(ISERROR(SEARCH(("프로젝트"),(F44))))</formula>
    </cfRule>
    <cfRule type="containsText" dxfId="10198" priority="13554" operator="containsText" text="기타">
      <formula>NOT(ISERROR(SEARCH(("기타"),(F44))))</formula>
    </cfRule>
    <cfRule type="containsText" dxfId="10197" priority="13553" operator="containsText" text="정규교과">
      <formula>NOT(ISERROR(SEARCH(("정규교과"),(F44))))</formula>
    </cfRule>
    <cfRule type="containsText" dxfId="10196" priority="13552" operator="containsText" text="프로젝트">
      <formula>NOT(ISERROR(SEARCH(("프로젝트"),(F44))))</formula>
    </cfRule>
    <cfRule type="containsText" dxfId="10195" priority="13551" operator="containsText" text="기타">
      <formula>NOT(ISERROR(SEARCH(("기타"),(F44))))</formula>
    </cfRule>
    <cfRule type="containsText" dxfId="10194" priority="13550" operator="containsText" text="정규교과">
      <formula>NOT(ISERROR(SEARCH(("정규교과"),(F44))))</formula>
    </cfRule>
    <cfRule type="containsText" dxfId="10193" priority="13549" operator="containsText" text="프로젝트">
      <formula>NOT(ISERROR(SEARCH(("프로젝트"),(F44))))</formula>
    </cfRule>
    <cfRule type="containsText" dxfId="10192" priority="13548" operator="containsText" text="기타">
      <formula>NOT(ISERROR(SEARCH(("기타"),(F44))))</formula>
    </cfRule>
    <cfRule type="containsText" dxfId="10191" priority="13547" operator="containsText" text="정규교과">
      <formula>NOT(ISERROR(SEARCH(("정규교과"),(F44))))</formula>
    </cfRule>
    <cfRule type="containsText" dxfId="10190" priority="13546" operator="containsText" text="프로젝트">
      <formula>NOT(ISERROR(SEARCH(("프로젝트"),(F44))))</formula>
    </cfRule>
  </conditionalFormatting>
  <conditionalFormatting sqref="F48">
    <cfRule type="containsText" dxfId="10189" priority="13326" operator="containsText" text="기타">
      <formula>NOT(ISERROR(SEARCH(("기타"),(F48))))</formula>
    </cfRule>
    <cfRule type="containsText" dxfId="10188" priority="13325" operator="containsText" text="정규교과">
      <formula>NOT(ISERROR(SEARCH(("정규교과"),(F48))))</formula>
    </cfRule>
    <cfRule type="containsText" dxfId="10187" priority="13324" operator="containsText" text="프로젝트">
      <formula>NOT(ISERROR(SEARCH(("프로젝트"),(F48))))</formula>
    </cfRule>
    <cfRule type="containsText" dxfId="10186" priority="13323" operator="containsText" text="기타">
      <formula>NOT(ISERROR(SEARCH(("기타"),(F48))))</formula>
    </cfRule>
    <cfRule type="containsText" dxfId="10185" priority="13322" operator="containsText" text="정규교과">
      <formula>NOT(ISERROR(SEARCH(("정규교과"),(F48))))</formula>
    </cfRule>
    <cfRule type="containsText" dxfId="10184" priority="13386" operator="containsText" text="기타">
      <formula>NOT(ISERROR(SEARCH(("기타"),(F48))))</formula>
    </cfRule>
    <cfRule type="containsText" dxfId="10183" priority="13383" operator="containsText" text="기타">
      <formula>NOT(ISERROR(SEARCH(("기타"),(F48))))</formula>
    </cfRule>
    <cfRule type="containsText" dxfId="10182" priority="13382" operator="containsText" text="정규교과">
      <formula>NOT(ISERROR(SEARCH(("정규교과"),(F48))))</formula>
    </cfRule>
    <cfRule type="containsText" dxfId="10181" priority="13381" operator="containsText" text="프로젝트">
      <formula>NOT(ISERROR(SEARCH(("프로젝트"),(F48))))</formula>
    </cfRule>
    <cfRule type="containsText" dxfId="10180" priority="13380" operator="containsText" text="기타">
      <formula>NOT(ISERROR(SEARCH(("기타"),(F48))))</formula>
    </cfRule>
    <cfRule type="containsText" dxfId="10179" priority="13379" operator="containsText" text="정규교과">
      <formula>NOT(ISERROR(SEARCH(("정규교과"),(F48))))</formula>
    </cfRule>
    <cfRule type="containsText" dxfId="10178" priority="13378" operator="containsText" text="프로젝트">
      <formula>NOT(ISERROR(SEARCH(("프로젝트"),(F48))))</formula>
    </cfRule>
    <cfRule type="containsText" dxfId="10177" priority="13377" operator="containsText" text="기타">
      <formula>NOT(ISERROR(SEARCH(("기타"),(F48))))</formula>
    </cfRule>
    <cfRule type="containsText" dxfId="10176" priority="13385" operator="containsText" text="정규교과">
      <formula>NOT(ISERROR(SEARCH(("정규교과"),(F48))))</formula>
    </cfRule>
    <cfRule type="containsText" dxfId="10175" priority="13375" operator="containsText" text="프로젝트">
      <formula>NOT(ISERROR(SEARCH(("프로젝트"),(F48))))</formula>
    </cfRule>
    <cfRule type="containsText" dxfId="10174" priority="13374" operator="containsText" text="기타">
      <formula>NOT(ISERROR(SEARCH(("기타"),(F48))))</formula>
    </cfRule>
    <cfRule type="containsText" dxfId="10173" priority="13373" operator="containsText" text="정규교과">
      <formula>NOT(ISERROR(SEARCH(("정규교과"),(F48))))</formula>
    </cfRule>
    <cfRule type="containsText" dxfId="10172" priority="13372" operator="containsText" text="프로젝트">
      <formula>NOT(ISERROR(SEARCH(("프로젝트"),(F48))))</formula>
    </cfRule>
    <cfRule type="containsText" dxfId="10171" priority="13371" operator="containsText" text="기타">
      <formula>NOT(ISERROR(SEARCH(("기타"),(F48))))</formula>
    </cfRule>
    <cfRule type="containsText" dxfId="10170" priority="13370" operator="containsText" text="정규교과">
      <formula>NOT(ISERROR(SEARCH(("정규교과"),(F48))))</formula>
    </cfRule>
    <cfRule type="containsText" dxfId="10169" priority="13369" operator="containsText" text="프로젝트">
      <formula>NOT(ISERROR(SEARCH(("프로젝트"),(F48))))</formula>
    </cfRule>
    <cfRule type="containsText" dxfId="10168" priority="13368" operator="containsText" text="기타">
      <formula>NOT(ISERROR(SEARCH(("기타"),(F48))))</formula>
    </cfRule>
    <cfRule type="containsText" dxfId="10167" priority="13367" operator="containsText" text="정규교과">
      <formula>NOT(ISERROR(SEARCH(("정규교과"),(F48))))</formula>
    </cfRule>
    <cfRule type="containsText" dxfId="10166" priority="13366" operator="containsText" text="프로젝트">
      <formula>NOT(ISERROR(SEARCH(("프로젝트"),(F48))))</formula>
    </cfRule>
    <cfRule type="containsText" dxfId="10165" priority="13365" operator="containsText" text="기타">
      <formula>NOT(ISERROR(SEARCH(("기타"),(F48))))</formula>
    </cfRule>
    <cfRule type="containsText" dxfId="10164" priority="13364" operator="containsText" text="정규교과">
      <formula>NOT(ISERROR(SEARCH(("정규교과"),(F48))))</formula>
    </cfRule>
    <cfRule type="containsText" dxfId="10163" priority="13363" operator="containsText" text="프로젝트">
      <formula>NOT(ISERROR(SEARCH(("프로젝트"),(F48))))</formula>
    </cfRule>
    <cfRule type="containsText" dxfId="10162" priority="13362" operator="containsText" text="기타">
      <formula>NOT(ISERROR(SEARCH(("기타"),(F48))))</formula>
    </cfRule>
    <cfRule type="containsText" dxfId="10161" priority="13361" operator="containsText" text="정규교과">
      <formula>NOT(ISERROR(SEARCH(("정규교과"),(F48))))</formula>
    </cfRule>
    <cfRule type="containsText" dxfId="10160" priority="13360" operator="containsText" text="프로젝트">
      <formula>NOT(ISERROR(SEARCH(("프로젝트"),(F48))))</formula>
    </cfRule>
    <cfRule type="containsText" dxfId="10159" priority="13359" operator="containsText" text="기타">
      <formula>NOT(ISERROR(SEARCH(("기타"),(F48))))</formula>
    </cfRule>
    <cfRule type="containsText" dxfId="10158" priority="13358" operator="containsText" text="정규교과">
      <formula>NOT(ISERROR(SEARCH(("정규교과"),(F48))))</formula>
    </cfRule>
    <cfRule type="containsText" dxfId="10157" priority="13357" operator="containsText" text="프로젝트">
      <formula>NOT(ISERROR(SEARCH(("프로젝트"),(F48))))</formula>
    </cfRule>
    <cfRule type="containsText" dxfId="10156" priority="13356" operator="containsText" text="기타">
      <formula>NOT(ISERROR(SEARCH(("기타"),(F48))))</formula>
    </cfRule>
    <cfRule type="containsText" dxfId="10155" priority="13355" operator="containsText" text="정규교과">
      <formula>NOT(ISERROR(SEARCH(("정규교과"),(F48))))</formula>
    </cfRule>
    <cfRule type="containsText" dxfId="10154" priority="13354" operator="containsText" text="프로젝트">
      <formula>NOT(ISERROR(SEARCH(("프로젝트"),(F48))))</formula>
    </cfRule>
    <cfRule type="containsText" dxfId="10153" priority="13353" operator="containsText" text="기타">
      <formula>NOT(ISERROR(SEARCH(("기타"),(F48))))</formula>
    </cfRule>
    <cfRule type="containsText" dxfId="10152" priority="13352" operator="containsText" text="정규교과">
      <formula>NOT(ISERROR(SEARCH(("정규교과"),(F48))))</formula>
    </cfRule>
    <cfRule type="containsText" dxfId="10151" priority="13351" operator="containsText" text="프로젝트">
      <formula>NOT(ISERROR(SEARCH(("프로젝트"),(F48))))</formula>
    </cfRule>
    <cfRule type="containsText" dxfId="10150" priority="13350" operator="containsText" text="기타">
      <formula>NOT(ISERROR(SEARCH(("기타"),(F48))))</formula>
    </cfRule>
    <cfRule type="containsText" dxfId="10149" priority="13349" operator="containsText" text="정규교과">
      <formula>NOT(ISERROR(SEARCH(("정규교과"),(F48))))</formula>
    </cfRule>
    <cfRule type="containsText" dxfId="10148" priority="13376" operator="containsText" text="정규교과">
      <formula>NOT(ISERROR(SEARCH(("정규교과"),(F48))))</formula>
    </cfRule>
    <cfRule type="containsText" dxfId="10147" priority="13342" operator="containsText" text="프로젝트">
      <formula>NOT(ISERROR(SEARCH(("프로젝트"),(F48))))</formula>
    </cfRule>
    <cfRule type="containsText" dxfId="10146" priority="13348" operator="containsText" text="프로젝트">
      <formula>NOT(ISERROR(SEARCH(("프로젝트"),(F48))))</formula>
    </cfRule>
    <cfRule type="containsText" dxfId="10145" priority="13347" operator="containsText" text="기타">
      <formula>NOT(ISERROR(SEARCH(("기타"),(F48))))</formula>
    </cfRule>
    <cfRule type="containsText" dxfId="10144" priority="13346" operator="containsText" text="정규교과">
      <formula>NOT(ISERROR(SEARCH(("정규교과"),(F48))))</formula>
    </cfRule>
    <cfRule type="containsText" dxfId="10143" priority="13345" operator="containsText" text="프로젝트">
      <formula>NOT(ISERROR(SEARCH(("프로젝트"),(F48))))</formula>
    </cfRule>
    <cfRule type="containsText" dxfId="10142" priority="13344" operator="containsText" text="기타">
      <formula>NOT(ISERROR(SEARCH(("기타"),(F48))))</formula>
    </cfRule>
    <cfRule type="containsText" dxfId="10141" priority="13343" operator="containsText" text="정규교과">
      <formula>NOT(ISERROR(SEARCH(("정규교과"),(F48))))</formula>
    </cfRule>
    <cfRule type="containsText" dxfId="10140" priority="13341" operator="containsText" text="기타">
      <formula>NOT(ISERROR(SEARCH(("기타"),(F48))))</formula>
    </cfRule>
    <cfRule type="containsText" dxfId="10139" priority="13340" operator="containsText" text="정규교과">
      <formula>NOT(ISERROR(SEARCH(("정규교과"),(F48))))</formula>
    </cfRule>
    <cfRule type="containsText" dxfId="10138" priority="13339" operator="containsText" text="프로젝트">
      <formula>NOT(ISERROR(SEARCH(("프로젝트"),(F48))))</formula>
    </cfRule>
    <cfRule type="containsText" dxfId="10137" priority="13338" operator="containsText" text="기타">
      <formula>NOT(ISERROR(SEARCH(("기타"),(F48))))</formula>
    </cfRule>
    <cfRule type="containsText" dxfId="10136" priority="13337" operator="containsText" text="정규교과">
      <formula>NOT(ISERROR(SEARCH(("정규교과"),(F48))))</formula>
    </cfRule>
    <cfRule type="containsText" dxfId="10135" priority="13336" operator="containsText" text="프로젝트">
      <formula>NOT(ISERROR(SEARCH(("프로젝트"),(F48))))</formula>
    </cfRule>
    <cfRule type="containsText" dxfId="10134" priority="13335" operator="containsText" text="기타">
      <formula>NOT(ISERROR(SEARCH(("기타"),(F48))))</formula>
    </cfRule>
    <cfRule type="containsText" dxfId="10133" priority="13334" operator="containsText" text="정규교과">
      <formula>NOT(ISERROR(SEARCH(("정규교과"),(F48))))</formula>
    </cfRule>
    <cfRule type="containsText" dxfId="10132" priority="13333" operator="containsText" text="프로젝트">
      <formula>NOT(ISERROR(SEARCH(("프로젝트"),(F48))))</formula>
    </cfRule>
    <cfRule type="containsText" dxfId="10131" priority="13332" operator="containsText" text="기타">
      <formula>NOT(ISERROR(SEARCH(("기타"),(F48))))</formula>
    </cfRule>
    <cfRule type="containsText" dxfId="10130" priority="13331" operator="containsText" text="정규교과">
      <formula>NOT(ISERROR(SEARCH(("정규교과"),(F48))))</formula>
    </cfRule>
    <cfRule type="containsText" dxfId="10129" priority="13330" operator="containsText" text="프로젝트">
      <formula>NOT(ISERROR(SEARCH(("프로젝트"),(F48))))</formula>
    </cfRule>
    <cfRule type="containsText" dxfId="10128" priority="13329" operator="containsText" text="기타">
      <formula>NOT(ISERROR(SEARCH(("기타"),(F48))))</formula>
    </cfRule>
    <cfRule type="containsText" dxfId="10127" priority="13328" operator="containsText" text="정규교과">
      <formula>NOT(ISERROR(SEARCH(("정규교과"),(F48))))</formula>
    </cfRule>
    <cfRule type="containsText" dxfId="10126" priority="13327" operator="containsText" text="프로젝트">
      <formula>NOT(ISERROR(SEARCH(("프로젝트"),(F48))))</formula>
    </cfRule>
  </conditionalFormatting>
  <conditionalFormatting sqref="F53">
    <cfRule type="containsText" dxfId="10125" priority="13155" operator="containsText" text="기타">
      <formula>NOT(ISERROR(SEARCH(("기타"),(F53))))</formula>
    </cfRule>
    <cfRule type="containsText" dxfId="10124" priority="13154" operator="containsText" text="정규교과">
      <formula>NOT(ISERROR(SEARCH(("정규교과"),(F53))))</formula>
    </cfRule>
    <cfRule type="containsText" dxfId="10123" priority="13153" operator="containsText" text="프로젝트">
      <formula>NOT(ISERROR(SEARCH(("프로젝트"),(F53))))</formula>
    </cfRule>
    <cfRule type="containsText" dxfId="10122" priority="13152" operator="containsText" text="기타">
      <formula>NOT(ISERROR(SEARCH(("기타"),(F53))))</formula>
    </cfRule>
    <cfRule type="containsText" dxfId="10121" priority="13151" operator="containsText" text="정규교과">
      <formula>NOT(ISERROR(SEARCH(("정규교과"),(F53))))</formula>
    </cfRule>
    <cfRule type="containsText" dxfId="10120" priority="13150" operator="containsText" text="프로젝트">
      <formula>NOT(ISERROR(SEARCH(("프로젝트"),(F53))))</formula>
    </cfRule>
    <cfRule type="containsText" dxfId="10119" priority="13149" operator="containsText" text="기타">
      <formula>NOT(ISERROR(SEARCH(("기타"),(F53))))</formula>
    </cfRule>
    <cfRule type="containsText" dxfId="10118" priority="13148" operator="containsText" text="정규교과">
      <formula>NOT(ISERROR(SEARCH(("정규교과"),(F53))))</formula>
    </cfRule>
    <cfRule type="containsText" dxfId="10117" priority="13147" operator="containsText" text="프로젝트">
      <formula>NOT(ISERROR(SEARCH(("프로젝트"),(F53))))</formula>
    </cfRule>
    <cfRule type="containsText" dxfId="10116" priority="13146" operator="containsText" text="기타">
      <formula>NOT(ISERROR(SEARCH(("기타"),(F53))))</formula>
    </cfRule>
    <cfRule type="containsText" dxfId="10115" priority="13145" operator="containsText" text="정규교과">
      <formula>NOT(ISERROR(SEARCH(("정규교과"),(F53))))</formula>
    </cfRule>
    <cfRule type="containsText" dxfId="10114" priority="13144" operator="containsText" text="프로젝트">
      <formula>NOT(ISERROR(SEARCH(("프로젝트"),(F53))))</formula>
    </cfRule>
    <cfRule type="containsText" dxfId="10113" priority="13143" operator="containsText" text="기타">
      <formula>NOT(ISERROR(SEARCH(("기타"),(F53))))</formula>
    </cfRule>
    <cfRule type="containsText" dxfId="10112" priority="13142" operator="containsText" text="정규교과">
      <formula>NOT(ISERROR(SEARCH(("정규교과"),(F53))))</formula>
    </cfRule>
    <cfRule type="containsText" dxfId="10111" priority="13141" operator="containsText" text="프로젝트">
      <formula>NOT(ISERROR(SEARCH(("프로젝트"),(F53))))</formula>
    </cfRule>
    <cfRule type="containsText" dxfId="10110" priority="13179" operator="containsText" text="기타">
      <formula>NOT(ISERROR(SEARCH(("기타"),(F53))))</formula>
    </cfRule>
    <cfRule type="containsText" dxfId="10109" priority="13139" operator="containsText" text="정규교과">
      <formula>NOT(ISERROR(SEARCH(("정규교과"),(F53))))</formula>
    </cfRule>
    <cfRule type="containsText" dxfId="10108" priority="13138" operator="containsText" text="프로젝트">
      <formula>NOT(ISERROR(SEARCH(("프로젝트"),(F53))))</formula>
    </cfRule>
    <cfRule type="containsText" dxfId="10107" priority="13137" operator="containsText" text="기타">
      <formula>NOT(ISERROR(SEARCH(("기타"),(F53))))</formula>
    </cfRule>
    <cfRule type="containsText" dxfId="10106" priority="13136" operator="containsText" text="정규교과">
      <formula>NOT(ISERROR(SEARCH(("정규교과"),(F53))))</formula>
    </cfRule>
    <cfRule type="containsText" dxfId="10105" priority="13135" operator="containsText" text="프로젝트">
      <formula>NOT(ISERROR(SEARCH(("프로젝트"),(F53))))</formula>
    </cfRule>
    <cfRule type="containsText" dxfId="10104" priority="13134" operator="containsText" text="기타">
      <formula>NOT(ISERROR(SEARCH(("기타"),(F53))))</formula>
    </cfRule>
    <cfRule type="containsText" dxfId="10103" priority="13133" operator="containsText" text="정규교과">
      <formula>NOT(ISERROR(SEARCH(("정규교과"),(F53))))</formula>
    </cfRule>
    <cfRule type="containsText" dxfId="10102" priority="13132" operator="containsText" text="프로젝트">
      <formula>NOT(ISERROR(SEARCH(("프로젝트"),(F53))))</formula>
    </cfRule>
    <cfRule type="containsText" dxfId="10101" priority="13131" operator="containsText" text="기타">
      <formula>NOT(ISERROR(SEARCH(("기타"),(F53))))</formula>
    </cfRule>
    <cfRule type="containsText" dxfId="10100" priority="13130" operator="containsText" text="정규교과">
      <formula>NOT(ISERROR(SEARCH(("정규교과"),(F53))))</formula>
    </cfRule>
    <cfRule type="containsText" dxfId="10099" priority="13129" operator="containsText" text="프로젝트">
      <formula>NOT(ISERROR(SEARCH(("프로젝트"),(F53))))</formula>
    </cfRule>
    <cfRule type="containsText" dxfId="10098" priority="13128" operator="containsText" text="기타">
      <formula>NOT(ISERROR(SEARCH(("기타"),(F53))))</formula>
    </cfRule>
    <cfRule type="containsText" dxfId="10097" priority="13127" operator="containsText" text="정규교과">
      <formula>NOT(ISERROR(SEARCH(("정규교과"),(F53))))</formula>
    </cfRule>
    <cfRule type="containsText" dxfId="10096" priority="13126" operator="containsText" text="프로젝트">
      <formula>NOT(ISERROR(SEARCH(("프로젝트"),(F53))))</formula>
    </cfRule>
    <cfRule type="containsText" dxfId="10095" priority="13125" operator="containsText" text="기타">
      <formula>NOT(ISERROR(SEARCH(("기타"),(F53))))</formula>
    </cfRule>
    <cfRule type="containsText" dxfId="10094" priority="13178" operator="containsText" text="정규교과">
      <formula>NOT(ISERROR(SEARCH(("정규교과"),(F53))))</formula>
    </cfRule>
    <cfRule type="containsText" dxfId="10093" priority="13123" operator="containsText" text="프로젝트">
      <formula>NOT(ISERROR(SEARCH(("프로젝트"),(F53))))</formula>
    </cfRule>
    <cfRule type="containsText" dxfId="10092" priority="13122" operator="containsText" text="기타">
      <formula>NOT(ISERROR(SEARCH(("기타"),(F53))))</formula>
    </cfRule>
    <cfRule type="containsText" dxfId="10091" priority="13121" operator="containsText" text="정규교과">
      <formula>NOT(ISERROR(SEARCH(("정규교과"),(F53))))</formula>
    </cfRule>
    <cfRule type="containsText" dxfId="10090" priority="13120" operator="containsText" text="프로젝트">
      <formula>NOT(ISERROR(SEARCH(("프로젝트"),(F53))))</formula>
    </cfRule>
    <cfRule type="containsText" dxfId="10089" priority="13119" operator="containsText" text="기타">
      <formula>NOT(ISERROR(SEARCH(("기타"),(F53))))</formula>
    </cfRule>
    <cfRule type="containsText" dxfId="10088" priority="13118" operator="containsText" text="정규교과">
      <formula>NOT(ISERROR(SEARCH(("정규교과"),(F53))))</formula>
    </cfRule>
    <cfRule type="containsText" dxfId="10087" priority="13117" operator="containsText" text="프로젝트">
      <formula>NOT(ISERROR(SEARCH(("프로젝트"),(F53))))</formula>
    </cfRule>
    <cfRule type="containsText" dxfId="10086" priority="13116" operator="containsText" text="기타">
      <formula>NOT(ISERROR(SEARCH(("기타"),(F53))))</formula>
    </cfRule>
    <cfRule type="containsText" dxfId="10085" priority="13115" operator="containsText" text="정규교과">
      <formula>NOT(ISERROR(SEARCH(("정규교과"),(F53))))</formula>
    </cfRule>
    <cfRule type="containsText" dxfId="10084" priority="13176" operator="containsText" text="기타">
      <formula>NOT(ISERROR(SEARCH(("기타"),(F53))))</formula>
    </cfRule>
    <cfRule type="containsText" dxfId="10083" priority="13175" operator="containsText" text="정규교과">
      <formula>NOT(ISERROR(SEARCH(("정규교과"),(F53))))</formula>
    </cfRule>
    <cfRule type="containsText" dxfId="10082" priority="13174" operator="containsText" text="프로젝트">
      <formula>NOT(ISERROR(SEARCH(("프로젝트"),(F53))))</formula>
    </cfRule>
    <cfRule type="containsText" dxfId="10081" priority="13173" operator="containsText" text="기타">
      <formula>NOT(ISERROR(SEARCH(("기타"),(F53))))</formula>
    </cfRule>
    <cfRule type="containsText" dxfId="10080" priority="13172" operator="containsText" text="정규교과">
      <formula>NOT(ISERROR(SEARCH(("정규교과"),(F53))))</formula>
    </cfRule>
    <cfRule type="containsText" dxfId="10079" priority="13171" operator="containsText" text="프로젝트">
      <formula>NOT(ISERROR(SEARCH(("프로젝트"),(F53))))</formula>
    </cfRule>
    <cfRule type="containsText" dxfId="10078" priority="13124" operator="containsText" text="정규교과">
      <formula>NOT(ISERROR(SEARCH(("정규교과"),(F53))))</formula>
    </cfRule>
    <cfRule type="containsText" dxfId="10077" priority="13170" operator="containsText" text="기타">
      <formula>NOT(ISERROR(SEARCH(("기타"),(F53))))</formula>
    </cfRule>
    <cfRule type="containsText" dxfId="10076" priority="13169" operator="containsText" text="정규교과">
      <formula>NOT(ISERROR(SEARCH(("정규교과"),(F53))))</formula>
    </cfRule>
    <cfRule type="containsText" dxfId="10075" priority="13168" operator="containsText" text="프로젝트">
      <formula>NOT(ISERROR(SEARCH(("프로젝트"),(F53))))</formula>
    </cfRule>
    <cfRule type="containsText" dxfId="10074" priority="13167" operator="containsText" text="기타">
      <formula>NOT(ISERROR(SEARCH(("기타"),(F53))))</formula>
    </cfRule>
    <cfRule type="containsText" dxfId="10073" priority="13166" operator="containsText" text="정규교과">
      <formula>NOT(ISERROR(SEARCH(("정규교과"),(F53))))</formula>
    </cfRule>
    <cfRule type="containsText" dxfId="10072" priority="13165" operator="containsText" text="프로젝트">
      <formula>NOT(ISERROR(SEARCH(("프로젝트"),(F53))))</formula>
    </cfRule>
    <cfRule type="containsText" dxfId="10071" priority="13164" operator="containsText" text="기타">
      <formula>NOT(ISERROR(SEARCH(("기타"),(F53))))</formula>
    </cfRule>
    <cfRule type="containsText" dxfId="10070" priority="13163" operator="containsText" text="정규교과">
      <formula>NOT(ISERROR(SEARCH(("정규교과"),(F53))))</formula>
    </cfRule>
    <cfRule type="containsText" dxfId="10069" priority="13162" operator="containsText" text="프로젝트">
      <formula>NOT(ISERROR(SEARCH(("프로젝트"),(F53))))</formula>
    </cfRule>
    <cfRule type="containsText" dxfId="10068" priority="13161" operator="containsText" text="기타">
      <formula>NOT(ISERROR(SEARCH(("기타"),(F53))))</formula>
    </cfRule>
    <cfRule type="containsText" dxfId="10067" priority="13160" operator="containsText" text="정규교과">
      <formula>NOT(ISERROR(SEARCH(("정규교과"),(F53))))</formula>
    </cfRule>
    <cfRule type="containsText" dxfId="10066" priority="13159" operator="containsText" text="프로젝트">
      <formula>NOT(ISERROR(SEARCH(("프로젝트"),(F53))))</formula>
    </cfRule>
    <cfRule type="containsText" dxfId="10065" priority="13158" operator="containsText" text="기타">
      <formula>NOT(ISERROR(SEARCH(("기타"),(F53))))</formula>
    </cfRule>
    <cfRule type="containsText" dxfId="10064" priority="13157" operator="containsText" text="정규교과">
      <formula>NOT(ISERROR(SEARCH(("정규교과"),(F53))))</formula>
    </cfRule>
    <cfRule type="containsText" dxfId="10063" priority="13156" operator="containsText" text="프로젝트">
      <formula>NOT(ISERROR(SEARCH(("프로젝트"),(F53))))</formula>
    </cfRule>
    <cfRule type="containsText" dxfId="10062" priority="13140" operator="containsText" text="기타">
      <formula>NOT(ISERROR(SEARCH(("기타"),(F53))))</formula>
    </cfRule>
  </conditionalFormatting>
  <conditionalFormatting sqref="F57">
    <cfRule type="containsText" dxfId="10061" priority="20417" operator="containsText" text="정규교과">
      <formula>NOT(ISERROR(SEARCH(("정규교과"),(F57))))</formula>
    </cfRule>
    <cfRule type="containsText" dxfId="10060" priority="20416" operator="containsText" text="프로젝트">
      <formula>NOT(ISERROR(SEARCH(("프로젝트"),(F57))))</formula>
    </cfRule>
    <cfRule type="containsText" dxfId="10059" priority="12953" operator="containsText" text="정규교과">
      <formula>NOT(ISERROR(SEARCH(("정규교과"),(F57))))</formula>
    </cfRule>
    <cfRule type="containsText" dxfId="10058" priority="12908" operator="containsText" text="정규교과">
      <formula>NOT(ISERROR(SEARCH(("정규교과"),(F57))))</formula>
    </cfRule>
    <cfRule type="containsText" dxfId="10057" priority="12909" operator="containsText" text="기타">
      <formula>NOT(ISERROR(SEARCH(("기타"),(F57))))</formula>
    </cfRule>
    <cfRule type="containsText" dxfId="10056" priority="12910" operator="containsText" text="프로젝트">
      <formula>NOT(ISERROR(SEARCH(("프로젝트"),(F57))))</formula>
    </cfRule>
    <cfRule type="containsText" dxfId="10055" priority="12911" operator="containsText" text="정규교과">
      <formula>NOT(ISERROR(SEARCH(("정규교과"),(F57))))</formula>
    </cfRule>
    <cfRule type="containsText" dxfId="10054" priority="12912" operator="containsText" text="기타">
      <formula>NOT(ISERROR(SEARCH(("기타"),(F57))))</formula>
    </cfRule>
    <cfRule type="containsText" dxfId="10053" priority="12913" operator="containsText" text="프로젝트">
      <formula>NOT(ISERROR(SEARCH(("프로젝트"),(F57))))</formula>
    </cfRule>
    <cfRule type="containsText" dxfId="10052" priority="12914" operator="containsText" text="정규교과">
      <formula>NOT(ISERROR(SEARCH(("정규교과"),(F57))))</formula>
    </cfRule>
    <cfRule type="containsText" dxfId="10051" priority="12915" operator="containsText" text="기타">
      <formula>NOT(ISERROR(SEARCH(("기타"),(F57))))</formula>
    </cfRule>
    <cfRule type="containsText" dxfId="10050" priority="12916" operator="containsText" text="프로젝트">
      <formula>NOT(ISERROR(SEARCH(("프로젝트"),(F57))))</formula>
    </cfRule>
    <cfRule type="containsText" dxfId="10049" priority="12917" operator="containsText" text="정규교과">
      <formula>NOT(ISERROR(SEARCH(("정규교과"),(F57))))</formula>
    </cfRule>
    <cfRule type="containsText" dxfId="10048" priority="12918" operator="containsText" text="기타">
      <formula>NOT(ISERROR(SEARCH(("기타"),(F57))))</formula>
    </cfRule>
    <cfRule type="containsText" dxfId="10047" priority="12919" operator="containsText" text="프로젝트">
      <formula>NOT(ISERROR(SEARCH(("프로젝트"),(F57))))</formula>
    </cfRule>
    <cfRule type="containsText" dxfId="10046" priority="12920" operator="containsText" text="정규교과">
      <formula>NOT(ISERROR(SEARCH(("정규교과"),(F57))))</formula>
    </cfRule>
    <cfRule type="containsText" dxfId="10045" priority="12921" operator="containsText" text="기타">
      <formula>NOT(ISERROR(SEARCH(("기타"),(F57))))</formula>
    </cfRule>
    <cfRule type="containsText" dxfId="10044" priority="12922" operator="containsText" text="프로젝트">
      <formula>NOT(ISERROR(SEARCH(("프로젝트"),(F57))))</formula>
    </cfRule>
    <cfRule type="containsText" dxfId="10043" priority="12923" operator="containsText" text="정규교과">
      <formula>NOT(ISERROR(SEARCH(("정규교과"),(F57))))</formula>
    </cfRule>
    <cfRule type="containsText" dxfId="10042" priority="12924" operator="containsText" text="기타">
      <formula>NOT(ISERROR(SEARCH(("기타"),(F57))))</formula>
    </cfRule>
    <cfRule type="containsText" dxfId="10041" priority="12925" operator="containsText" text="프로젝트">
      <formula>NOT(ISERROR(SEARCH(("프로젝트"),(F57))))</formula>
    </cfRule>
    <cfRule type="containsText" dxfId="10040" priority="12926" operator="containsText" text="정규교과">
      <formula>NOT(ISERROR(SEARCH(("정규교과"),(F57))))</formula>
    </cfRule>
    <cfRule type="containsText" dxfId="10039" priority="12927" operator="containsText" text="기타">
      <formula>NOT(ISERROR(SEARCH(("기타"),(F57))))</formula>
    </cfRule>
    <cfRule type="containsText" dxfId="10038" priority="12928" operator="containsText" text="프로젝트">
      <formula>NOT(ISERROR(SEARCH(("프로젝트"),(F57))))</formula>
    </cfRule>
    <cfRule type="containsText" dxfId="10037" priority="12929" operator="containsText" text="정규교과">
      <formula>NOT(ISERROR(SEARCH(("정규교과"),(F57))))</formula>
    </cfRule>
    <cfRule type="containsText" dxfId="10036" priority="12930" operator="containsText" text="기타">
      <formula>NOT(ISERROR(SEARCH(("기타"),(F57))))</formula>
    </cfRule>
    <cfRule type="containsText" dxfId="10035" priority="12931" operator="containsText" text="프로젝트">
      <formula>NOT(ISERROR(SEARCH(("프로젝트"),(F57))))</formula>
    </cfRule>
    <cfRule type="containsText" dxfId="10034" priority="12932" operator="containsText" text="정규교과">
      <formula>NOT(ISERROR(SEARCH(("정규교과"),(F57))))</formula>
    </cfRule>
    <cfRule type="containsText" dxfId="10033" priority="12933" operator="containsText" text="기타">
      <formula>NOT(ISERROR(SEARCH(("기타"),(F57))))</formula>
    </cfRule>
    <cfRule type="containsText" dxfId="10032" priority="12934" operator="containsText" text="프로젝트">
      <formula>NOT(ISERROR(SEARCH(("프로젝트"),(F57))))</formula>
    </cfRule>
    <cfRule type="containsText" dxfId="10031" priority="12935" operator="containsText" text="정규교과">
      <formula>NOT(ISERROR(SEARCH(("정규교과"),(F57))))</formula>
    </cfRule>
    <cfRule type="containsText" dxfId="10030" priority="12936" operator="containsText" text="기타">
      <formula>NOT(ISERROR(SEARCH(("기타"),(F57))))</formula>
    </cfRule>
    <cfRule type="containsText" dxfId="10029" priority="12937" operator="containsText" text="프로젝트">
      <formula>NOT(ISERROR(SEARCH(("프로젝트"),(F57))))</formula>
    </cfRule>
    <cfRule type="containsText" dxfId="10028" priority="12938" operator="containsText" text="정규교과">
      <formula>NOT(ISERROR(SEARCH(("정규교과"),(F57))))</formula>
    </cfRule>
    <cfRule type="containsText" dxfId="10027" priority="12939" operator="containsText" text="기타">
      <formula>NOT(ISERROR(SEARCH(("기타"),(F57))))</formula>
    </cfRule>
    <cfRule type="containsText" dxfId="10026" priority="12940" operator="containsText" text="프로젝트">
      <formula>NOT(ISERROR(SEARCH(("프로젝트"),(F57))))</formula>
    </cfRule>
    <cfRule type="containsText" dxfId="10025" priority="12941" operator="containsText" text="정규교과">
      <formula>NOT(ISERROR(SEARCH(("정규교과"),(F57))))</formula>
    </cfRule>
    <cfRule type="containsText" dxfId="10024" priority="12942" operator="containsText" text="기타">
      <formula>NOT(ISERROR(SEARCH(("기타"),(F57))))</formula>
    </cfRule>
    <cfRule type="containsText" dxfId="10023" priority="12943" operator="containsText" text="프로젝트">
      <formula>NOT(ISERROR(SEARCH(("프로젝트"),(F57))))</formula>
    </cfRule>
    <cfRule type="containsText" dxfId="10022" priority="12944" operator="containsText" text="정규교과">
      <formula>NOT(ISERROR(SEARCH(("정규교과"),(F57))))</formula>
    </cfRule>
    <cfRule type="containsText" dxfId="10021" priority="12945" operator="containsText" text="기타">
      <formula>NOT(ISERROR(SEARCH(("기타"),(F57))))</formula>
    </cfRule>
    <cfRule type="containsText" dxfId="10020" priority="12946" operator="containsText" text="프로젝트">
      <formula>NOT(ISERROR(SEARCH(("프로젝트"),(F57))))</formula>
    </cfRule>
    <cfRule type="containsText" dxfId="10019" priority="12947" operator="containsText" text="정규교과">
      <formula>NOT(ISERROR(SEARCH(("정규교과"),(F57))))</formula>
    </cfRule>
    <cfRule type="containsText" dxfId="10018" priority="12948" operator="containsText" text="기타">
      <formula>NOT(ISERROR(SEARCH(("기타"),(F57))))</formula>
    </cfRule>
    <cfRule type="containsText" dxfId="10017" priority="12949" operator="containsText" text="프로젝트">
      <formula>NOT(ISERROR(SEARCH(("프로젝트"),(F57))))</formula>
    </cfRule>
    <cfRule type="containsText" dxfId="10016" priority="12950" operator="containsText" text="정규교과">
      <formula>NOT(ISERROR(SEARCH(("정규교과"),(F57))))</formula>
    </cfRule>
    <cfRule type="containsText" dxfId="10015" priority="12951" operator="containsText" text="기타">
      <formula>NOT(ISERROR(SEARCH(("기타"),(F57))))</formula>
    </cfRule>
    <cfRule type="containsText" dxfId="10014" priority="12952" operator="containsText" text="프로젝트">
      <formula>NOT(ISERROR(SEARCH(("프로젝트"),(F57))))</formula>
    </cfRule>
    <cfRule type="containsText" dxfId="10013" priority="12954" operator="containsText" text="기타">
      <formula>NOT(ISERROR(SEARCH(("기타"),(F57))))</formula>
    </cfRule>
    <cfRule type="containsText" dxfId="10012" priority="12955" operator="containsText" text="프로젝트">
      <formula>NOT(ISERROR(SEARCH(("프로젝트"),(F57))))</formula>
    </cfRule>
    <cfRule type="containsText" dxfId="10011" priority="12956" operator="containsText" text="정규교과">
      <formula>NOT(ISERROR(SEARCH(("정규교과"),(F57))))</formula>
    </cfRule>
    <cfRule type="containsText" dxfId="10010" priority="12957" operator="containsText" text="기타">
      <formula>NOT(ISERROR(SEARCH(("기타"),(F57))))</formula>
    </cfRule>
    <cfRule type="containsText" dxfId="10009" priority="12958" operator="containsText" text="프로젝트">
      <formula>NOT(ISERROR(SEARCH(("프로젝트"),(F57))))</formula>
    </cfRule>
    <cfRule type="containsText" dxfId="10008" priority="12959" operator="containsText" text="정규교과">
      <formula>NOT(ISERROR(SEARCH(("정규교과"),(F57))))</formula>
    </cfRule>
    <cfRule type="containsText" dxfId="10007" priority="12960" operator="containsText" text="기타">
      <formula>NOT(ISERROR(SEARCH(("기타"),(F57))))</formula>
    </cfRule>
    <cfRule type="containsText" dxfId="10006" priority="12961" operator="containsText" text="프로젝트">
      <formula>NOT(ISERROR(SEARCH(("프로젝트"),(F57))))</formula>
    </cfRule>
    <cfRule type="containsText" dxfId="10005" priority="12962" operator="containsText" text="정규교과">
      <formula>NOT(ISERROR(SEARCH(("정규교과"),(F57))))</formula>
    </cfRule>
    <cfRule type="containsText" dxfId="10004" priority="12963" operator="containsText" text="기타">
      <formula>NOT(ISERROR(SEARCH(("기타"),(F57))))</formula>
    </cfRule>
    <cfRule type="containsText" dxfId="10003" priority="12964" operator="containsText" text="프로젝트">
      <formula>NOT(ISERROR(SEARCH(("프로젝트"),(F57))))</formula>
    </cfRule>
    <cfRule type="containsText" dxfId="10002" priority="12965" operator="containsText" text="정규교과">
      <formula>NOT(ISERROR(SEARCH(("정규교과"),(F57))))</formula>
    </cfRule>
    <cfRule type="containsText" dxfId="10001" priority="12966" operator="containsText" text="기타">
      <formula>NOT(ISERROR(SEARCH(("기타"),(F57))))</formula>
    </cfRule>
    <cfRule type="containsText" dxfId="10000" priority="12967" operator="containsText" text="프로젝트">
      <formula>NOT(ISERROR(SEARCH(("프로젝트"),(F57))))</formula>
    </cfRule>
    <cfRule type="containsText" dxfId="9999" priority="12968" operator="containsText" text="정규교과">
      <formula>NOT(ISERROR(SEARCH(("정규교과"),(F57))))</formula>
    </cfRule>
    <cfRule type="containsText" dxfId="9998" priority="12969" operator="containsText" text="기타">
      <formula>NOT(ISERROR(SEARCH(("기타"),(F57))))</formula>
    </cfRule>
    <cfRule type="containsText" dxfId="9997" priority="12971" operator="containsText" text="정규교과">
      <formula>NOT(ISERROR(SEARCH(("정규교과"),(F57))))</formula>
    </cfRule>
    <cfRule type="containsText" dxfId="9996" priority="12972" operator="containsText" text="기타">
      <formula>NOT(ISERROR(SEARCH(("기타"),(F57))))</formula>
    </cfRule>
    <cfRule type="containsText" dxfId="9995" priority="20421" operator="containsText" text="기타">
      <formula>NOT(ISERROR(SEARCH(("기타"),(F57))))</formula>
    </cfRule>
    <cfRule type="containsText" dxfId="9994" priority="20420" operator="containsText" text="정규교과">
      <formula>NOT(ISERROR(SEARCH(("정규교과"),(F57))))</formula>
    </cfRule>
    <cfRule type="containsText" dxfId="9993" priority="20419" operator="containsText" text="프로젝트">
      <formula>NOT(ISERROR(SEARCH(("프로젝트"),(F57))))</formula>
    </cfRule>
    <cfRule type="containsText" dxfId="9992" priority="20418" operator="containsText" text="기타">
      <formula>NOT(ISERROR(SEARCH(("기타"),(F57))))</formula>
    </cfRule>
  </conditionalFormatting>
  <conditionalFormatting sqref="F61">
    <cfRule type="containsText" dxfId="9991" priority="12708" operator="containsText" text="기타">
      <formula>NOT(ISERROR(SEARCH(("기타"),(F61))))</formula>
    </cfRule>
    <cfRule type="containsText" dxfId="9990" priority="12709" operator="containsText" text="프로젝트">
      <formula>NOT(ISERROR(SEARCH(("프로젝트"),(F61))))</formula>
    </cfRule>
    <cfRule type="containsText" dxfId="9989" priority="12710" operator="containsText" text="정규교과">
      <formula>NOT(ISERROR(SEARCH(("정규교과"),(F61))))</formula>
    </cfRule>
    <cfRule type="containsText" dxfId="9988" priority="12711" operator="containsText" text="기타">
      <formula>NOT(ISERROR(SEARCH(("기타"),(F61))))</formula>
    </cfRule>
    <cfRule type="containsText" dxfId="9987" priority="12712" operator="containsText" text="프로젝트">
      <formula>NOT(ISERROR(SEARCH(("프로젝트"),(F61))))</formula>
    </cfRule>
    <cfRule type="containsText" dxfId="9986" priority="12713" operator="containsText" text="정규교과">
      <formula>NOT(ISERROR(SEARCH(("정규교과"),(F61))))</formula>
    </cfRule>
    <cfRule type="containsText" dxfId="9985" priority="12714" operator="containsText" text="기타">
      <formula>NOT(ISERROR(SEARCH(("기타"),(F61))))</formula>
    </cfRule>
    <cfRule type="containsText" dxfId="9984" priority="12715" operator="containsText" text="프로젝트">
      <formula>NOT(ISERROR(SEARCH(("프로젝트"),(F61))))</formula>
    </cfRule>
    <cfRule type="containsText" dxfId="9983" priority="12716" operator="containsText" text="정규교과">
      <formula>NOT(ISERROR(SEARCH(("정규교과"),(F61))))</formula>
    </cfRule>
    <cfRule type="containsText" dxfId="9982" priority="12717" operator="containsText" text="기타">
      <formula>NOT(ISERROR(SEARCH(("기타"),(F61))))</formula>
    </cfRule>
    <cfRule type="containsText" dxfId="9981" priority="12718" operator="containsText" text="프로젝트">
      <formula>NOT(ISERROR(SEARCH(("프로젝트"),(F61))))</formula>
    </cfRule>
    <cfRule type="containsText" dxfId="9980" priority="12719" operator="containsText" text="정규교과">
      <formula>NOT(ISERROR(SEARCH(("정규교과"),(F61))))</formula>
    </cfRule>
    <cfRule type="containsText" dxfId="9979" priority="12720" operator="containsText" text="기타">
      <formula>NOT(ISERROR(SEARCH(("기타"),(F61))))</formula>
    </cfRule>
    <cfRule type="containsText" dxfId="9978" priority="12721" operator="containsText" text="프로젝트">
      <formula>NOT(ISERROR(SEARCH(("프로젝트"),(F61))))</formula>
    </cfRule>
    <cfRule type="containsText" dxfId="9977" priority="12722" operator="containsText" text="정규교과">
      <formula>NOT(ISERROR(SEARCH(("정규교과"),(F61))))</formula>
    </cfRule>
    <cfRule type="containsText" dxfId="9976" priority="12723" operator="containsText" text="기타">
      <formula>NOT(ISERROR(SEARCH(("기타"),(F61))))</formula>
    </cfRule>
    <cfRule type="containsText" dxfId="9975" priority="12724" operator="containsText" text="프로젝트">
      <formula>NOT(ISERROR(SEARCH(("프로젝트"),(F61))))</formula>
    </cfRule>
    <cfRule type="containsText" dxfId="9974" priority="12725" operator="containsText" text="정규교과">
      <formula>NOT(ISERROR(SEARCH(("정규교과"),(F61))))</formula>
    </cfRule>
    <cfRule type="containsText" dxfId="9973" priority="12726" operator="containsText" text="기타">
      <formula>NOT(ISERROR(SEARCH(("기타"),(F61))))</formula>
    </cfRule>
    <cfRule type="containsText" dxfId="9972" priority="12727" operator="containsText" text="프로젝트">
      <formula>NOT(ISERROR(SEARCH(("프로젝트"),(F61))))</formula>
    </cfRule>
    <cfRule type="containsText" dxfId="9971" priority="12728" operator="containsText" text="정규교과">
      <formula>NOT(ISERROR(SEARCH(("정규교과"),(F61))))</formula>
    </cfRule>
    <cfRule type="containsText" dxfId="9970" priority="12729" operator="containsText" text="기타">
      <formula>NOT(ISERROR(SEARCH(("기타"),(F61))))</formula>
    </cfRule>
    <cfRule type="containsText" dxfId="9969" priority="12730" operator="containsText" text="프로젝트">
      <formula>NOT(ISERROR(SEARCH(("프로젝트"),(F61))))</formula>
    </cfRule>
    <cfRule type="containsText" dxfId="9968" priority="12731" operator="containsText" text="정규교과">
      <formula>NOT(ISERROR(SEARCH(("정규교과"),(F61))))</formula>
    </cfRule>
    <cfRule type="containsText" dxfId="9967" priority="12707" operator="containsText" text="정규교과">
      <formula>NOT(ISERROR(SEARCH(("정규교과"),(F61))))</formula>
    </cfRule>
    <cfRule type="containsText" dxfId="9966" priority="12733" operator="containsText" text="프로젝트">
      <formula>NOT(ISERROR(SEARCH(("프로젝트"),(F61))))</formula>
    </cfRule>
    <cfRule type="containsText" dxfId="9965" priority="12734" operator="containsText" text="정규교과">
      <formula>NOT(ISERROR(SEARCH(("정규교과"),(F61))))</formula>
    </cfRule>
    <cfRule type="containsText" dxfId="9964" priority="12764" operator="containsText" text="정규교과">
      <formula>NOT(ISERROR(SEARCH(("정규교과"),(F61))))</formula>
    </cfRule>
    <cfRule type="containsText" dxfId="9963" priority="12765" operator="containsText" text="기타">
      <formula>NOT(ISERROR(SEARCH(("기타"),(F61))))</formula>
    </cfRule>
    <cfRule type="containsText" dxfId="9962" priority="20428" operator="containsText" text="프로젝트">
      <formula>NOT(ISERROR(SEARCH(("프로젝트"),(F61))))</formula>
    </cfRule>
    <cfRule type="containsText" dxfId="9961" priority="20429" operator="containsText" text="정규교과">
      <formula>NOT(ISERROR(SEARCH(("정규교과"),(F61))))</formula>
    </cfRule>
    <cfRule type="containsText" dxfId="9960" priority="20430" operator="containsText" text="기타">
      <formula>NOT(ISERROR(SEARCH(("기타"),(F61))))</formula>
    </cfRule>
    <cfRule type="containsText" dxfId="9959" priority="20431" operator="containsText" text="프로젝트">
      <formula>NOT(ISERROR(SEARCH(("프로젝트"),(F61))))</formula>
    </cfRule>
    <cfRule type="containsText" dxfId="9958" priority="20432" operator="containsText" text="정규교과">
      <formula>NOT(ISERROR(SEARCH(("정규교과"),(F61))))</formula>
    </cfRule>
    <cfRule type="containsText" dxfId="9957" priority="20433" operator="containsText" text="기타">
      <formula>NOT(ISERROR(SEARCH(("기타"),(F61))))</formula>
    </cfRule>
    <cfRule type="containsText" dxfId="9956" priority="12706" operator="containsText" text="프로젝트">
      <formula>NOT(ISERROR(SEARCH(("프로젝트"),(F61))))</formula>
    </cfRule>
    <cfRule type="containsText" dxfId="9955" priority="12705" operator="containsText" text="기타">
      <formula>NOT(ISERROR(SEARCH(("기타"),(F61))))</formula>
    </cfRule>
    <cfRule type="containsText" dxfId="9954" priority="12704" operator="containsText" text="정규교과">
      <formula>NOT(ISERROR(SEARCH(("정규교과"),(F61))))</formula>
    </cfRule>
    <cfRule type="containsText" dxfId="9953" priority="12703" operator="containsText" text="프로젝트">
      <formula>NOT(ISERROR(SEARCH(("프로젝트"),(F61))))</formula>
    </cfRule>
    <cfRule type="containsText" dxfId="9952" priority="12701" operator="containsText" text="정규교과">
      <formula>NOT(ISERROR(SEARCH(("정규교과"),(F61))))</formula>
    </cfRule>
    <cfRule type="containsText" dxfId="9951" priority="12732" operator="containsText" text="기타">
      <formula>NOT(ISERROR(SEARCH(("기타"),(F61))))</formula>
    </cfRule>
    <cfRule type="containsText" dxfId="9950" priority="12702" operator="containsText" text="기타">
      <formula>NOT(ISERROR(SEARCH(("기타"),(F61))))</formula>
    </cfRule>
    <cfRule type="containsText" dxfId="9949" priority="12735" operator="containsText" text="기타">
      <formula>NOT(ISERROR(SEARCH(("기타"),(F61))))</formula>
    </cfRule>
    <cfRule type="containsText" dxfId="9948" priority="12736" operator="containsText" text="프로젝트">
      <formula>NOT(ISERROR(SEARCH(("프로젝트"),(F61))))</formula>
    </cfRule>
    <cfRule type="containsText" dxfId="9947" priority="12737" operator="containsText" text="정규교과">
      <formula>NOT(ISERROR(SEARCH(("정규교과"),(F61))))</formula>
    </cfRule>
    <cfRule type="containsText" dxfId="9946" priority="12738" operator="containsText" text="기타">
      <formula>NOT(ISERROR(SEARCH(("기타"),(F61))))</formula>
    </cfRule>
    <cfRule type="containsText" dxfId="9945" priority="12739" operator="containsText" text="프로젝트">
      <formula>NOT(ISERROR(SEARCH(("프로젝트"),(F61))))</formula>
    </cfRule>
    <cfRule type="containsText" dxfId="9944" priority="12740" operator="containsText" text="정규교과">
      <formula>NOT(ISERROR(SEARCH(("정규교과"),(F61))))</formula>
    </cfRule>
    <cfRule type="containsText" dxfId="9943" priority="12741" operator="containsText" text="기타">
      <formula>NOT(ISERROR(SEARCH(("기타"),(F61))))</formula>
    </cfRule>
    <cfRule type="containsText" dxfId="9942" priority="12742" operator="containsText" text="프로젝트">
      <formula>NOT(ISERROR(SEARCH(("프로젝트"),(F61))))</formula>
    </cfRule>
    <cfRule type="containsText" dxfId="9941" priority="12743" operator="containsText" text="정규교과">
      <formula>NOT(ISERROR(SEARCH(("정규교과"),(F61))))</formula>
    </cfRule>
    <cfRule type="containsText" dxfId="9940" priority="12744" operator="containsText" text="기타">
      <formula>NOT(ISERROR(SEARCH(("기타"),(F61))))</formula>
    </cfRule>
    <cfRule type="containsText" dxfId="9939" priority="12745" operator="containsText" text="프로젝트">
      <formula>NOT(ISERROR(SEARCH(("프로젝트"),(F61))))</formula>
    </cfRule>
    <cfRule type="containsText" dxfId="9938" priority="12746" operator="containsText" text="정규교과">
      <formula>NOT(ISERROR(SEARCH(("정규교과"),(F61))))</formula>
    </cfRule>
    <cfRule type="containsText" dxfId="9937" priority="12747" operator="containsText" text="기타">
      <formula>NOT(ISERROR(SEARCH(("기타"),(F61))))</formula>
    </cfRule>
    <cfRule type="containsText" dxfId="9936" priority="12748" operator="containsText" text="프로젝트">
      <formula>NOT(ISERROR(SEARCH(("프로젝트"),(F61))))</formula>
    </cfRule>
    <cfRule type="containsText" dxfId="9935" priority="12749" operator="containsText" text="정규교과">
      <formula>NOT(ISERROR(SEARCH(("정규교과"),(F61))))</formula>
    </cfRule>
    <cfRule type="containsText" dxfId="9934" priority="12750" operator="containsText" text="기타">
      <formula>NOT(ISERROR(SEARCH(("기타"),(F61))))</formula>
    </cfRule>
    <cfRule type="containsText" dxfId="9933" priority="12751" operator="containsText" text="프로젝트">
      <formula>NOT(ISERROR(SEARCH(("프로젝트"),(F61))))</formula>
    </cfRule>
    <cfRule type="containsText" dxfId="9932" priority="12752" operator="containsText" text="정규교과">
      <formula>NOT(ISERROR(SEARCH(("정규교과"),(F61))))</formula>
    </cfRule>
    <cfRule type="containsText" dxfId="9931" priority="12753" operator="containsText" text="기타">
      <formula>NOT(ISERROR(SEARCH(("기타"),(F61))))</formula>
    </cfRule>
    <cfRule type="containsText" dxfId="9930" priority="12754" operator="containsText" text="프로젝트">
      <formula>NOT(ISERROR(SEARCH(("프로젝트"),(F61))))</formula>
    </cfRule>
    <cfRule type="containsText" dxfId="9929" priority="12755" operator="containsText" text="정규교과">
      <formula>NOT(ISERROR(SEARCH(("정규교과"),(F61))))</formula>
    </cfRule>
    <cfRule type="containsText" dxfId="9928" priority="12756" operator="containsText" text="기타">
      <formula>NOT(ISERROR(SEARCH(("기타"),(F61))))</formula>
    </cfRule>
    <cfRule type="containsText" dxfId="9927" priority="12757" operator="containsText" text="프로젝트">
      <formula>NOT(ISERROR(SEARCH(("프로젝트"),(F61))))</formula>
    </cfRule>
    <cfRule type="containsText" dxfId="9926" priority="12758" operator="containsText" text="정규교과">
      <formula>NOT(ISERROR(SEARCH(("정규교과"),(F61))))</formula>
    </cfRule>
    <cfRule type="containsText" dxfId="9925" priority="12759" operator="containsText" text="기타">
      <formula>NOT(ISERROR(SEARCH(("기타"),(F61))))</formula>
    </cfRule>
    <cfRule type="containsText" dxfId="9924" priority="12760" operator="containsText" text="프로젝트">
      <formula>NOT(ISERROR(SEARCH(("프로젝트"),(F61))))</formula>
    </cfRule>
    <cfRule type="containsText" dxfId="9923" priority="12761" operator="containsText" text="정규교과">
      <formula>NOT(ISERROR(SEARCH(("정규교과"),(F61))))</formula>
    </cfRule>
    <cfRule type="containsText" dxfId="9922" priority="12762" operator="containsText" text="기타">
      <formula>NOT(ISERROR(SEARCH(("기타"),(F61))))</formula>
    </cfRule>
  </conditionalFormatting>
  <conditionalFormatting sqref="F65">
    <cfRule type="containsText" dxfId="9921" priority="12557" operator="containsText" text="정규교과">
      <formula>NOT(ISERROR(SEARCH(("정규교과"),(F65))))</formula>
    </cfRule>
    <cfRule type="containsText" dxfId="9920" priority="12558" operator="containsText" text="기타">
      <formula>NOT(ISERROR(SEARCH(("기타"),(F65))))</formula>
    </cfRule>
    <cfRule type="containsText" dxfId="9919" priority="12515" operator="containsText" text="정규교과">
      <formula>NOT(ISERROR(SEARCH(("정규교과"),(F65))))</formula>
    </cfRule>
    <cfRule type="containsText" dxfId="9918" priority="12516" operator="containsText" text="기타">
      <formula>NOT(ISERROR(SEARCH(("기타"),(F65))))</formula>
    </cfRule>
    <cfRule type="containsText" dxfId="9917" priority="12517" operator="containsText" text="프로젝트">
      <formula>NOT(ISERROR(SEARCH(("프로젝트"),(F65))))</formula>
    </cfRule>
    <cfRule type="containsText" dxfId="9916" priority="12518" operator="containsText" text="정규교과">
      <formula>NOT(ISERROR(SEARCH(("정규교과"),(F65))))</formula>
    </cfRule>
    <cfRule type="containsText" dxfId="9915" priority="12519" operator="containsText" text="기타">
      <formula>NOT(ISERROR(SEARCH(("기타"),(F65))))</formula>
    </cfRule>
    <cfRule type="containsText" dxfId="9914" priority="12520" operator="containsText" text="프로젝트">
      <formula>NOT(ISERROR(SEARCH(("프로젝트"),(F65))))</formula>
    </cfRule>
    <cfRule type="containsText" dxfId="9913" priority="12521" operator="containsText" text="정규교과">
      <formula>NOT(ISERROR(SEARCH(("정규교과"),(F65))))</formula>
    </cfRule>
    <cfRule type="containsText" dxfId="9912" priority="12522" operator="containsText" text="기타">
      <formula>NOT(ISERROR(SEARCH(("기타"),(F65))))</formula>
    </cfRule>
    <cfRule type="containsText" dxfId="9911" priority="12523" operator="containsText" text="프로젝트">
      <formula>NOT(ISERROR(SEARCH(("프로젝트"),(F65))))</formula>
    </cfRule>
    <cfRule type="containsText" dxfId="9910" priority="12524" operator="containsText" text="정규교과">
      <formula>NOT(ISERROR(SEARCH(("정규교과"),(F65))))</formula>
    </cfRule>
    <cfRule type="containsText" dxfId="9909" priority="12525" operator="containsText" text="기타">
      <formula>NOT(ISERROR(SEARCH(("기타"),(F65))))</formula>
    </cfRule>
    <cfRule type="containsText" dxfId="9908" priority="12526" operator="containsText" text="프로젝트">
      <formula>NOT(ISERROR(SEARCH(("프로젝트"),(F65))))</formula>
    </cfRule>
    <cfRule type="containsText" dxfId="9907" priority="12527" operator="containsText" text="정규교과">
      <formula>NOT(ISERROR(SEARCH(("정규교과"),(F65))))</formula>
    </cfRule>
    <cfRule type="containsText" dxfId="9906" priority="12528" operator="containsText" text="기타">
      <formula>NOT(ISERROR(SEARCH(("기타"),(F65))))</formula>
    </cfRule>
    <cfRule type="containsText" dxfId="9905" priority="12529" operator="containsText" text="프로젝트">
      <formula>NOT(ISERROR(SEARCH(("프로젝트"),(F65))))</formula>
    </cfRule>
    <cfRule type="containsText" dxfId="9904" priority="12530" operator="containsText" text="정규교과">
      <formula>NOT(ISERROR(SEARCH(("정규교과"),(F65))))</formula>
    </cfRule>
    <cfRule type="containsText" dxfId="9903" priority="12531" operator="containsText" text="기타">
      <formula>NOT(ISERROR(SEARCH(("기타"),(F65))))</formula>
    </cfRule>
    <cfRule type="containsText" dxfId="9902" priority="12532" operator="containsText" text="프로젝트">
      <formula>NOT(ISERROR(SEARCH(("프로젝트"),(F65))))</formula>
    </cfRule>
    <cfRule type="containsText" dxfId="9901" priority="12533" operator="containsText" text="정규교과">
      <formula>NOT(ISERROR(SEARCH(("정규교과"),(F65))))</formula>
    </cfRule>
    <cfRule type="containsText" dxfId="9900" priority="12534" operator="containsText" text="기타">
      <formula>NOT(ISERROR(SEARCH(("기타"),(F65))))</formula>
    </cfRule>
    <cfRule type="containsText" dxfId="9899" priority="12535" operator="containsText" text="프로젝트">
      <formula>NOT(ISERROR(SEARCH(("프로젝트"),(F65))))</formula>
    </cfRule>
    <cfRule type="containsText" dxfId="9898" priority="12536" operator="containsText" text="정규교과">
      <formula>NOT(ISERROR(SEARCH(("정규교과"),(F65))))</formula>
    </cfRule>
    <cfRule type="containsText" dxfId="9897" priority="12499" operator="containsText" text="프로젝트">
      <formula>NOT(ISERROR(SEARCH(("프로젝트"),(F65))))</formula>
    </cfRule>
    <cfRule type="containsText" dxfId="9896" priority="12498" operator="containsText" text="기타">
      <formula>NOT(ISERROR(SEARCH(("기타"),(F65))))</formula>
    </cfRule>
    <cfRule type="containsText" dxfId="9895" priority="12497" operator="containsText" text="정규교과">
      <formula>NOT(ISERROR(SEARCH(("정규교과"),(F65))))</formula>
    </cfRule>
    <cfRule type="containsText" dxfId="9894" priority="12496" operator="containsText" text="프로젝트">
      <formula>NOT(ISERROR(SEARCH(("프로젝트"),(F65))))</formula>
    </cfRule>
    <cfRule type="containsText" dxfId="9893" priority="12495" operator="containsText" text="기타">
      <formula>NOT(ISERROR(SEARCH(("기타"),(F65))))</formula>
    </cfRule>
    <cfRule type="containsText" dxfId="9892" priority="12494" operator="containsText" text="정규교과">
      <formula>NOT(ISERROR(SEARCH(("정규교과"),(F65))))</formula>
    </cfRule>
    <cfRule type="containsText" dxfId="9891" priority="12500" operator="containsText" text="정규교과">
      <formula>NOT(ISERROR(SEARCH(("정규교과"),(F65))))</formula>
    </cfRule>
    <cfRule type="containsText" dxfId="9890" priority="12501" operator="containsText" text="기타">
      <formula>NOT(ISERROR(SEARCH(("기타"),(F65))))</formula>
    </cfRule>
    <cfRule type="containsText" dxfId="9889" priority="12502" operator="containsText" text="프로젝트">
      <formula>NOT(ISERROR(SEARCH(("프로젝트"),(F65))))</formula>
    </cfRule>
    <cfRule type="containsText" dxfId="9888" priority="12503" operator="containsText" text="정규교과">
      <formula>NOT(ISERROR(SEARCH(("정규교과"),(F65))))</formula>
    </cfRule>
    <cfRule type="containsText" dxfId="9887" priority="12504" operator="containsText" text="기타">
      <formula>NOT(ISERROR(SEARCH(("기타"),(F65))))</formula>
    </cfRule>
    <cfRule type="containsText" dxfId="9886" priority="12505" operator="containsText" text="프로젝트">
      <formula>NOT(ISERROR(SEARCH(("프로젝트"),(F65))))</formula>
    </cfRule>
    <cfRule type="containsText" dxfId="9885" priority="12506" operator="containsText" text="정규교과">
      <formula>NOT(ISERROR(SEARCH(("정규교과"),(F65))))</formula>
    </cfRule>
    <cfRule type="containsText" dxfId="9884" priority="12507" operator="containsText" text="기타">
      <formula>NOT(ISERROR(SEARCH(("기타"),(F65))))</formula>
    </cfRule>
    <cfRule type="containsText" dxfId="9883" priority="12508" operator="containsText" text="프로젝트">
      <formula>NOT(ISERROR(SEARCH(("프로젝트"),(F65))))</formula>
    </cfRule>
    <cfRule type="containsText" dxfId="9882" priority="12509" operator="containsText" text="정규교과">
      <formula>NOT(ISERROR(SEARCH(("정규교과"),(F65))))</formula>
    </cfRule>
    <cfRule type="containsText" dxfId="9881" priority="12510" operator="containsText" text="기타">
      <formula>NOT(ISERROR(SEARCH(("기타"),(F65))))</formula>
    </cfRule>
    <cfRule type="containsText" dxfId="9880" priority="12511" operator="containsText" text="프로젝트">
      <formula>NOT(ISERROR(SEARCH(("프로젝트"),(F65))))</formula>
    </cfRule>
    <cfRule type="containsText" dxfId="9879" priority="12512" operator="containsText" text="정규교과">
      <formula>NOT(ISERROR(SEARCH(("정규교과"),(F65))))</formula>
    </cfRule>
    <cfRule type="containsText" dxfId="9878" priority="20440" operator="containsText" text="프로젝트">
      <formula>NOT(ISERROR(SEARCH(("프로젝트"),(F65))))</formula>
    </cfRule>
    <cfRule type="containsText" dxfId="9877" priority="20441" operator="containsText" text="정규교과">
      <formula>NOT(ISERROR(SEARCH(("정규교과"),(F65))))</formula>
    </cfRule>
    <cfRule type="containsText" dxfId="9876" priority="20442" operator="containsText" text="기타">
      <formula>NOT(ISERROR(SEARCH(("기타"),(F65))))</formula>
    </cfRule>
    <cfRule type="containsText" dxfId="9875" priority="20443" operator="containsText" text="프로젝트">
      <formula>NOT(ISERROR(SEARCH(("프로젝트"),(F65))))</formula>
    </cfRule>
    <cfRule type="containsText" dxfId="9874" priority="20444" operator="containsText" text="정규교과">
      <formula>NOT(ISERROR(SEARCH(("정규교과"),(F65))))</formula>
    </cfRule>
    <cfRule type="containsText" dxfId="9873" priority="20445" operator="containsText" text="기타">
      <formula>NOT(ISERROR(SEARCH(("기타"),(F65))))</formula>
    </cfRule>
    <cfRule type="containsText" dxfId="9872" priority="12513" operator="containsText" text="기타">
      <formula>NOT(ISERROR(SEARCH(("기타"),(F65))))</formula>
    </cfRule>
    <cfRule type="containsText" dxfId="9871" priority="12537" operator="containsText" text="기타">
      <formula>NOT(ISERROR(SEARCH(("기타"),(F65))))</formula>
    </cfRule>
    <cfRule type="containsText" dxfId="9870" priority="12538" operator="containsText" text="프로젝트">
      <formula>NOT(ISERROR(SEARCH(("프로젝트"),(F65))))</formula>
    </cfRule>
    <cfRule type="containsText" dxfId="9869" priority="12539" operator="containsText" text="정규교과">
      <formula>NOT(ISERROR(SEARCH(("정규교과"),(F65))))</formula>
    </cfRule>
    <cfRule type="containsText" dxfId="9868" priority="12540" operator="containsText" text="기타">
      <formula>NOT(ISERROR(SEARCH(("기타"),(F65))))</formula>
    </cfRule>
    <cfRule type="containsText" dxfId="9867" priority="12514" operator="containsText" text="프로젝트">
      <formula>NOT(ISERROR(SEARCH(("프로젝트"),(F65))))</formula>
    </cfRule>
    <cfRule type="containsText" dxfId="9866" priority="12541" operator="containsText" text="프로젝트">
      <formula>NOT(ISERROR(SEARCH(("프로젝트"),(F65))))</formula>
    </cfRule>
    <cfRule type="containsText" dxfId="9865" priority="12542" operator="containsText" text="정규교과">
      <formula>NOT(ISERROR(SEARCH(("정규교과"),(F65))))</formula>
    </cfRule>
    <cfRule type="containsText" dxfId="9864" priority="12543" operator="containsText" text="기타">
      <formula>NOT(ISERROR(SEARCH(("기타"),(F65))))</formula>
    </cfRule>
    <cfRule type="containsText" dxfId="9863" priority="12544" operator="containsText" text="프로젝트">
      <formula>NOT(ISERROR(SEARCH(("프로젝트"),(F65))))</formula>
    </cfRule>
    <cfRule type="containsText" dxfId="9862" priority="12545" operator="containsText" text="정규교과">
      <formula>NOT(ISERROR(SEARCH(("정규교과"),(F65))))</formula>
    </cfRule>
    <cfRule type="containsText" dxfId="9861" priority="12546" operator="containsText" text="기타">
      <formula>NOT(ISERROR(SEARCH(("기타"),(F65))))</formula>
    </cfRule>
    <cfRule type="containsText" dxfId="9860" priority="12547" operator="containsText" text="프로젝트">
      <formula>NOT(ISERROR(SEARCH(("프로젝트"),(F65))))</formula>
    </cfRule>
    <cfRule type="containsText" dxfId="9859" priority="12548" operator="containsText" text="정규교과">
      <formula>NOT(ISERROR(SEARCH(("정규교과"),(F65))))</formula>
    </cfRule>
    <cfRule type="containsText" dxfId="9858" priority="12549" operator="containsText" text="기타">
      <formula>NOT(ISERROR(SEARCH(("기타"),(F65))))</formula>
    </cfRule>
    <cfRule type="containsText" dxfId="9857" priority="12550" operator="containsText" text="프로젝트">
      <formula>NOT(ISERROR(SEARCH(("프로젝트"),(F65))))</formula>
    </cfRule>
    <cfRule type="containsText" dxfId="9856" priority="12551" operator="containsText" text="정규교과">
      <formula>NOT(ISERROR(SEARCH(("정규교과"),(F65))))</formula>
    </cfRule>
    <cfRule type="containsText" dxfId="9855" priority="12552" operator="containsText" text="기타">
      <formula>NOT(ISERROR(SEARCH(("기타"),(F65))))</formula>
    </cfRule>
    <cfRule type="containsText" dxfId="9854" priority="12553" operator="containsText" text="프로젝트">
      <formula>NOT(ISERROR(SEARCH(("프로젝트"),(F65))))</formula>
    </cfRule>
    <cfRule type="containsText" dxfId="9853" priority="12554" operator="containsText" text="정규교과">
      <formula>NOT(ISERROR(SEARCH(("정규교과"),(F65))))</formula>
    </cfRule>
    <cfRule type="containsText" dxfId="9852" priority="12555" operator="containsText" text="기타">
      <formula>NOT(ISERROR(SEARCH(("기타"),(F65))))</formula>
    </cfRule>
  </conditionalFormatting>
  <conditionalFormatting sqref="F69">
    <cfRule type="containsText" dxfId="9851" priority="12326" operator="containsText" text="정규교과">
      <formula>NOT(ISERROR(SEARCH(("정규교과"),(F69))))</formula>
    </cfRule>
    <cfRule type="containsText" dxfId="9850" priority="12324" operator="containsText" text="기타">
      <formula>NOT(ISERROR(SEARCH(("기타"),(F69))))</formula>
    </cfRule>
    <cfRule type="containsText" dxfId="9849" priority="12323" operator="containsText" text="정규교과">
      <formula>NOT(ISERROR(SEARCH(("정규교과"),(F69))))</formula>
    </cfRule>
    <cfRule type="containsText" dxfId="9848" priority="12309" operator="containsText" text="기타">
      <formula>NOT(ISERROR(SEARCH(("기타"),(F69))))</formula>
    </cfRule>
    <cfRule type="containsText" dxfId="9847" priority="12308" operator="containsText" text="정규교과">
      <formula>NOT(ISERROR(SEARCH(("정규교과"),(F69))))</formula>
    </cfRule>
    <cfRule type="containsText" dxfId="9846" priority="12307" operator="containsText" text="프로젝트">
      <formula>NOT(ISERROR(SEARCH(("프로젝트"),(F69))))</formula>
    </cfRule>
    <cfRule type="containsText" dxfId="9845" priority="12306" operator="containsText" text="기타">
      <formula>NOT(ISERROR(SEARCH(("기타"),(F69))))</formula>
    </cfRule>
    <cfRule type="containsText" dxfId="9844" priority="12305" operator="containsText" text="정규교과">
      <formula>NOT(ISERROR(SEARCH(("정규교과"),(F69))))</formula>
    </cfRule>
    <cfRule type="containsText" dxfId="9843" priority="12297" operator="containsText" text="기타">
      <formula>NOT(ISERROR(SEARCH(("기타"),(F69))))</formula>
    </cfRule>
    <cfRule type="containsText" dxfId="9842" priority="12296" operator="containsText" text="정규교과">
      <formula>NOT(ISERROR(SEARCH(("정규교과"),(F69))))</formula>
    </cfRule>
    <cfRule type="containsText" dxfId="9841" priority="12295" operator="containsText" text="프로젝트">
      <formula>NOT(ISERROR(SEARCH(("프로젝트"),(F69))))</formula>
    </cfRule>
    <cfRule type="containsText" dxfId="9840" priority="12294" operator="containsText" text="기타">
      <formula>NOT(ISERROR(SEARCH(("기타"),(F69))))</formula>
    </cfRule>
    <cfRule type="containsText" dxfId="9839" priority="12302" operator="containsText" text="정규교과">
      <formula>NOT(ISERROR(SEARCH(("정규교과"),(F69))))</formula>
    </cfRule>
    <cfRule type="containsText" dxfId="9838" priority="12301" operator="containsText" text="프로젝트">
      <formula>NOT(ISERROR(SEARCH(("프로젝트"),(F69))))</formula>
    </cfRule>
    <cfRule type="containsText" dxfId="9837" priority="12293" operator="containsText" text="정규교과">
      <formula>NOT(ISERROR(SEARCH(("정규교과"),(F69))))</formula>
    </cfRule>
    <cfRule type="containsText" dxfId="9836" priority="12292" operator="containsText" text="프로젝트">
      <formula>NOT(ISERROR(SEARCH(("프로젝트"),(F69))))</formula>
    </cfRule>
    <cfRule type="containsText" dxfId="9835" priority="12304" operator="containsText" text="프로젝트">
      <formula>NOT(ISERROR(SEARCH(("프로젝트"),(F69))))</formula>
    </cfRule>
    <cfRule type="containsText" dxfId="9834" priority="12298" operator="containsText" text="프로젝트">
      <formula>NOT(ISERROR(SEARCH(("프로젝트"),(F69))))</formula>
    </cfRule>
    <cfRule type="containsText" dxfId="9833" priority="12322" operator="containsText" text="프로젝트">
      <formula>NOT(ISERROR(SEARCH(("프로젝트"),(F69))))</formula>
    </cfRule>
    <cfRule type="containsText" dxfId="9832" priority="12321" operator="containsText" text="기타">
      <formula>NOT(ISERROR(SEARCH(("기타"),(F69))))</formula>
    </cfRule>
    <cfRule type="containsText" dxfId="9831" priority="20454" operator="containsText" text="기타">
      <formula>NOT(ISERROR(SEARCH(("기타"),(F69))))</formula>
    </cfRule>
    <cfRule type="containsText" dxfId="9830" priority="12320" operator="containsText" text="정규교과">
      <formula>NOT(ISERROR(SEARCH(("정규교과"),(F69))))</formula>
    </cfRule>
    <cfRule type="containsText" dxfId="9829" priority="12319" operator="containsText" text="프로젝트">
      <formula>NOT(ISERROR(SEARCH(("프로젝트"),(F69))))</formula>
    </cfRule>
    <cfRule type="containsText" dxfId="9828" priority="12318" operator="containsText" text="기타">
      <formula>NOT(ISERROR(SEARCH(("기타"),(F69))))</formula>
    </cfRule>
    <cfRule type="containsText" dxfId="9827" priority="12317" operator="containsText" text="정규교과">
      <formula>NOT(ISERROR(SEARCH(("정규교과"),(F69))))</formula>
    </cfRule>
    <cfRule type="containsText" dxfId="9826" priority="12316" operator="containsText" text="프로젝트">
      <formula>NOT(ISERROR(SEARCH(("프로젝트"),(F69))))</formula>
    </cfRule>
    <cfRule type="containsText" dxfId="9825" priority="12315" operator="containsText" text="기타">
      <formula>NOT(ISERROR(SEARCH(("기타"),(F69))))</formula>
    </cfRule>
    <cfRule type="containsText" dxfId="9824" priority="12314" operator="containsText" text="정규교과">
      <formula>NOT(ISERROR(SEARCH(("정규교과"),(F69))))</formula>
    </cfRule>
    <cfRule type="containsText" dxfId="9823" priority="12313" operator="containsText" text="프로젝트">
      <formula>NOT(ISERROR(SEARCH(("프로젝트"),(F69))))</formula>
    </cfRule>
    <cfRule type="containsText" dxfId="9822" priority="12312" operator="containsText" text="기타">
      <formula>NOT(ISERROR(SEARCH(("기타"),(F69))))</formula>
    </cfRule>
    <cfRule type="containsText" dxfId="9821" priority="12291" operator="containsText" text="기타">
      <formula>NOT(ISERROR(SEARCH(("기타"),(F69))))</formula>
    </cfRule>
    <cfRule type="containsText" dxfId="9820" priority="12290" operator="containsText" text="정규교과">
      <formula>NOT(ISERROR(SEARCH(("정규교과"),(F69))))</formula>
    </cfRule>
    <cfRule type="containsText" dxfId="9819" priority="12289" operator="containsText" text="프로젝트">
      <formula>NOT(ISERROR(SEARCH(("프로젝트"),(F69))))</formula>
    </cfRule>
    <cfRule type="containsText" dxfId="9818" priority="12288" operator="containsText" text="기타">
      <formula>NOT(ISERROR(SEARCH(("기타"),(F69))))</formula>
    </cfRule>
    <cfRule type="containsText" dxfId="9817" priority="12303" operator="containsText" text="기타">
      <formula>NOT(ISERROR(SEARCH(("기타"),(F69))))</formula>
    </cfRule>
    <cfRule type="containsText" dxfId="9816" priority="12287" operator="containsText" text="정규교과">
      <formula>NOT(ISERROR(SEARCH(("정규교과"),(F69))))</formula>
    </cfRule>
    <cfRule type="containsText" dxfId="9815" priority="12300" operator="containsText" text="기타">
      <formula>NOT(ISERROR(SEARCH(("기타"),(F69))))</formula>
    </cfRule>
    <cfRule type="containsText" dxfId="9814" priority="12299" operator="containsText" text="정규교과">
      <formula>NOT(ISERROR(SEARCH(("정규교과"),(F69))))</formula>
    </cfRule>
    <cfRule type="containsText" dxfId="9813" priority="20452" operator="containsText" text="프로젝트">
      <formula>NOT(ISERROR(SEARCH(("프로젝트"),(F69))))</formula>
    </cfRule>
    <cfRule type="containsText" dxfId="9812" priority="20453" operator="containsText" text="정규교과">
      <formula>NOT(ISERROR(SEARCH(("정규교과"),(F69))))</formula>
    </cfRule>
    <cfRule type="containsText" dxfId="9811" priority="12311" operator="containsText" text="정규교과">
      <formula>NOT(ISERROR(SEARCH(("정규교과"),(F69))))</formula>
    </cfRule>
    <cfRule type="containsText" dxfId="9810" priority="20455" operator="containsText" text="프로젝트">
      <formula>NOT(ISERROR(SEARCH(("프로젝트"),(F69))))</formula>
    </cfRule>
    <cfRule type="containsText" dxfId="9809" priority="20456" operator="containsText" text="정규교과">
      <formula>NOT(ISERROR(SEARCH(("정규교과"),(F69))))</formula>
    </cfRule>
    <cfRule type="containsText" dxfId="9808" priority="20457" operator="containsText" text="기타">
      <formula>NOT(ISERROR(SEARCH(("기타"),(F69))))</formula>
    </cfRule>
    <cfRule type="containsText" dxfId="9807" priority="12351" operator="containsText" text="기타">
      <formula>NOT(ISERROR(SEARCH(("기타"),(F69))))</formula>
    </cfRule>
    <cfRule type="containsText" dxfId="9806" priority="12350" operator="containsText" text="정규교과">
      <formula>NOT(ISERROR(SEARCH(("정규교과"),(F69))))</formula>
    </cfRule>
    <cfRule type="containsText" dxfId="9805" priority="12348" operator="containsText" text="기타">
      <formula>NOT(ISERROR(SEARCH(("기타"),(F69))))</formula>
    </cfRule>
    <cfRule type="containsText" dxfId="9804" priority="12347" operator="containsText" text="정규교과">
      <formula>NOT(ISERROR(SEARCH(("정규교과"),(F69))))</formula>
    </cfRule>
    <cfRule type="containsText" dxfId="9803" priority="12346" operator="containsText" text="프로젝트">
      <formula>NOT(ISERROR(SEARCH(("프로젝트"),(F69))))</formula>
    </cfRule>
    <cfRule type="containsText" dxfId="9802" priority="12345" operator="containsText" text="기타">
      <formula>NOT(ISERROR(SEARCH(("기타"),(F69))))</formula>
    </cfRule>
    <cfRule type="containsText" dxfId="9801" priority="12344" operator="containsText" text="정규교과">
      <formula>NOT(ISERROR(SEARCH(("정규교과"),(F69))))</formula>
    </cfRule>
    <cfRule type="containsText" dxfId="9800" priority="12343" operator="containsText" text="프로젝트">
      <formula>NOT(ISERROR(SEARCH(("프로젝트"),(F69))))</formula>
    </cfRule>
    <cfRule type="containsText" dxfId="9799" priority="12342" operator="containsText" text="기타">
      <formula>NOT(ISERROR(SEARCH(("기타"),(F69))))</formula>
    </cfRule>
    <cfRule type="containsText" dxfId="9798" priority="12341" operator="containsText" text="정규교과">
      <formula>NOT(ISERROR(SEARCH(("정규교과"),(F69))))</formula>
    </cfRule>
    <cfRule type="containsText" dxfId="9797" priority="12340" operator="containsText" text="프로젝트">
      <formula>NOT(ISERROR(SEARCH(("프로젝트"),(F69))))</formula>
    </cfRule>
    <cfRule type="containsText" dxfId="9796" priority="12339" operator="containsText" text="기타">
      <formula>NOT(ISERROR(SEARCH(("기타"),(F69))))</formula>
    </cfRule>
    <cfRule type="containsText" dxfId="9795" priority="12338" operator="containsText" text="정규교과">
      <formula>NOT(ISERROR(SEARCH(("정규교과"),(F69))))</formula>
    </cfRule>
    <cfRule type="containsText" dxfId="9794" priority="12337" operator="containsText" text="프로젝트">
      <formula>NOT(ISERROR(SEARCH(("프로젝트"),(F69))))</formula>
    </cfRule>
    <cfRule type="containsText" dxfId="9793" priority="12336" operator="containsText" text="기타">
      <formula>NOT(ISERROR(SEARCH(("기타"),(F69))))</formula>
    </cfRule>
    <cfRule type="containsText" dxfId="9792" priority="12335" operator="containsText" text="정규교과">
      <formula>NOT(ISERROR(SEARCH(("정규교과"),(F69))))</formula>
    </cfRule>
    <cfRule type="containsText" dxfId="9791" priority="12334" operator="containsText" text="프로젝트">
      <formula>NOT(ISERROR(SEARCH(("프로젝트"),(F69))))</formula>
    </cfRule>
    <cfRule type="containsText" dxfId="9790" priority="12333" operator="containsText" text="기타">
      <formula>NOT(ISERROR(SEARCH(("기타"),(F69))))</formula>
    </cfRule>
    <cfRule type="containsText" dxfId="9789" priority="12332" operator="containsText" text="정규교과">
      <formula>NOT(ISERROR(SEARCH(("정규교과"),(F69))))</formula>
    </cfRule>
    <cfRule type="containsText" dxfId="9788" priority="12331" operator="containsText" text="프로젝트">
      <formula>NOT(ISERROR(SEARCH(("프로젝트"),(F69))))</formula>
    </cfRule>
    <cfRule type="containsText" dxfId="9787" priority="12330" operator="containsText" text="기타">
      <formula>NOT(ISERROR(SEARCH(("기타"),(F69))))</formula>
    </cfRule>
    <cfRule type="containsText" dxfId="9786" priority="12329" operator="containsText" text="정규교과">
      <formula>NOT(ISERROR(SEARCH(("정규교과"),(F69))))</formula>
    </cfRule>
    <cfRule type="containsText" dxfId="9785" priority="12328" operator="containsText" text="프로젝트">
      <formula>NOT(ISERROR(SEARCH(("프로젝트"),(F69))))</formula>
    </cfRule>
    <cfRule type="containsText" dxfId="9784" priority="12327" operator="containsText" text="기타">
      <formula>NOT(ISERROR(SEARCH(("기타"),(F69))))</formula>
    </cfRule>
    <cfRule type="containsText" dxfId="9783" priority="12310" operator="containsText" text="프로젝트">
      <formula>NOT(ISERROR(SEARCH(("프로젝트"),(F69))))</formula>
    </cfRule>
    <cfRule type="containsText" dxfId="9782" priority="12325" operator="containsText" text="프로젝트">
      <formula>NOT(ISERROR(SEARCH(("프로젝트"),(F69))))</formula>
    </cfRule>
  </conditionalFormatting>
  <conditionalFormatting sqref="F110">
    <cfRule type="containsText" dxfId="9781" priority="8857" operator="containsText" text="정규교과">
      <formula>NOT(ISERROR(SEARCH(("정규교과"),(F110))))</formula>
    </cfRule>
    <cfRule type="containsText" dxfId="9780" priority="8852" operator="containsText" text="휴강">
      <formula>NOT(ISERROR(SEARCH(("휴강"),(F110))))</formula>
    </cfRule>
    <cfRule type="containsText" dxfId="9779" priority="8853" operator="containsText" text="프로젝트">
      <formula>NOT(ISERROR(SEARCH(("프로젝트"),(F110))))</formula>
    </cfRule>
    <cfRule type="containsText" dxfId="9778" priority="8854" operator="containsText" text="정규교과">
      <formula>NOT(ISERROR(SEARCH(("정규교과"),(F110))))</formula>
    </cfRule>
    <cfRule type="containsText" dxfId="9777" priority="8855" operator="containsText" text="기타">
      <formula>NOT(ISERROR(SEARCH(("기타"),(F110))))</formula>
    </cfRule>
    <cfRule type="containsText" dxfId="9776" priority="8856" operator="containsText" text="프로젝트">
      <formula>NOT(ISERROR(SEARCH(("프로젝트"),(F110))))</formula>
    </cfRule>
    <cfRule type="containsText" dxfId="9775" priority="8858" operator="containsText" text="기타">
      <formula>NOT(ISERROR(SEARCH(("기타"),(F110))))</formula>
    </cfRule>
    <cfRule type="containsText" dxfId="9774" priority="8859" operator="containsText" text="프로젝트">
      <formula>NOT(ISERROR(SEARCH(("프로젝트"),(F110))))</formula>
    </cfRule>
    <cfRule type="containsText" dxfId="9773" priority="8860" operator="containsText" text="정규교과">
      <formula>NOT(ISERROR(SEARCH(("정규교과"),(F110))))</formula>
    </cfRule>
    <cfRule type="containsText" dxfId="9772" priority="8862" operator="containsText" text="프로젝트">
      <formula>NOT(ISERROR(SEARCH(("프로젝트"),(F110))))</formula>
    </cfRule>
    <cfRule type="containsText" dxfId="9771" priority="8863" operator="containsText" text="정규교과">
      <formula>NOT(ISERROR(SEARCH(("정규교과"),(F110))))</formula>
    </cfRule>
    <cfRule type="containsText" dxfId="9770" priority="8864" operator="containsText" text="기타">
      <formula>NOT(ISERROR(SEARCH(("기타"),(F110))))</formula>
    </cfRule>
    <cfRule type="containsText" dxfId="9769" priority="8865" operator="containsText" text="프로젝트">
      <formula>NOT(ISERROR(SEARCH(("프로젝트"),(F110))))</formula>
    </cfRule>
    <cfRule type="containsText" dxfId="9768" priority="8866" operator="containsText" text="정규교과">
      <formula>NOT(ISERROR(SEARCH(("정규교과"),(F110))))</formula>
    </cfRule>
    <cfRule type="containsText" dxfId="9767" priority="8861" operator="containsText" text="기타">
      <formula>NOT(ISERROR(SEARCH(("기타"),(F110))))</formula>
    </cfRule>
    <cfRule type="containsText" dxfId="9766" priority="8867" operator="containsText" text="기타">
      <formula>NOT(ISERROR(SEARCH(("기타"),(F110))))</formula>
    </cfRule>
  </conditionalFormatting>
  <conditionalFormatting sqref="F114">
    <cfRule type="containsText" dxfId="9765" priority="8776" operator="containsText" text="프로젝트">
      <formula>NOT(ISERROR(SEARCH(("프로젝트"),(F114))))</formula>
    </cfRule>
    <cfRule type="containsText" dxfId="9764" priority="8777" operator="containsText" text="정규교과">
      <formula>NOT(ISERROR(SEARCH(("정규교과"),(F114))))</formula>
    </cfRule>
    <cfRule type="containsText" dxfId="9763" priority="8778" operator="containsText" text="기타">
      <formula>NOT(ISERROR(SEARCH(("기타"),(F114))))</formula>
    </cfRule>
    <cfRule type="containsText" dxfId="9762" priority="8782" operator="containsText" text="프로젝트">
      <formula>NOT(ISERROR(SEARCH(("프로젝트"),(F114))))</formula>
    </cfRule>
    <cfRule type="containsText" dxfId="9761" priority="8781" operator="containsText" text="기타">
      <formula>NOT(ISERROR(SEARCH(("기타"),(F114))))</formula>
    </cfRule>
    <cfRule type="containsText" dxfId="9760" priority="8780" operator="containsText" text="정규교과">
      <formula>NOT(ISERROR(SEARCH(("정규교과"),(F114))))</formula>
    </cfRule>
    <cfRule type="containsText" dxfId="9759" priority="8784" operator="containsText" text="기타">
      <formula>NOT(ISERROR(SEARCH(("기타"),(F114))))</formula>
    </cfRule>
    <cfRule type="containsText" dxfId="9758" priority="8787" operator="containsText" text="기타">
      <formula>NOT(ISERROR(SEARCH(("기타"),(F114))))</formula>
    </cfRule>
    <cfRule type="containsText" dxfId="9757" priority="8786" operator="containsText" text="정규교과">
      <formula>NOT(ISERROR(SEARCH(("정규교과"),(F114))))</formula>
    </cfRule>
    <cfRule type="containsText" dxfId="9756" priority="8785" operator="containsText" text="프로젝트">
      <formula>NOT(ISERROR(SEARCH(("프로젝트"),(F114))))</formula>
    </cfRule>
    <cfRule type="containsText" dxfId="9755" priority="8779" operator="containsText" text="프로젝트">
      <formula>NOT(ISERROR(SEARCH(("프로젝트"),(F114))))</formula>
    </cfRule>
    <cfRule type="containsText" dxfId="9754" priority="8783" operator="containsText" text="정규교과">
      <formula>NOT(ISERROR(SEARCH(("정규교과"),(F114))))</formula>
    </cfRule>
    <cfRule type="containsText" dxfId="9753" priority="8772" operator="containsText" text="휴강">
      <formula>NOT(ISERROR(SEARCH(("휴강"),(F114))))</formula>
    </cfRule>
    <cfRule type="containsText" dxfId="9752" priority="8773" operator="containsText" text="프로젝트">
      <formula>NOT(ISERROR(SEARCH(("프로젝트"),(F114))))</formula>
    </cfRule>
    <cfRule type="containsText" dxfId="9751" priority="8774" operator="containsText" text="정규교과">
      <formula>NOT(ISERROR(SEARCH(("정규교과"),(F114))))</formula>
    </cfRule>
    <cfRule type="containsText" dxfId="9750" priority="8775" operator="containsText" text="기타">
      <formula>NOT(ISERROR(SEARCH(("기타"),(F114))))</formula>
    </cfRule>
  </conditionalFormatting>
  <conditionalFormatting sqref="F118">
    <cfRule type="containsText" dxfId="9749" priority="8705" operator="containsText" text="프로젝트">
      <formula>NOT(ISERROR(SEARCH(("프로젝트"),(F118))))</formula>
    </cfRule>
    <cfRule type="containsText" dxfId="9748" priority="8706" operator="containsText" text="정규교과">
      <formula>NOT(ISERROR(SEARCH(("정규교과"),(F118))))</formula>
    </cfRule>
    <cfRule type="containsText" dxfId="9747" priority="8707" operator="containsText" text="기타">
      <formula>NOT(ISERROR(SEARCH(("기타"),(F118))))</formula>
    </cfRule>
    <cfRule type="containsText" dxfId="9746" priority="8692" operator="containsText" text="휴강">
      <formula>NOT(ISERROR(SEARCH(("휴강"),(F118))))</formula>
    </cfRule>
    <cfRule type="containsText" dxfId="9745" priority="8693" operator="containsText" text="프로젝트">
      <formula>NOT(ISERROR(SEARCH(("프로젝트"),(F118))))</formula>
    </cfRule>
    <cfRule type="containsText" dxfId="9744" priority="8694" operator="containsText" text="정규교과">
      <formula>NOT(ISERROR(SEARCH(("정규교과"),(F118))))</formula>
    </cfRule>
    <cfRule type="containsText" dxfId="9743" priority="8695" operator="containsText" text="기타">
      <formula>NOT(ISERROR(SEARCH(("기타"),(F118))))</formula>
    </cfRule>
    <cfRule type="containsText" dxfId="9742" priority="8696" operator="containsText" text="프로젝트">
      <formula>NOT(ISERROR(SEARCH(("프로젝트"),(F118))))</formula>
    </cfRule>
    <cfRule type="containsText" dxfId="9741" priority="8697" operator="containsText" text="정규교과">
      <formula>NOT(ISERROR(SEARCH(("정규교과"),(F118))))</formula>
    </cfRule>
    <cfRule type="containsText" dxfId="9740" priority="8698" operator="containsText" text="기타">
      <formula>NOT(ISERROR(SEARCH(("기타"),(F118))))</formula>
    </cfRule>
    <cfRule type="containsText" dxfId="9739" priority="8699" operator="containsText" text="프로젝트">
      <formula>NOT(ISERROR(SEARCH(("프로젝트"),(F118))))</formula>
    </cfRule>
    <cfRule type="containsText" dxfId="9738" priority="8700" operator="containsText" text="정규교과">
      <formula>NOT(ISERROR(SEARCH(("정규교과"),(F118))))</formula>
    </cfRule>
    <cfRule type="containsText" dxfId="9737" priority="8701" operator="containsText" text="기타">
      <formula>NOT(ISERROR(SEARCH(("기타"),(F118))))</formula>
    </cfRule>
    <cfRule type="containsText" dxfId="9736" priority="8702" operator="containsText" text="프로젝트">
      <formula>NOT(ISERROR(SEARCH(("프로젝트"),(F118))))</formula>
    </cfRule>
    <cfRule type="containsText" dxfId="9735" priority="8703" operator="containsText" text="정규교과">
      <formula>NOT(ISERROR(SEARCH(("정규교과"),(F118))))</formula>
    </cfRule>
    <cfRule type="containsText" dxfId="9734" priority="8704" operator="containsText" text="기타">
      <formula>NOT(ISERROR(SEARCH(("기타"),(F118))))</formula>
    </cfRule>
  </conditionalFormatting>
  <conditionalFormatting sqref="F123">
    <cfRule type="containsText" dxfId="9733" priority="8622" operator="containsText" text="프로젝트">
      <formula>NOT(ISERROR(SEARCH(("프로젝트"),(F123))))</formula>
    </cfRule>
    <cfRule type="containsText" dxfId="9732" priority="8623" operator="containsText" text="정규교과">
      <formula>NOT(ISERROR(SEARCH(("정규교과"),(F123))))</formula>
    </cfRule>
    <cfRule type="containsText" dxfId="9731" priority="8624" operator="containsText" text="기타">
      <formula>NOT(ISERROR(SEARCH(("기타"),(F123))))</formula>
    </cfRule>
    <cfRule type="containsText" dxfId="9730" priority="8625" operator="containsText" text="프로젝트">
      <formula>NOT(ISERROR(SEARCH(("프로젝트"),(F123))))</formula>
    </cfRule>
    <cfRule type="containsText" dxfId="9729" priority="8626" operator="containsText" text="정규교과">
      <formula>NOT(ISERROR(SEARCH(("정규교과"),(F123))))</formula>
    </cfRule>
    <cfRule type="containsText" dxfId="9728" priority="8627" operator="containsText" text="기타">
      <formula>NOT(ISERROR(SEARCH(("기타"),(F123))))</formula>
    </cfRule>
    <cfRule type="containsText" dxfId="9727" priority="8621" operator="containsText" text="기타">
      <formula>NOT(ISERROR(SEARCH(("기타"),(F123))))</formula>
    </cfRule>
    <cfRule type="containsText" dxfId="9726" priority="8620" operator="containsText" text="정규교과">
      <formula>NOT(ISERROR(SEARCH(("정규교과"),(F123))))</formula>
    </cfRule>
    <cfRule type="containsText" dxfId="9725" priority="8619" operator="containsText" text="프로젝트">
      <formula>NOT(ISERROR(SEARCH(("프로젝트"),(F123))))</formula>
    </cfRule>
    <cfRule type="containsText" dxfId="9724" priority="8618" operator="containsText" text="기타">
      <formula>NOT(ISERROR(SEARCH(("기타"),(F123))))</formula>
    </cfRule>
    <cfRule type="containsText" dxfId="9723" priority="8617" operator="containsText" text="정규교과">
      <formula>NOT(ISERROR(SEARCH(("정규교과"),(F123))))</formula>
    </cfRule>
    <cfRule type="containsText" dxfId="9722" priority="8616" operator="containsText" text="프로젝트">
      <formula>NOT(ISERROR(SEARCH(("프로젝트"),(F123))))</formula>
    </cfRule>
    <cfRule type="containsText" dxfId="9721" priority="8615" operator="containsText" text="기타">
      <formula>NOT(ISERROR(SEARCH(("기타"),(F123))))</formula>
    </cfRule>
    <cfRule type="containsText" dxfId="9720" priority="8614" operator="containsText" text="정규교과">
      <formula>NOT(ISERROR(SEARCH(("정규교과"),(F123))))</formula>
    </cfRule>
    <cfRule type="containsText" dxfId="9719" priority="8613" operator="containsText" text="프로젝트">
      <formula>NOT(ISERROR(SEARCH(("프로젝트"),(F123))))</formula>
    </cfRule>
    <cfRule type="containsText" dxfId="9718" priority="8612" operator="containsText" text="휴강">
      <formula>NOT(ISERROR(SEARCH(("휴강"),(F123))))</formula>
    </cfRule>
  </conditionalFormatting>
  <conditionalFormatting sqref="F127">
    <cfRule type="containsText" dxfId="9717" priority="8547" operator="containsText" text="기타">
      <formula>NOT(ISERROR(SEARCH(("기타"),(F127))))</formula>
    </cfRule>
    <cfRule type="containsText" dxfId="9716" priority="8546" operator="containsText" text="정규교과">
      <formula>NOT(ISERROR(SEARCH(("정규교과"),(F127))))</formula>
    </cfRule>
    <cfRule type="containsText" dxfId="9715" priority="8545" operator="containsText" text="프로젝트">
      <formula>NOT(ISERROR(SEARCH(("프로젝트"),(F127))))</formula>
    </cfRule>
    <cfRule type="containsText" dxfId="9714" priority="8544" operator="containsText" text="기타">
      <formula>NOT(ISERROR(SEARCH(("기타"),(F127))))</formula>
    </cfRule>
    <cfRule type="containsText" dxfId="9713" priority="8543" operator="containsText" text="정규교과">
      <formula>NOT(ISERROR(SEARCH(("정규교과"),(F127))))</formula>
    </cfRule>
    <cfRule type="containsText" dxfId="9712" priority="8542" operator="containsText" text="프로젝트">
      <formula>NOT(ISERROR(SEARCH(("프로젝트"),(F127))))</formula>
    </cfRule>
    <cfRule type="containsText" dxfId="9711" priority="8541" operator="containsText" text="기타">
      <formula>NOT(ISERROR(SEARCH(("기타"),(F127))))</formula>
    </cfRule>
    <cfRule type="containsText" dxfId="9710" priority="8540" operator="containsText" text="정규교과">
      <formula>NOT(ISERROR(SEARCH(("정규교과"),(F127))))</formula>
    </cfRule>
    <cfRule type="containsText" dxfId="9709" priority="8539" operator="containsText" text="프로젝트">
      <formula>NOT(ISERROR(SEARCH(("프로젝트"),(F127))))</formula>
    </cfRule>
    <cfRule type="containsText" dxfId="9708" priority="8538" operator="containsText" text="기타">
      <formula>NOT(ISERROR(SEARCH(("기타"),(F127))))</formula>
    </cfRule>
    <cfRule type="containsText" dxfId="9707" priority="8537" operator="containsText" text="정규교과">
      <formula>NOT(ISERROR(SEARCH(("정규교과"),(F127))))</formula>
    </cfRule>
    <cfRule type="containsText" dxfId="9706" priority="8536" operator="containsText" text="프로젝트">
      <formula>NOT(ISERROR(SEARCH(("프로젝트"),(F127))))</formula>
    </cfRule>
    <cfRule type="containsText" dxfId="9705" priority="8535" operator="containsText" text="기타">
      <formula>NOT(ISERROR(SEARCH(("기타"),(F127))))</formula>
    </cfRule>
    <cfRule type="containsText" dxfId="9704" priority="8534" operator="containsText" text="정규교과">
      <formula>NOT(ISERROR(SEARCH(("정규교과"),(F127))))</formula>
    </cfRule>
    <cfRule type="containsText" dxfId="9703" priority="8533" operator="containsText" text="프로젝트">
      <formula>NOT(ISERROR(SEARCH(("프로젝트"),(F127))))</formula>
    </cfRule>
    <cfRule type="containsText" dxfId="9702" priority="8532" operator="containsText" text="휴강">
      <formula>NOT(ISERROR(SEARCH(("휴강"),(F127))))</formula>
    </cfRule>
  </conditionalFormatting>
  <conditionalFormatting sqref="F131">
    <cfRule type="containsText" dxfId="9701" priority="8465" operator="containsText" text="프로젝트">
      <formula>NOT(ISERROR(SEARCH(("프로젝트"),(F131))))</formula>
    </cfRule>
    <cfRule type="containsText" dxfId="9700" priority="8467" operator="containsText" text="기타">
      <formula>NOT(ISERROR(SEARCH(("기타"),(F131))))</formula>
    </cfRule>
    <cfRule type="containsText" dxfId="9699" priority="8466" operator="containsText" text="정규교과">
      <formula>NOT(ISERROR(SEARCH(("정규교과"),(F131))))</formula>
    </cfRule>
    <cfRule type="containsText" dxfId="9698" priority="8464" operator="containsText" text="기타">
      <formula>NOT(ISERROR(SEARCH(("기타"),(F131))))</formula>
    </cfRule>
    <cfRule type="containsText" dxfId="9697" priority="8463" operator="containsText" text="정규교과">
      <formula>NOT(ISERROR(SEARCH(("정규교과"),(F131))))</formula>
    </cfRule>
    <cfRule type="containsText" dxfId="9696" priority="8462" operator="containsText" text="프로젝트">
      <formula>NOT(ISERROR(SEARCH(("프로젝트"),(F131))))</formula>
    </cfRule>
    <cfRule type="containsText" dxfId="9695" priority="8461" operator="containsText" text="기타">
      <formula>NOT(ISERROR(SEARCH(("기타"),(F131))))</formula>
    </cfRule>
    <cfRule type="containsText" dxfId="9694" priority="8460" operator="containsText" text="정규교과">
      <formula>NOT(ISERROR(SEARCH(("정규교과"),(F131))))</formula>
    </cfRule>
    <cfRule type="containsText" dxfId="9693" priority="8459" operator="containsText" text="프로젝트">
      <formula>NOT(ISERROR(SEARCH(("프로젝트"),(F131))))</formula>
    </cfRule>
    <cfRule type="containsText" dxfId="9692" priority="8458" operator="containsText" text="기타">
      <formula>NOT(ISERROR(SEARCH(("기타"),(F131))))</formula>
    </cfRule>
    <cfRule type="containsText" dxfId="9691" priority="8457" operator="containsText" text="정규교과">
      <formula>NOT(ISERROR(SEARCH(("정규교과"),(F131))))</formula>
    </cfRule>
    <cfRule type="containsText" dxfId="9690" priority="8456" operator="containsText" text="프로젝트">
      <formula>NOT(ISERROR(SEARCH(("프로젝트"),(F131))))</formula>
    </cfRule>
    <cfRule type="containsText" dxfId="9689" priority="8455" operator="containsText" text="기타">
      <formula>NOT(ISERROR(SEARCH(("기타"),(F131))))</formula>
    </cfRule>
    <cfRule type="containsText" dxfId="9688" priority="8454" operator="containsText" text="정규교과">
      <formula>NOT(ISERROR(SEARCH(("정규교과"),(F131))))</formula>
    </cfRule>
    <cfRule type="containsText" dxfId="9687" priority="8453" operator="containsText" text="프로젝트">
      <formula>NOT(ISERROR(SEARCH(("프로젝트"),(F131))))</formula>
    </cfRule>
    <cfRule type="containsText" dxfId="9686" priority="8452" operator="containsText" text="휴강">
      <formula>NOT(ISERROR(SEARCH(("휴강"),(F131))))</formula>
    </cfRule>
  </conditionalFormatting>
  <conditionalFormatting sqref="F135">
    <cfRule type="containsText" dxfId="9685" priority="8376" operator="containsText" text="프로젝트">
      <formula>NOT(ISERROR(SEARCH(("프로젝트"),(F135))))</formula>
    </cfRule>
    <cfRule type="containsText" dxfId="9684" priority="8375" operator="containsText" text="기타">
      <formula>NOT(ISERROR(SEARCH(("기타"),(F135))))</formula>
    </cfRule>
    <cfRule type="containsText" dxfId="9683" priority="8374" operator="containsText" text="정규교과">
      <formula>NOT(ISERROR(SEARCH(("정규교과"),(F135))))</formula>
    </cfRule>
    <cfRule type="containsText" dxfId="9682" priority="8373" operator="containsText" text="프로젝트">
      <formula>NOT(ISERROR(SEARCH(("프로젝트"),(F135))))</formula>
    </cfRule>
    <cfRule type="containsText" dxfId="9681" priority="8372" operator="containsText" text="휴강">
      <formula>NOT(ISERROR(SEARCH(("휴강"),(F135))))</formula>
    </cfRule>
    <cfRule type="containsText" dxfId="9680" priority="8383" operator="containsText" text="정규교과">
      <formula>NOT(ISERROR(SEARCH(("정규교과"),(F135))))</formula>
    </cfRule>
    <cfRule type="containsText" dxfId="9679" priority="8387" operator="containsText" text="기타">
      <formula>NOT(ISERROR(SEARCH(("기타"),(F135))))</formula>
    </cfRule>
    <cfRule type="containsText" dxfId="9678" priority="8386" operator="containsText" text="정규교과">
      <formula>NOT(ISERROR(SEARCH(("정규교과"),(F135))))</formula>
    </cfRule>
    <cfRule type="containsText" dxfId="9677" priority="8385" operator="containsText" text="프로젝트">
      <formula>NOT(ISERROR(SEARCH(("프로젝트"),(F135))))</formula>
    </cfRule>
    <cfRule type="containsText" dxfId="9676" priority="8384" operator="containsText" text="기타">
      <formula>NOT(ISERROR(SEARCH(("기타"),(F135))))</formula>
    </cfRule>
    <cfRule type="containsText" dxfId="9675" priority="8382" operator="containsText" text="프로젝트">
      <formula>NOT(ISERROR(SEARCH(("프로젝트"),(F135))))</formula>
    </cfRule>
    <cfRule type="containsText" dxfId="9674" priority="8381" operator="containsText" text="기타">
      <formula>NOT(ISERROR(SEARCH(("기타"),(F135))))</formula>
    </cfRule>
    <cfRule type="containsText" dxfId="9673" priority="8380" operator="containsText" text="정규교과">
      <formula>NOT(ISERROR(SEARCH(("정규교과"),(F135))))</formula>
    </cfRule>
    <cfRule type="containsText" dxfId="9672" priority="8379" operator="containsText" text="프로젝트">
      <formula>NOT(ISERROR(SEARCH(("프로젝트"),(F135))))</formula>
    </cfRule>
    <cfRule type="containsText" dxfId="9671" priority="8378" operator="containsText" text="기타">
      <formula>NOT(ISERROR(SEARCH(("기타"),(F135))))</formula>
    </cfRule>
    <cfRule type="containsText" dxfId="9670" priority="8377" operator="containsText" text="정규교과">
      <formula>NOT(ISERROR(SEARCH(("정규교과"),(F135))))</formula>
    </cfRule>
  </conditionalFormatting>
  <conditionalFormatting sqref="F139">
    <cfRule type="containsText" dxfId="9669" priority="8298" operator="containsText" text="기타">
      <formula>NOT(ISERROR(SEARCH(("기타"),(F139))))</formula>
    </cfRule>
    <cfRule type="containsText" dxfId="9668" priority="8307" operator="containsText" text="기타">
      <formula>NOT(ISERROR(SEARCH(("기타"),(F139))))</formula>
    </cfRule>
    <cfRule type="containsText" dxfId="9667" priority="8297" operator="containsText" text="정규교과">
      <formula>NOT(ISERROR(SEARCH(("정규교과"),(F139))))</formula>
    </cfRule>
    <cfRule type="containsText" dxfId="9666" priority="8296" operator="containsText" text="프로젝트">
      <formula>NOT(ISERROR(SEARCH(("프로젝트"),(F139))))</formula>
    </cfRule>
    <cfRule type="containsText" dxfId="9665" priority="8295" operator="containsText" text="기타">
      <formula>NOT(ISERROR(SEARCH(("기타"),(F139))))</formula>
    </cfRule>
    <cfRule type="containsText" dxfId="9664" priority="8294" operator="containsText" text="정규교과">
      <formula>NOT(ISERROR(SEARCH(("정규교과"),(F139))))</formula>
    </cfRule>
    <cfRule type="containsText" dxfId="9663" priority="8293" operator="containsText" text="프로젝트">
      <formula>NOT(ISERROR(SEARCH(("프로젝트"),(F139))))</formula>
    </cfRule>
    <cfRule type="containsText" dxfId="9662" priority="8292" operator="containsText" text="휴강">
      <formula>NOT(ISERROR(SEARCH(("휴강"),(F139))))</formula>
    </cfRule>
    <cfRule type="containsText" dxfId="9661" priority="8299" operator="containsText" text="프로젝트">
      <formula>NOT(ISERROR(SEARCH(("프로젝트"),(F139))))</formula>
    </cfRule>
    <cfRule type="containsText" dxfId="9660" priority="8306" operator="containsText" text="정규교과">
      <formula>NOT(ISERROR(SEARCH(("정규교과"),(F139))))</formula>
    </cfRule>
    <cfRule type="containsText" dxfId="9659" priority="8305" operator="containsText" text="프로젝트">
      <formula>NOT(ISERROR(SEARCH(("프로젝트"),(F139))))</formula>
    </cfRule>
    <cfRule type="containsText" dxfId="9658" priority="8304" operator="containsText" text="기타">
      <formula>NOT(ISERROR(SEARCH(("기타"),(F139))))</formula>
    </cfRule>
    <cfRule type="containsText" dxfId="9657" priority="8300" operator="containsText" text="정규교과">
      <formula>NOT(ISERROR(SEARCH(("정규교과"),(F139))))</formula>
    </cfRule>
    <cfRule type="containsText" dxfId="9656" priority="8303" operator="containsText" text="정규교과">
      <formula>NOT(ISERROR(SEARCH(("정규교과"),(F139))))</formula>
    </cfRule>
    <cfRule type="containsText" dxfId="9655" priority="8301" operator="containsText" text="기타">
      <formula>NOT(ISERROR(SEARCH(("기타"),(F139))))</formula>
    </cfRule>
    <cfRule type="containsText" dxfId="9654" priority="8302" operator="containsText" text="프로젝트">
      <formula>NOT(ISERROR(SEARCH(("프로젝트"),(F139))))</formula>
    </cfRule>
  </conditionalFormatting>
  <conditionalFormatting sqref="F145">
    <cfRule type="containsText" dxfId="9653" priority="6581" operator="containsText" text="정규교과">
      <formula>NOT(ISERROR(SEARCH(("정규교과"),(F145))))</formula>
    </cfRule>
    <cfRule type="containsText" dxfId="9652" priority="6591" operator="containsText" text="기타">
      <formula>NOT(ISERROR(SEARCH(("기타"),(F145))))</formula>
    </cfRule>
    <cfRule type="containsText" dxfId="9651" priority="6590" operator="containsText" text="정규교과">
      <formula>NOT(ISERROR(SEARCH(("정규교과"),(F145))))</formula>
    </cfRule>
    <cfRule type="containsText" dxfId="9650" priority="6589" operator="containsText" text="프로젝트">
      <formula>NOT(ISERROR(SEARCH(("프로젝트"),(F145))))</formula>
    </cfRule>
    <cfRule type="containsText" dxfId="9649" priority="6588" operator="containsText" text="기타">
      <formula>NOT(ISERROR(SEARCH(("기타"),(F145))))</formula>
    </cfRule>
    <cfRule type="containsText" dxfId="9648" priority="6587" operator="containsText" text="정규교과">
      <formula>NOT(ISERROR(SEARCH(("정규교과"),(F145))))</formula>
    </cfRule>
    <cfRule type="containsText" dxfId="9647" priority="6586" operator="containsText" text="프로젝트">
      <formula>NOT(ISERROR(SEARCH(("프로젝트"),(F145))))</formula>
    </cfRule>
    <cfRule type="containsText" dxfId="9646" priority="6585" operator="containsText" text="기타">
      <formula>NOT(ISERROR(SEARCH(("기타"),(F145))))</formula>
    </cfRule>
    <cfRule type="containsText" dxfId="9645" priority="6584" operator="containsText" text="정규교과">
      <formula>NOT(ISERROR(SEARCH(("정규교과"),(F145))))</formula>
    </cfRule>
    <cfRule type="containsText" dxfId="9644" priority="6583" operator="containsText" text="프로젝트">
      <formula>NOT(ISERROR(SEARCH(("프로젝트"),(F145))))</formula>
    </cfRule>
    <cfRule type="containsText" dxfId="9643" priority="6582" operator="containsText" text="기타">
      <formula>NOT(ISERROR(SEARCH(("기타"),(F145))))</formula>
    </cfRule>
    <cfRule type="containsText" dxfId="9642" priority="6580" operator="containsText" text="프로젝트">
      <formula>NOT(ISERROR(SEARCH(("프로젝트"),(F145))))</formula>
    </cfRule>
    <cfRule type="containsText" dxfId="9641" priority="6579" operator="containsText" text="기타">
      <formula>NOT(ISERROR(SEARCH(("기타"),(F145))))</formula>
    </cfRule>
    <cfRule type="containsText" dxfId="9640" priority="6578" operator="containsText" text="정규교과">
      <formula>NOT(ISERROR(SEARCH(("정규교과"),(F145))))</formula>
    </cfRule>
    <cfRule type="containsText" dxfId="9639" priority="6577" operator="containsText" text="프로젝트">
      <formula>NOT(ISERROR(SEARCH(("프로젝트"),(F145))))</formula>
    </cfRule>
    <cfRule type="containsText" dxfId="9638" priority="6576" operator="containsText" text="휴강">
      <formula>NOT(ISERROR(SEARCH(("휴강"),(F145))))</formula>
    </cfRule>
  </conditionalFormatting>
  <conditionalFormatting sqref="F149">
    <cfRule type="containsText" dxfId="9637" priority="6529" operator="containsText" text="프로젝트">
      <formula>NOT(ISERROR(SEARCH(("프로젝트"),(F149))))</formula>
    </cfRule>
    <cfRule type="containsText" dxfId="9636" priority="6528" operator="containsText" text="휴강">
      <formula>NOT(ISERROR(SEARCH(("휴강"),(F149))))</formula>
    </cfRule>
    <cfRule type="containsText" dxfId="9635" priority="6543" operator="containsText" text="기타">
      <formula>NOT(ISERROR(SEARCH(("기타"),(F149))))</formula>
    </cfRule>
    <cfRule type="containsText" dxfId="9634" priority="6542" operator="containsText" text="정규교과">
      <formula>NOT(ISERROR(SEARCH(("정규교과"),(F149))))</formula>
    </cfRule>
    <cfRule type="containsText" dxfId="9633" priority="6541" operator="containsText" text="프로젝트">
      <formula>NOT(ISERROR(SEARCH(("프로젝트"),(F149))))</formula>
    </cfRule>
    <cfRule type="containsText" dxfId="9632" priority="6538" operator="containsText" text="프로젝트">
      <formula>NOT(ISERROR(SEARCH(("프로젝트"),(F149))))</formula>
    </cfRule>
    <cfRule type="containsText" dxfId="9631" priority="6536" operator="containsText" text="정규교과">
      <formula>NOT(ISERROR(SEARCH(("정규교과"),(F149))))</formula>
    </cfRule>
    <cfRule type="containsText" dxfId="9630" priority="6540" operator="containsText" text="기타">
      <formula>NOT(ISERROR(SEARCH(("기타"),(F149))))</formula>
    </cfRule>
    <cfRule type="containsText" dxfId="9629" priority="6539" operator="containsText" text="정규교과">
      <formula>NOT(ISERROR(SEARCH(("정규교과"),(F149))))</formula>
    </cfRule>
    <cfRule type="containsText" dxfId="9628" priority="6537" operator="containsText" text="기타">
      <formula>NOT(ISERROR(SEARCH(("기타"),(F149))))</formula>
    </cfRule>
    <cfRule type="containsText" dxfId="9627" priority="6535" operator="containsText" text="프로젝트">
      <formula>NOT(ISERROR(SEARCH(("프로젝트"),(F149))))</formula>
    </cfRule>
    <cfRule type="containsText" dxfId="9626" priority="6534" operator="containsText" text="기타">
      <formula>NOT(ISERROR(SEARCH(("기타"),(F149))))</formula>
    </cfRule>
    <cfRule type="containsText" dxfId="9625" priority="6533" operator="containsText" text="정규교과">
      <formula>NOT(ISERROR(SEARCH(("정규교과"),(F149))))</formula>
    </cfRule>
    <cfRule type="containsText" dxfId="9624" priority="6532" operator="containsText" text="프로젝트">
      <formula>NOT(ISERROR(SEARCH(("프로젝트"),(F149))))</formula>
    </cfRule>
    <cfRule type="containsText" dxfId="9623" priority="6531" operator="containsText" text="기타">
      <formula>NOT(ISERROR(SEARCH(("기타"),(F149))))</formula>
    </cfRule>
    <cfRule type="containsText" dxfId="9622" priority="6530" operator="containsText" text="정규교과">
      <formula>NOT(ISERROR(SEARCH(("정규교과"),(F149))))</formula>
    </cfRule>
  </conditionalFormatting>
  <conditionalFormatting sqref="F153">
    <cfRule type="containsText" dxfId="9621" priority="6483" operator="containsText" text="기타">
      <formula>NOT(ISERROR(SEARCH(("기타"),(F153))))</formula>
    </cfRule>
    <cfRule type="containsText" dxfId="9620" priority="6482" operator="containsText" text="정규교과">
      <formula>NOT(ISERROR(SEARCH(("정규교과"),(F153))))</formula>
    </cfRule>
    <cfRule type="containsText" dxfId="9619" priority="6481" operator="containsText" text="프로젝트">
      <formula>NOT(ISERROR(SEARCH(("프로젝트"),(F153))))</formula>
    </cfRule>
    <cfRule type="containsText" dxfId="9618" priority="6480" operator="containsText" text="휴강">
      <formula>NOT(ISERROR(SEARCH(("휴강"),(F153))))</formula>
    </cfRule>
    <cfRule type="containsText" dxfId="9617" priority="6495" operator="containsText" text="기타">
      <formula>NOT(ISERROR(SEARCH(("기타"),(F153))))</formula>
    </cfRule>
    <cfRule type="containsText" dxfId="9616" priority="6489" operator="containsText" text="기타">
      <formula>NOT(ISERROR(SEARCH(("기타"),(F153))))</formula>
    </cfRule>
    <cfRule type="containsText" dxfId="9615" priority="6494" operator="containsText" text="정규교과">
      <formula>NOT(ISERROR(SEARCH(("정규교과"),(F153))))</formula>
    </cfRule>
    <cfRule type="containsText" dxfId="9614" priority="6490" operator="containsText" text="프로젝트">
      <formula>NOT(ISERROR(SEARCH(("프로젝트"),(F153))))</formula>
    </cfRule>
    <cfRule type="containsText" dxfId="9613" priority="6488" operator="containsText" text="정규교과">
      <formula>NOT(ISERROR(SEARCH(("정규교과"),(F153))))</formula>
    </cfRule>
    <cfRule type="containsText" dxfId="9612" priority="6491" operator="containsText" text="정규교과">
      <formula>NOT(ISERROR(SEARCH(("정규교과"),(F153))))</formula>
    </cfRule>
    <cfRule type="containsText" dxfId="9611" priority="6492" operator="containsText" text="기타">
      <formula>NOT(ISERROR(SEARCH(("기타"),(F153))))</formula>
    </cfRule>
    <cfRule type="containsText" dxfId="9610" priority="6487" operator="containsText" text="프로젝트">
      <formula>NOT(ISERROR(SEARCH(("프로젝트"),(F153))))</formula>
    </cfRule>
    <cfRule type="containsText" dxfId="9609" priority="6486" operator="containsText" text="기타">
      <formula>NOT(ISERROR(SEARCH(("기타"),(F153))))</formula>
    </cfRule>
    <cfRule type="containsText" dxfId="9608" priority="6485" operator="containsText" text="정규교과">
      <formula>NOT(ISERROR(SEARCH(("정규교과"),(F153))))</formula>
    </cfRule>
    <cfRule type="containsText" dxfId="9607" priority="6493" operator="containsText" text="프로젝트">
      <formula>NOT(ISERROR(SEARCH(("프로젝트"),(F153))))</formula>
    </cfRule>
    <cfRule type="containsText" dxfId="9606" priority="6484" operator="containsText" text="프로젝트">
      <formula>NOT(ISERROR(SEARCH(("프로젝트"),(F153))))</formula>
    </cfRule>
  </conditionalFormatting>
  <conditionalFormatting sqref="F158">
    <cfRule type="containsText" dxfId="9605" priority="6442" operator="containsText" text="프로젝트">
      <formula>NOT(ISERROR(SEARCH(("프로젝트"),(F158))))</formula>
    </cfRule>
    <cfRule type="containsText" dxfId="9604" priority="6433" operator="containsText" text="프로젝트">
      <formula>NOT(ISERROR(SEARCH(("프로젝트"),(F158))))</formula>
    </cfRule>
    <cfRule type="containsText" dxfId="9603" priority="6441" operator="containsText" text="기타">
      <formula>NOT(ISERROR(SEARCH(("기타"),(F158))))</formula>
    </cfRule>
    <cfRule type="containsText" dxfId="9602" priority="6447" operator="containsText" text="기타">
      <formula>NOT(ISERROR(SEARCH(("기타"),(F158))))</formula>
    </cfRule>
    <cfRule type="containsText" dxfId="9601" priority="6446" operator="containsText" text="정규교과">
      <formula>NOT(ISERROR(SEARCH(("정규교과"),(F158))))</formula>
    </cfRule>
    <cfRule type="containsText" dxfId="9600" priority="6445" operator="containsText" text="프로젝트">
      <formula>NOT(ISERROR(SEARCH(("프로젝트"),(F158))))</formula>
    </cfRule>
    <cfRule type="containsText" dxfId="9599" priority="6444" operator="containsText" text="기타">
      <formula>NOT(ISERROR(SEARCH(("기타"),(F158))))</formula>
    </cfRule>
    <cfRule type="containsText" dxfId="9598" priority="6440" operator="containsText" text="정규교과">
      <formula>NOT(ISERROR(SEARCH(("정규교과"),(F158))))</formula>
    </cfRule>
    <cfRule type="containsText" dxfId="9597" priority="6432" operator="containsText" text="휴강">
      <formula>NOT(ISERROR(SEARCH(("휴강"),(F158))))</formula>
    </cfRule>
    <cfRule type="containsText" dxfId="9596" priority="6439" operator="containsText" text="프로젝트">
      <formula>NOT(ISERROR(SEARCH(("프로젝트"),(F158))))</formula>
    </cfRule>
    <cfRule type="containsText" dxfId="9595" priority="6438" operator="containsText" text="기타">
      <formula>NOT(ISERROR(SEARCH(("기타"),(F158))))</formula>
    </cfRule>
    <cfRule type="containsText" dxfId="9594" priority="6437" operator="containsText" text="정규교과">
      <formula>NOT(ISERROR(SEARCH(("정규교과"),(F158))))</formula>
    </cfRule>
    <cfRule type="containsText" dxfId="9593" priority="6436" operator="containsText" text="프로젝트">
      <formula>NOT(ISERROR(SEARCH(("프로젝트"),(F158))))</formula>
    </cfRule>
    <cfRule type="containsText" dxfId="9592" priority="6435" operator="containsText" text="기타">
      <formula>NOT(ISERROR(SEARCH(("기타"),(F158))))</formula>
    </cfRule>
    <cfRule type="containsText" dxfId="9591" priority="6434" operator="containsText" text="정규교과">
      <formula>NOT(ISERROR(SEARCH(("정규교과"),(F158))))</formula>
    </cfRule>
    <cfRule type="containsText" dxfId="9590" priority="6443" operator="containsText" text="정규교과">
      <formula>NOT(ISERROR(SEARCH(("정규교과"),(F158))))</formula>
    </cfRule>
  </conditionalFormatting>
  <conditionalFormatting sqref="F162">
    <cfRule type="containsText" dxfId="9589" priority="6386" operator="containsText" text="정규교과">
      <formula>NOT(ISERROR(SEARCH(("정규교과"),(F162))))</formula>
    </cfRule>
    <cfRule type="containsText" dxfId="9588" priority="6387" operator="containsText" text="기타">
      <formula>NOT(ISERROR(SEARCH(("기타"),(F162))))</formula>
    </cfRule>
    <cfRule type="containsText" dxfId="9587" priority="6384" operator="containsText" text="휴강">
      <formula>NOT(ISERROR(SEARCH(("휴강"),(F162))))</formula>
    </cfRule>
    <cfRule type="containsText" dxfId="9586" priority="6389" operator="containsText" text="정규교과">
      <formula>NOT(ISERROR(SEARCH(("정규교과"),(F162))))</formula>
    </cfRule>
    <cfRule type="containsText" dxfId="9585" priority="6390" operator="containsText" text="기타">
      <formula>NOT(ISERROR(SEARCH(("기타"),(F162))))</formula>
    </cfRule>
    <cfRule type="containsText" dxfId="9584" priority="6391" operator="containsText" text="프로젝트">
      <formula>NOT(ISERROR(SEARCH(("프로젝트"),(F162))))</formula>
    </cfRule>
    <cfRule type="containsText" dxfId="9583" priority="6392" operator="containsText" text="정규교과">
      <formula>NOT(ISERROR(SEARCH(("정규교과"),(F162))))</formula>
    </cfRule>
    <cfRule type="containsText" dxfId="9582" priority="6393" operator="containsText" text="기타">
      <formula>NOT(ISERROR(SEARCH(("기타"),(F162))))</formula>
    </cfRule>
    <cfRule type="containsText" dxfId="9581" priority="6394" operator="containsText" text="프로젝트">
      <formula>NOT(ISERROR(SEARCH(("프로젝트"),(F162))))</formula>
    </cfRule>
    <cfRule type="containsText" dxfId="9580" priority="6395" operator="containsText" text="정규교과">
      <formula>NOT(ISERROR(SEARCH(("정규교과"),(F162))))</formula>
    </cfRule>
    <cfRule type="containsText" dxfId="9579" priority="6385" operator="containsText" text="프로젝트">
      <formula>NOT(ISERROR(SEARCH(("프로젝트"),(F162))))</formula>
    </cfRule>
    <cfRule type="containsText" dxfId="9578" priority="6396" operator="containsText" text="기타">
      <formula>NOT(ISERROR(SEARCH(("기타"),(F162))))</formula>
    </cfRule>
    <cfRule type="containsText" dxfId="9577" priority="6397" operator="containsText" text="프로젝트">
      <formula>NOT(ISERROR(SEARCH(("프로젝트"),(F162))))</formula>
    </cfRule>
    <cfRule type="containsText" dxfId="9576" priority="6398" operator="containsText" text="정규교과">
      <formula>NOT(ISERROR(SEARCH(("정규교과"),(F162))))</formula>
    </cfRule>
    <cfRule type="containsText" dxfId="9575" priority="6399" operator="containsText" text="기타">
      <formula>NOT(ISERROR(SEARCH(("기타"),(F162))))</formula>
    </cfRule>
    <cfRule type="containsText" dxfId="9574" priority="6388" operator="containsText" text="프로젝트">
      <formula>NOT(ISERROR(SEARCH(("프로젝트"),(F162))))</formula>
    </cfRule>
  </conditionalFormatting>
  <conditionalFormatting sqref="F166">
    <cfRule type="containsText" dxfId="9573" priority="6351" operator="containsText" text="기타">
      <formula>NOT(ISERROR(SEARCH(("기타"),(F166))))</formula>
    </cfRule>
    <cfRule type="containsText" dxfId="9572" priority="6338" operator="containsText" text="정규교과">
      <formula>NOT(ISERROR(SEARCH(("정규교과"),(F166))))</formula>
    </cfRule>
    <cfRule type="containsText" dxfId="9571" priority="6336" operator="containsText" text="휴강">
      <formula>NOT(ISERROR(SEARCH(("휴강"),(F166))))</formula>
    </cfRule>
    <cfRule type="containsText" dxfId="9570" priority="6337" operator="containsText" text="프로젝트">
      <formula>NOT(ISERROR(SEARCH(("프로젝트"),(F166))))</formula>
    </cfRule>
    <cfRule type="containsText" dxfId="9569" priority="6339" operator="containsText" text="기타">
      <formula>NOT(ISERROR(SEARCH(("기타"),(F166))))</formula>
    </cfRule>
    <cfRule type="containsText" dxfId="9568" priority="6340" operator="containsText" text="프로젝트">
      <formula>NOT(ISERROR(SEARCH(("프로젝트"),(F166))))</formula>
    </cfRule>
    <cfRule type="containsText" dxfId="9567" priority="6341" operator="containsText" text="정규교과">
      <formula>NOT(ISERROR(SEARCH(("정규교과"),(F166))))</formula>
    </cfRule>
    <cfRule type="containsText" dxfId="9566" priority="6342" operator="containsText" text="기타">
      <formula>NOT(ISERROR(SEARCH(("기타"),(F166))))</formula>
    </cfRule>
    <cfRule type="containsText" dxfId="9565" priority="6343" operator="containsText" text="프로젝트">
      <formula>NOT(ISERROR(SEARCH(("프로젝트"),(F166))))</formula>
    </cfRule>
    <cfRule type="containsText" dxfId="9564" priority="6344" operator="containsText" text="정규교과">
      <formula>NOT(ISERROR(SEARCH(("정규교과"),(F166))))</formula>
    </cfRule>
    <cfRule type="containsText" dxfId="9563" priority="6345" operator="containsText" text="기타">
      <formula>NOT(ISERROR(SEARCH(("기타"),(F166))))</formula>
    </cfRule>
    <cfRule type="containsText" dxfId="9562" priority="6346" operator="containsText" text="프로젝트">
      <formula>NOT(ISERROR(SEARCH(("프로젝트"),(F166))))</formula>
    </cfRule>
    <cfRule type="containsText" dxfId="9561" priority="6347" operator="containsText" text="정규교과">
      <formula>NOT(ISERROR(SEARCH(("정규교과"),(F166))))</formula>
    </cfRule>
    <cfRule type="containsText" dxfId="9560" priority="6348" operator="containsText" text="기타">
      <formula>NOT(ISERROR(SEARCH(("기타"),(F166))))</formula>
    </cfRule>
    <cfRule type="containsText" dxfId="9559" priority="6349" operator="containsText" text="프로젝트">
      <formula>NOT(ISERROR(SEARCH(("프로젝트"),(F166))))</formula>
    </cfRule>
    <cfRule type="containsText" dxfId="9558" priority="6350" operator="containsText" text="정규교과">
      <formula>NOT(ISERROR(SEARCH(("정규교과"),(F166))))</formula>
    </cfRule>
  </conditionalFormatting>
  <conditionalFormatting sqref="F170">
    <cfRule type="containsText" dxfId="9557" priority="6299" operator="containsText" text="정규교과">
      <formula>NOT(ISERROR(SEARCH(("정규교과"),(F170))))</formula>
    </cfRule>
    <cfRule type="containsText" dxfId="9556" priority="6303" operator="containsText" text="기타">
      <formula>NOT(ISERROR(SEARCH(("기타"),(F170))))</formula>
    </cfRule>
    <cfRule type="containsText" dxfId="9555" priority="6293" operator="containsText" text="정규교과">
      <formula>NOT(ISERROR(SEARCH(("정규교과"),(F170))))</formula>
    </cfRule>
    <cfRule type="containsText" dxfId="9554" priority="6294" operator="containsText" text="기타">
      <formula>NOT(ISERROR(SEARCH(("기타"),(F170))))</formula>
    </cfRule>
    <cfRule type="containsText" dxfId="9553" priority="6297" operator="containsText" text="기타">
      <formula>NOT(ISERROR(SEARCH(("기타"),(F170))))</formula>
    </cfRule>
    <cfRule type="containsText" dxfId="9552" priority="6298" operator="containsText" text="프로젝트">
      <formula>NOT(ISERROR(SEARCH(("프로젝트"),(F170))))</formula>
    </cfRule>
    <cfRule type="containsText" dxfId="9551" priority="6296" operator="containsText" text="정규교과">
      <formula>NOT(ISERROR(SEARCH(("정규교과"),(F170))))</formula>
    </cfRule>
    <cfRule type="containsText" dxfId="9550" priority="6300" operator="containsText" text="기타">
      <formula>NOT(ISERROR(SEARCH(("기타"),(F170))))</formula>
    </cfRule>
    <cfRule type="containsText" dxfId="9549" priority="6301" operator="containsText" text="프로젝트">
      <formula>NOT(ISERROR(SEARCH(("프로젝트"),(F170))))</formula>
    </cfRule>
    <cfRule type="containsText" dxfId="9548" priority="6291" operator="containsText" text="기타">
      <formula>NOT(ISERROR(SEARCH(("기타"),(F170))))</formula>
    </cfRule>
    <cfRule type="containsText" dxfId="9547" priority="6302" operator="containsText" text="정규교과">
      <formula>NOT(ISERROR(SEARCH(("정규교과"),(F170))))</formula>
    </cfRule>
    <cfRule type="containsText" dxfId="9546" priority="6295" operator="containsText" text="프로젝트">
      <formula>NOT(ISERROR(SEARCH(("프로젝트"),(F170))))</formula>
    </cfRule>
    <cfRule type="containsText" dxfId="9545" priority="6288" operator="containsText" text="휴강">
      <formula>NOT(ISERROR(SEARCH(("휴강"),(F170))))</formula>
    </cfRule>
    <cfRule type="containsText" dxfId="9544" priority="6289" operator="containsText" text="프로젝트">
      <formula>NOT(ISERROR(SEARCH(("프로젝트"),(F170))))</formula>
    </cfRule>
    <cfRule type="containsText" dxfId="9543" priority="6290" operator="containsText" text="정규교과">
      <formula>NOT(ISERROR(SEARCH(("정규교과"),(F170))))</formula>
    </cfRule>
    <cfRule type="containsText" dxfId="9542" priority="6292" operator="containsText" text="프로젝트">
      <formula>NOT(ISERROR(SEARCH(("프로젝트"),(F170))))</formula>
    </cfRule>
  </conditionalFormatting>
  <conditionalFormatting sqref="F174">
    <cfRule type="containsText" dxfId="9541" priority="6244" operator="containsText" text="프로젝트">
      <formula>NOT(ISERROR(SEARCH(("프로젝트"),(F174))))</formula>
    </cfRule>
    <cfRule type="containsText" dxfId="9540" priority="6250" operator="containsText" text="프로젝트">
      <formula>NOT(ISERROR(SEARCH(("프로젝트"),(F174))))</formula>
    </cfRule>
    <cfRule type="containsText" dxfId="9539" priority="6249" operator="containsText" text="기타">
      <formula>NOT(ISERROR(SEARCH(("기타"),(F174))))</formula>
    </cfRule>
    <cfRule type="containsText" dxfId="9538" priority="6248" operator="containsText" text="정규교과">
      <formula>NOT(ISERROR(SEARCH(("정규교과"),(F174))))</formula>
    </cfRule>
    <cfRule type="containsText" dxfId="9537" priority="6253" operator="containsText" text="프로젝트">
      <formula>NOT(ISERROR(SEARCH(("프로젝트"),(F174))))</formula>
    </cfRule>
    <cfRule type="containsText" dxfId="9536" priority="6245" operator="containsText" text="정규교과">
      <formula>NOT(ISERROR(SEARCH(("정규교과"),(F174))))</formula>
    </cfRule>
    <cfRule type="containsText" dxfId="9535" priority="6254" operator="containsText" text="정규교과">
      <formula>NOT(ISERROR(SEARCH(("정규교과"),(F174))))</formula>
    </cfRule>
    <cfRule type="containsText" dxfId="9534" priority="6247" operator="containsText" text="프로젝트">
      <formula>NOT(ISERROR(SEARCH(("프로젝트"),(F174))))</formula>
    </cfRule>
    <cfRule type="containsText" dxfId="9533" priority="6246" operator="containsText" text="기타">
      <formula>NOT(ISERROR(SEARCH(("기타"),(F174))))</formula>
    </cfRule>
    <cfRule type="containsText" dxfId="9532" priority="6243" operator="containsText" text="기타">
      <formula>NOT(ISERROR(SEARCH(("기타"),(F174))))</formula>
    </cfRule>
    <cfRule type="containsText" dxfId="9531" priority="6255" operator="containsText" text="기타">
      <formula>NOT(ISERROR(SEARCH(("기타"),(F174))))</formula>
    </cfRule>
    <cfRule type="containsText" dxfId="9530" priority="6240" operator="containsText" text="휴강">
      <formula>NOT(ISERROR(SEARCH(("휴강"),(F174))))</formula>
    </cfRule>
    <cfRule type="containsText" dxfId="9529" priority="6241" operator="containsText" text="프로젝트">
      <formula>NOT(ISERROR(SEARCH(("프로젝트"),(F174))))</formula>
    </cfRule>
    <cfRule type="containsText" dxfId="9528" priority="6242" operator="containsText" text="정규교과">
      <formula>NOT(ISERROR(SEARCH(("정규교과"),(F174))))</formula>
    </cfRule>
    <cfRule type="containsText" dxfId="9527" priority="6252" operator="containsText" text="기타">
      <formula>NOT(ISERROR(SEARCH(("기타"),(F174))))</formula>
    </cfRule>
    <cfRule type="containsText" dxfId="9526" priority="6251" operator="containsText" text="정규교과">
      <formula>NOT(ISERROR(SEARCH(("정규교과"),(F174))))</formula>
    </cfRule>
  </conditionalFormatting>
  <conditionalFormatting sqref="F180">
    <cfRule type="containsText" dxfId="9525" priority="5807" operator="containsText" text="기타">
      <formula>NOT(ISERROR(SEARCH(("기타"),(F180))))</formula>
    </cfRule>
    <cfRule type="containsText" dxfId="9524" priority="5806" operator="containsText" text="정규교과">
      <formula>NOT(ISERROR(SEARCH(("정규교과"),(F180))))</formula>
    </cfRule>
    <cfRule type="containsText" dxfId="9523" priority="5805" operator="containsText" text="프로젝트">
      <formula>NOT(ISERROR(SEARCH(("프로젝트"),(F180))))</formula>
    </cfRule>
    <cfRule type="containsText" dxfId="9522" priority="5804" operator="containsText" text="기타">
      <formula>NOT(ISERROR(SEARCH(("기타"),(F180))))</formula>
    </cfRule>
    <cfRule type="containsText" dxfId="9521" priority="5798" operator="containsText" text="기타">
      <formula>NOT(ISERROR(SEARCH(("기타"),(F180))))</formula>
    </cfRule>
    <cfRule type="containsText" dxfId="9520" priority="5796" operator="containsText" text="프로젝트">
      <formula>NOT(ISERROR(SEARCH(("프로젝트"),(F180))))</formula>
    </cfRule>
    <cfRule type="containsText" dxfId="9519" priority="5799" operator="containsText" text="프로젝트">
      <formula>NOT(ISERROR(SEARCH(("프로젝트"),(F180))))</formula>
    </cfRule>
    <cfRule type="containsText" dxfId="9518" priority="5797" operator="containsText" text="정규교과">
      <formula>NOT(ISERROR(SEARCH(("정규교과"),(F180))))</formula>
    </cfRule>
    <cfRule type="containsText" dxfId="9517" priority="5795" operator="containsText" text="기타">
      <formula>NOT(ISERROR(SEARCH(("기타"),(F180))))</formula>
    </cfRule>
    <cfRule type="containsText" dxfId="9516" priority="5800" operator="containsText" text="정규교과">
      <formula>NOT(ISERROR(SEARCH(("정규교과"),(F180))))</formula>
    </cfRule>
    <cfRule type="containsText" dxfId="9515" priority="5794" operator="containsText" text="정규교과">
      <formula>NOT(ISERROR(SEARCH(("정규교과"),(F180))))</formula>
    </cfRule>
    <cfRule type="containsText" dxfId="9514" priority="5793" operator="containsText" text="프로젝트">
      <formula>NOT(ISERROR(SEARCH(("프로젝트"),(F180))))</formula>
    </cfRule>
    <cfRule type="containsText" dxfId="9513" priority="5792" operator="containsText" text="휴강">
      <formula>NOT(ISERROR(SEARCH(("휴강"),(F180))))</formula>
    </cfRule>
    <cfRule type="containsText" dxfId="9512" priority="5801" operator="containsText" text="기타">
      <formula>NOT(ISERROR(SEARCH(("기타"),(F180))))</formula>
    </cfRule>
    <cfRule type="containsText" dxfId="9511" priority="5802" operator="containsText" text="프로젝트">
      <formula>NOT(ISERROR(SEARCH(("프로젝트"),(F180))))</formula>
    </cfRule>
    <cfRule type="containsText" dxfId="9510" priority="5803" operator="containsText" text="정규교과">
      <formula>NOT(ISERROR(SEARCH(("정규교과"),(F180))))</formula>
    </cfRule>
  </conditionalFormatting>
  <conditionalFormatting sqref="F219">
    <cfRule type="containsText" dxfId="9509" priority="4767" operator="containsText" text="정규교과">
      <formula>NOT(ISERROR(SEARCH(("정규교과"),(F219))))</formula>
    </cfRule>
    <cfRule type="containsText" dxfId="9508" priority="4766" operator="containsText" text="프로젝트">
      <formula>NOT(ISERROR(SEARCH(("프로젝트"),(F219))))</formula>
    </cfRule>
    <cfRule type="containsText" dxfId="9507" priority="4765" operator="containsText" text="기타">
      <formula>NOT(ISERROR(SEARCH(("기타"),(F219))))</formula>
    </cfRule>
    <cfRule type="containsText" dxfId="9506" priority="4764" operator="containsText" text="정규교과">
      <formula>NOT(ISERROR(SEARCH(("정규교과"),(F219))))</formula>
    </cfRule>
    <cfRule type="containsText" dxfId="9505" priority="4763" operator="containsText" text="프로젝트">
      <formula>NOT(ISERROR(SEARCH(("프로젝트"),(F219))))</formula>
    </cfRule>
    <cfRule type="containsText" dxfId="9504" priority="4762" operator="containsText" text="기타">
      <formula>NOT(ISERROR(SEARCH(("기타"),(F219))))</formula>
    </cfRule>
    <cfRule type="containsText" dxfId="9503" priority="4761" operator="containsText" text="정규교과">
      <formula>NOT(ISERROR(SEARCH(("정규교과"),(F219))))</formula>
    </cfRule>
    <cfRule type="containsText" dxfId="9502" priority="4760" operator="containsText" text="프로젝트">
      <formula>NOT(ISERROR(SEARCH(("프로젝트"),(F219))))</formula>
    </cfRule>
    <cfRule type="containsText" dxfId="9501" priority="4771" operator="containsText" text="기타">
      <formula>NOT(ISERROR(SEARCH(("기타"),(F219))))</formula>
    </cfRule>
    <cfRule type="containsText" dxfId="9500" priority="4770" operator="containsText" text="정규교과">
      <formula>NOT(ISERROR(SEARCH(("정규교과"),(F219))))</formula>
    </cfRule>
    <cfRule type="containsText" dxfId="9499" priority="4769" operator="containsText" text="프로젝트">
      <formula>NOT(ISERROR(SEARCH(("프로젝트"),(F219))))</formula>
    </cfRule>
    <cfRule type="containsText" dxfId="9498" priority="4768" operator="containsText" text="기타">
      <formula>NOT(ISERROR(SEARCH(("기타"),(F219))))</formula>
    </cfRule>
  </conditionalFormatting>
  <conditionalFormatting sqref="F223">
    <cfRule type="containsText" dxfId="9497" priority="4728" operator="containsText" text="기타">
      <formula>NOT(ISERROR(SEARCH(("기타"),(F223))))</formula>
    </cfRule>
    <cfRule type="containsText" dxfId="9496" priority="4729" operator="containsText" text="프로젝트">
      <formula>NOT(ISERROR(SEARCH(("프로젝트"),(F223))))</formula>
    </cfRule>
    <cfRule type="containsText" dxfId="9495" priority="4730" operator="containsText" text="정규교과">
      <formula>NOT(ISERROR(SEARCH(("정규교과"),(F223))))</formula>
    </cfRule>
    <cfRule type="containsText" dxfId="9494" priority="4731" operator="containsText" text="기타">
      <formula>NOT(ISERROR(SEARCH(("기타"),(F223))))</formula>
    </cfRule>
    <cfRule type="containsText" dxfId="9493" priority="4724" operator="containsText" text="정규교과">
      <formula>NOT(ISERROR(SEARCH(("정규교과"),(F223))))</formula>
    </cfRule>
    <cfRule type="containsText" dxfId="9492" priority="4727" operator="containsText" text="정규교과">
      <formula>NOT(ISERROR(SEARCH(("정규교과"),(F223))))</formula>
    </cfRule>
    <cfRule type="containsText" dxfId="9491" priority="4723" operator="containsText" text="프로젝트">
      <formula>NOT(ISERROR(SEARCH(("프로젝트"),(F223))))</formula>
    </cfRule>
    <cfRule type="containsText" dxfId="9490" priority="4722" operator="containsText" text="기타">
      <formula>NOT(ISERROR(SEARCH(("기타"),(F223))))</formula>
    </cfRule>
    <cfRule type="containsText" dxfId="9489" priority="4721" operator="containsText" text="정규교과">
      <formula>NOT(ISERROR(SEARCH(("정규교과"),(F223))))</formula>
    </cfRule>
    <cfRule type="containsText" dxfId="9488" priority="4720" operator="containsText" text="프로젝트">
      <formula>NOT(ISERROR(SEARCH(("프로젝트"),(F223))))</formula>
    </cfRule>
    <cfRule type="containsText" dxfId="9487" priority="4725" operator="containsText" text="기타">
      <formula>NOT(ISERROR(SEARCH(("기타"),(F223))))</formula>
    </cfRule>
    <cfRule type="containsText" dxfId="9486" priority="4726" operator="containsText" text="프로젝트">
      <formula>NOT(ISERROR(SEARCH(("프로젝트"),(F223))))</formula>
    </cfRule>
  </conditionalFormatting>
  <conditionalFormatting sqref="F228">
    <cfRule type="containsText" dxfId="9485" priority="4689" operator="containsText" text="프로젝트">
      <formula>NOT(ISERROR(SEARCH(("프로젝트"),(F228))))</formula>
    </cfRule>
    <cfRule type="containsText" dxfId="9484" priority="4688" operator="containsText" text="기타">
      <formula>NOT(ISERROR(SEARCH(("기타"),(F228))))</formula>
    </cfRule>
    <cfRule type="containsText" dxfId="9483" priority="4687" operator="containsText" text="정규교과">
      <formula>NOT(ISERROR(SEARCH(("정규교과"),(F228))))</formula>
    </cfRule>
    <cfRule type="containsText" dxfId="9482" priority="4686" operator="containsText" text="프로젝트">
      <formula>NOT(ISERROR(SEARCH(("프로젝트"),(F228))))</formula>
    </cfRule>
    <cfRule type="containsText" dxfId="9481" priority="4685" operator="containsText" text="기타">
      <formula>NOT(ISERROR(SEARCH(("기타"),(F228))))</formula>
    </cfRule>
    <cfRule type="containsText" dxfId="9480" priority="4684" operator="containsText" text="정규교과">
      <formula>NOT(ISERROR(SEARCH(("정규교과"),(F228))))</formula>
    </cfRule>
    <cfRule type="containsText" dxfId="9479" priority="4683" operator="containsText" text="프로젝트">
      <formula>NOT(ISERROR(SEARCH(("프로젝트"),(F228))))</formula>
    </cfRule>
    <cfRule type="containsText" dxfId="9478" priority="4682" operator="containsText" text="기타">
      <formula>NOT(ISERROR(SEARCH(("기타"),(F228))))</formula>
    </cfRule>
    <cfRule type="containsText" dxfId="9477" priority="4681" operator="containsText" text="정규교과">
      <formula>NOT(ISERROR(SEARCH(("정규교과"),(F228))))</formula>
    </cfRule>
    <cfRule type="containsText" dxfId="9476" priority="4680" operator="containsText" text="프로젝트">
      <formula>NOT(ISERROR(SEARCH(("프로젝트"),(F228))))</formula>
    </cfRule>
    <cfRule type="containsText" dxfId="9475" priority="4691" operator="containsText" text="기타">
      <formula>NOT(ISERROR(SEARCH(("기타"),(F228))))</formula>
    </cfRule>
    <cfRule type="containsText" dxfId="9474" priority="4690" operator="containsText" text="정규교과">
      <formula>NOT(ISERROR(SEARCH(("정규교과"),(F228))))</formula>
    </cfRule>
  </conditionalFormatting>
  <conditionalFormatting sqref="F232">
    <cfRule type="containsText" dxfId="9473" priority="4640" operator="containsText" text="프로젝트">
      <formula>NOT(ISERROR(SEARCH(("프로젝트"),(F232))))</formula>
    </cfRule>
    <cfRule type="containsText" dxfId="9472" priority="4641" operator="containsText" text="정규교과">
      <formula>NOT(ISERROR(SEARCH(("정규교과"),(F232))))</formula>
    </cfRule>
    <cfRule type="containsText" dxfId="9471" priority="4642" operator="containsText" text="기타">
      <formula>NOT(ISERROR(SEARCH(("기타"),(F232))))</formula>
    </cfRule>
    <cfRule type="containsText" dxfId="9470" priority="4643" operator="containsText" text="프로젝트">
      <formula>NOT(ISERROR(SEARCH(("프로젝트"),(F232))))</formula>
    </cfRule>
    <cfRule type="containsText" dxfId="9469" priority="4644" operator="containsText" text="정규교과">
      <formula>NOT(ISERROR(SEARCH(("정규교과"),(F232))))</formula>
    </cfRule>
    <cfRule type="containsText" dxfId="9468" priority="4645" operator="containsText" text="기타">
      <formula>NOT(ISERROR(SEARCH(("기타"),(F232))))</formula>
    </cfRule>
    <cfRule type="containsText" dxfId="9467" priority="4646" operator="containsText" text="프로젝트">
      <formula>NOT(ISERROR(SEARCH(("프로젝트"),(F232))))</formula>
    </cfRule>
    <cfRule type="containsText" dxfId="9466" priority="4649" operator="containsText" text="프로젝트">
      <formula>NOT(ISERROR(SEARCH(("프로젝트"),(F232))))</formula>
    </cfRule>
    <cfRule type="containsText" dxfId="9465" priority="4650" operator="containsText" text="정규교과">
      <formula>NOT(ISERROR(SEARCH(("정규교과"),(F232))))</formula>
    </cfRule>
    <cfRule type="containsText" dxfId="9464" priority="4651" operator="containsText" text="기타">
      <formula>NOT(ISERROR(SEARCH(("기타"),(F232))))</formula>
    </cfRule>
    <cfRule type="containsText" dxfId="9463" priority="4648" operator="containsText" text="기타">
      <formula>NOT(ISERROR(SEARCH(("기타"),(F232))))</formula>
    </cfRule>
    <cfRule type="containsText" dxfId="9462" priority="4647" operator="containsText" text="정규교과">
      <formula>NOT(ISERROR(SEARCH(("정규교과"),(F232))))</formula>
    </cfRule>
  </conditionalFormatting>
  <conditionalFormatting sqref="F236">
    <cfRule type="containsText" dxfId="9461" priority="4609" operator="containsText" text="프로젝트">
      <formula>NOT(ISERROR(SEARCH(("프로젝트"),(F236))))</formula>
    </cfRule>
    <cfRule type="containsText" dxfId="9460" priority="4610" operator="containsText" text="정규교과">
      <formula>NOT(ISERROR(SEARCH(("정규교과"),(F236))))</formula>
    </cfRule>
    <cfRule type="containsText" dxfId="9459" priority="4611" operator="containsText" text="기타">
      <formula>NOT(ISERROR(SEARCH(("기타"),(F236))))</formula>
    </cfRule>
    <cfRule type="containsText" dxfId="9458" priority="4608" operator="containsText" text="기타">
      <formula>NOT(ISERROR(SEARCH(("기타"),(F236))))</formula>
    </cfRule>
    <cfRule type="containsText" dxfId="9457" priority="4602" operator="containsText" text="기타">
      <formula>NOT(ISERROR(SEARCH(("기타"),(F236))))</formula>
    </cfRule>
    <cfRule type="containsText" dxfId="9456" priority="4603" operator="containsText" text="프로젝트">
      <formula>NOT(ISERROR(SEARCH(("프로젝트"),(F236))))</formula>
    </cfRule>
    <cfRule type="containsText" dxfId="9455" priority="4604" operator="containsText" text="정규교과">
      <formula>NOT(ISERROR(SEARCH(("정규교과"),(F236))))</formula>
    </cfRule>
    <cfRule type="containsText" dxfId="9454" priority="4605" operator="containsText" text="기타">
      <formula>NOT(ISERROR(SEARCH(("기타"),(F236))))</formula>
    </cfRule>
    <cfRule type="containsText" dxfId="9453" priority="4601" operator="containsText" text="정규교과">
      <formula>NOT(ISERROR(SEARCH(("정규교과"),(F236))))</formula>
    </cfRule>
    <cfRule type="containsText" dxfId="9452" priority="4606" operator="containsText" text="프로젝트">
      <formula>NOT(ISERROR(SEARCH(("프로젝트"),(F236))))</formula>
    </cfRule>
    <cfRule type="containsText" dxfId="9451" priority="4607" operator="containsText" text="정규교과">
      <formula>NOT(ISERROR(SEARCH(("정규교과"),(F236))))</formula>
    </cfRule>
    <cfRule type="containsText" dxfId="9450" priority="4600" operator="containsText" text="프로젝트">
      <formula>NOT(ISERROR(SEARCH(("프로젝트"),(F236))))</formula>
    </cfRule>
  </conditionalFormatting>
  <conditionalFormatting sqref="F240">
    <cfRule type="containsText" dxfId="9449" priority="4561" operator="containsText" text="정규교과">
      <formula>NOT(ISERROR(SEARCH(("정규교과"),(F240))))</formula>
    </cfRule>
    <cfRule type="containsText" dxfId="9448" priority="4564" operator="containsText" text="정규교과">
      <formula>NOT(ISERROR(SEARCH(("정규교과"),(F240))))</formula>
    </cfRule>
    <cfRule type="containsText" dxfId="9447" priority="4563" operator="containsText" text="프로젝트">
      <formula>NOT(ISERROR(SEARCH(("프로젝트"),(F240))))</formula>
    </cfRule>
    <cfRule type="containsText" dxfId="9446" priority="4562" operator="containsText" text="기타">
      <formula>NOT(ISERROR(SEARCH(("기타"),(F240))))</formula>
    </cfRule>
    <cfRule type="containsText" dxfId="9445" priority="4565" operator="containsText" text="기타">
      <formula>NOT(ISERROR(SEARCH(("기타"),(F240))))</formula>
    </cfRule>
    <cfRule type="containsText" dxfId="9444" priority="4560" operator="containsText" text="프로젝트">
      <formula>NOT(ISERROR(SEARCH(("프로젝트"),(F240))))</formula>
    </cfRule>
    <cfRule type="containsText" dxfId="9443" priority="4570" operator="containsText" text="정규교과">
      <formula>NOT(ISERROR(SEARCH(("정규교과"),(F240))))</formula>
    </cfRule>
    <cfRule type="containsText" dxfId="9442" priority="4571" operator="containsText" text="기타">
      <formula>NOT(ISERROR(SEARCH(("기타"),(F240))))</formula>
    </cfRule>
    <cfRule type="containsText" dxfId="9441" priority="4569" operator="containsText" text="프로젝트">
      <formula>NOT(ISERROR(SEARCH(("프로젝트"),(F240))))</formula>
    </cfRule>
    <cfRule type="containsText" dxfId="9440" priority="4568" operator="containsText" text="기타">
      <formula>NOT(ISERROR(SEARCH(("기타"),(F240))))</formula>
    </cfRule>
    <cfRule type="containsText" dxfId="9439" priority="4567" operator="containsText" text="정규교과">
      <formula>NOT(ISERROR(SEARCH(("정규교과"),(F240))))</formula>
    </cfRule>
    <cfRule type="containsText" dxfId="9438" priority="4566" operator="containsText" text="프로젝트">
      <formula>NOT(ISERROR(SEARCH(("프로젝트"),(F240))))</formula>
    </cfRule>
  </conditionalFormatting>
  <conditionalFormatting sqref="F244">
    <cfRule type="containsText" dxfId="9437" priority="4522" operator="containsText" text="기타">
      <formula>NOT(ISERROR(SEARCH(("기타"),(F244))))</formula>
    </cfRule>
    <cfRule type="containsText" dxfId="9436" priority="4523" operator="containsText" text="프로젝트">
      <formula>NOT(ISERROR(SEARCH(("프로젝트"),(F244))))</formula>
    </cfRule>
    <cfRule type="containsText" dxfId="9435" priority="4521" operator="containsText" text="정규교과">
      <formula>NOT(ISERROR(SEARCH(("정규교과"),(F244))))</formula>
    </cfRule>
    <cfRule type="containsText" dxfId="9434" priority="4520" operator="containsText" text="프로젝트">
      <formula>NOT(ISERROR(SEARCH(("프로젝트"),(F244))))</formula>
    </cfRule>
    <cfRule type="containsText" dxfId="9433" priority="4527" operator="containsText" text="정규교과">
      <formula>NOT(ISERROR(SEARCH(("정규교과"),(F244))))</formula>
    </cfRule>
    <cfRule type="containsText" dxfId="9432" priority="4528" operator="containsText" text="기타">
      <formula>NOT(ISERROR(SEARCH(("기타"),(F244))))</formula>
    </cfRule>
    <cfRule type="containsText" dxfId="9431" priority="4529" operator="containsText" text="프로젝트">
      <formula>NOT(ISERROR(SEARCH(("프로젝트"),(F244))))</formula>
    </cfRule>
    <cfRule type="containsText" dxfId="9430" priority="4530" operator="containsText" text="정규교과">
      <formula>NOT(ISERROR(SEARCH(("정규교과"),(F244))))</formula>
    </cfRule>
    <cfRule type="containsText" dxfId="9429" priority="4531" operator="containsText" text="기타">
      <formula>NOT(ISERROR(SEARCH(("기타"),(F244))))</formula>
    </cfRule>
    <cfRule type="containsText" dxfId="9428" priority="4526" operator="containsText" text="프로젝트">
      <formula>NOT(ISERROR(SEARCH(("프로젝트"),(F244))))</formula>
    </cfRule>
    <cfRule type="containsText" dxfId="9427" priority="4525" operator="containsText" text="기타">
      <formula>NOT(ISERROR(SEARCH(("기타"),(F244))))</formula>
    </cfRule>
    <cfRule type="containsText" dxfId="9426" priority="4524" operator="containsText" text="정규교과">
      <formula>NOT(ISERROR(SEARCH(("정규교과"),(F244))))</formula>
    </cfRule>
  </conditionalFormatting>
  <conditionalFormatting sqref="F250">
    <cfRule type="containsText" dxfId="9425" priority="3850" operator="containsText" text="기타">
      <formula>NOT(ISERROR(SEARCH(("기타"),(F250))))</formula>
    </cfRule>
    <cfRule type="containsText" dxfId="9424" priority="3848" operator="containsText" text="프로젝트">
      <formula>NOT(ISERROR(SEARCH(("프로젝트"),(F250))))</formula>
    </cfRule>
    <cfRule type="containsText" dxfId="9423" priority="3853" operator="containsText" text="기타">
      <formula>NOT(ISERROR(SEARCH(("기타"),(F250))))</formula>
    </cfRule>
    <cfRule type="containsText" dxfId="9422" priority="3849" operator="containsText" text="정규교과">
      <formula>NOT(ISERROR(SEARCH(("정규교과"),(F250))))</formula>
    </cfRule>
    <cfRule type="containsText" dxfId="9421" priority="3854" operator="containsText" text="프로젝트">
      <formula>NOT(ISERROR(SEARCH(("프로젝트"),(F250))))</formula>
    </cfRule>
    <cfRule type="containsText" dxfId="9420" priority="3855" operator="containsText" text="정규교과">
      <formula>NOT(ISERROR(SEARCH(("정규교과"),(F250))))</formula>
    </cfRule>
    <cfRule type="containsText" dxfId="9419" priority="3856" operator="containsText" text="기타">
      <formula>NOT(ISERROR(SEARCH(("기타"),(F250))))</formula>
    </cfRule>
    <cfRule type="containsText" dxfId="9418" priority="3858" operator="containsText" text="정규교과">
      <formula>NOT(ISERROR(SEARCH(("정규교과"),(F250))))</formula>
    </cfRule>
    <cfRule type="containsText" dxfId="9417" priority="3859" operator="containsText" text="기타">
      <formula>NOT(ISERROR(SEARCH(("기타"),(F250))))</formula>
    </cfRule>
    <cfRule type="containsText" dxfId="9416" priority="3851" operator="containsText" text="프로젝트">
      <formula>NOT(ISERROR(SEARCH(("프로젝트"),(F250))))</formula>
    </cfRule>
    <cfRule type="containsText" dxfId="9415" priority="3852" operator="containsText" text="정규교과">
      <formula>NOT(ISERROR(SEARCH(("정규교과"),(F250))))</formula>
    </cfRule>
    <cfRule type="containsText" dxfId="9414" priority="3857" operator="containsText" text="프로젝트">
      <formula>NOT(ISERROR(SEARCH(("프로젝트"),(F250))))</formula>
    </cfRule>
  </conditionalFormatting>
  <conditionalFormatting sqref="F254">
    <cfRule type="containsText" dxfId="9413" priority="3747" operator="containsText" text="정규교과">
      <formula>NOT(ISERROR(SEARCH(("정규교과"),(F254))))</formula>
    </cfRule>
    <cfRule type="containsText" dxfId="9412" priority="3746" operator="containsText" text="프로젝트">
      <formula>NOT(ISERROR(SEARCH(("프로젝트"),(F254))))</formula>
    </cfRule>
    <cfRule type="containsText" dxfId="9411" priority="3745" operator="containsText" text="기타">
      <formula>NOT(ISERROR(SEARCH(("기타"),(F254))))</formula>
    </cfRule>
    <cfRule type="containsText" dxfId="9410" priority="3744" operator="containsText" text="정규교과">
      <formula>NOT(ISERROR(SEARCH(("정규교과"),(F254))))</formula>
    </cfRule>
    <cfRule type="containsText" dxfId="9409" priority="3743" operator="containsText" text="프로젝트">
      <formula>NOT(ISERROR(SEARCH(("프로젝트"),(F254))))</formula>
    </cfRule>
    <cfRule type="containsText" dxfId="9408" priority="3742" operator="containsText" text="기타">
      <formula>NOT(ISERROR(SEARCH(("기타"),(F254))))</formula>
    </cfRule>
    <cfRule type="containsText" dxfId="9407" priority="3741" operator="containsText" text="정규교과">
      <formula>NOT(ISERROR(SEARCH(("정규교과"),(F254))))</formula>
    </cfRule>
    <cfRule type="containsText" dxfId="9406" priority="3740" operator="containsText" text="프로젝트">
      <formula>NOT(ISERROR(SEARCH(("프로젝트"),(F254))))</formula>
    </cfRule>
    <cfRule type="containsText" dxfId="9405" priority="3738" operator="containsText" text="정규교과">
      <formula>NOT(ISERROR(SEARCH(("정규교과"),(F254))))</formula>
    </cfRule>
    <cfRule type="containsText" dxfId="9404" priority="3737" operator="containsText" text="프로젝트">
      <formula>NOT(ISERROR(SEARCH(("프로젝트"),(F254))))</formula>
    </cfRule>
    <cfRule type="containsText" dxfId="9403" priority="3739" operator="containsText" text="기타">
      <formula>NOT(ISERROR(SEARCH(("기타"),(F254))))</formula>
    </cfRule>
    <cfRule type="containsText" dxfId="9402" priority="3748" operator="containsText" text="기타">
      <formula>NOT(ISERROR(SEARCH(("기타"),(F254))))</formula>
    </cfRule>
  </conditionalFormatting>
  <conditionalFormatting sqref="F258">
    <cfRule type="containsText" dxfId="9401" priority="3634" operator="containsText" text="기타">
      <formula>NOT(ISERROR(SEARCH(("기타"),(F258))))</formula>
    </cfRule>
    <cfRule type="containsText" dxfId="9400" priority="3633" operator="containsText" text="정규교과">
      <formula>NOT(ISERROR(SEARCH(("정규교과"),(F258))))</formula>
    </cfRule>
    <cfRule type="containsText" dxfId="9399" priority="3632" operator="containsText" text="프로젝트">
      <formula>NOT(ISERROR(SEARCH(("프로젝트"),(F258))))</formula>
    </cfRule>
    <cfRule type="containsText" dxfId="9398" priority="3631" operator="containsText" text="기타">
      <formula>NOT(ISERROR(SEARCH(("기타"),(F258))))</formula>
    </cfRule>
    <cfRule type="containsText" dxfId="9397" priority="3630" operator="containsText" text="정규교과">
      <formula>NOT(ISERROR(SEARCH(("정규교과"),(F258))))</formula>
    </cfRule>
    <cfRule type="containsText" dxfId="9396" priority="3629" operator="containsText" text="프로젝트">
      <formula>NOT(ISERROR(SEARCH(("프로젝트"),(F258))))</formula>
    </cfRule>
    <cfRule type="containsText" dxfId="9395" priority="3628" operator="containsText" text="기타">
      <formula>NOT(ISERROR(SEARCH(("기타"),(F258))))</formula>
    </cfRule>
    <cfRule type="containsText" dxfId="9394" priority="3627" operator="containsText" text="정규교과">
      <formula>NOT(ISERROR(SEARCH(("정규교과"),(F258))))</formula>
    </cfRule>
    <cfRule type="containsText" dxfId="9393" priority="3626" operator="containsText" text="프로젝트">
      <formula>NOT(ISERROR(SEARCH(("프로젝트"),(F258))))</formula>
    </cfRule>
    <cfRule type="containsText" dxfId="9392" priority="3635" operator="containsText" text="프로젝트">
      <formula>NOT(ISERROR(SEARCH(("프로젝트"),(F258))))</formula>
    </cfRule>
    <cfRule type="containsText" dxfId="9391" priority="3637" operator="containsText" text="기타">
      <formula>NOT(ISERROR(SEARCH(("기타"),(F258))))</formula>
    </cfRule>
    <cfRule type="containsText" dxfId="9390" priority="3636" operator="containsText" text="정규교과">
      <formula>NOT(ISERROR(SEARCH(("정규교과"),(F258))))</formula>
    </cfRule>
  </conditionalFormatting>
  <conditionalFormatting sqref="F263">
    <cfRule type="containsText" dxfId="9389" priority="3526" operator="containsText" text="기타">
      <formula>NOT(ISERROR(SEARCH(("기타"),(F263))))</formula>
    </cfRule>
    <cfRule type="containsText" dxfId="9388" priority="3525" operator="containsText" text="정규교과">
      <formula>NOT(ISERROR(SEARCH(("정규교과"),(F263))))</formula>
    </cfRule>
    <cfRule type="containsText" dxfId="9387" priority="3524" operator="containsText" text="프로젝트">
      <formula>NOT(ISERROR(SEARCH(("프로젝트"),(F263))))</formula>
    </cfRule>
    <cfRule type="containsText" dxfId="9386" priority="3523" operator="containsText" text="기타">
      <formula>NOT(ISERROR(SEARCH(("기타"),(F263))))</formula>
    </cfRule>
    <cfRule type="containsText" dxfId="9385" priority="3522" operator="containsText" text="정규교과">
      <formula>NOT(ISERROR(SEARCH(("정규교과"),(F263))))</formula>
    </cfRule>
    <cfRule type="containsText" dxfId="9384" priority="3521" operator="containsText" text="프로젝트">
      <formula>NOT(ISERROR(SEARCH(("프로젝트"),(F263))))</formula>
    </cfRule>
    <cfRule type="containsText" dxfId="9383" priority="3520" operator="containsText" text="기타">
      <formula>NOT(ISERROR(SEARCH(("기타"),(F263))))</formula>
    </cfRule>
    <cfRule type="containsText" dxfId="9382" priority="3519" operator="containsText" text="정규교과">
      <formula>NOT(ISERROR(SEARCH(("정규교과"),(F263))))</formula>
    </cfRule>
    <cfRule type="containsText" dxfId="9381" priority="3515" operator="containsText" text="프로젝트">
      <formula>NOT(ISERROR(SEARCH(("프로젝트"),(F263))))</formula>
    </cfRule>
    <cfRule type="containsText" dxfId="9380" priority="3517" operator="containsText" text="기타">
      <formula>NOT(ISERROR(SEARCH(("기타"),(F263))))</formula>
    </cfRule>
    <cfRule type="containsText" dxfId="9379" priority="3516" operator="containsText" text="정규교과">
      <formula>NOT(ISERROR(SEARCH(("정규교과"),(F263))))</formula>
    </cfRule>
    <cfRule type="containsText" dxfId="9378" priority="3518" operator="containsText" text="프로젝트">
      <formula>NOT(ISERROR(SEARCH(("프로젝트"),(F263))))</formula>
    </cfRule>
  </conditionalFormatting>
  <conditionalFormatting sqref="F267">
    <cfRule type="containsText" dxfId="9377" priority="3404" operator="containsText" text="프로젝트">
      <formula>NOT(ISERROR(SEARCH(("프로젝트"),(F267))))</formula>
    </cfRule>
    <cfRule type="containsText" dxfId="9376" priority="3415" operator="containsText" text="기타">
      <formula>NOT(ISERROR(SEARCH(("기타"),(F267))))</formula>
    </cfRule>
    <cfRule type="containsText" dxfId="9375" priority="3414" operator="containsText" text="정규교과">
      <formula>NOT(ISERROR(SEARCH(("정규교과"),(F267))))</formula>
    </cfRule>
    <cfRule type="containsText" dxfId="9374" priority="3413" operator="containsText" text="프로젝트">
      <formula>NOT(ISERROR(SEARCH(("프로젝트"),(F267))))</formula>
    </cfRule>
    <cfRule type="containsText" dxfId="9373" priority="3412" operator="containsText" text="기타">
      <formula>NOT(ISERROR(SEARCH(("기타"),(F267))))</formula>
    </cfRule>
    <cfRule type="containsText" dxfId="9372" priority="3411" operator="containsText" text="정규교과">
      <formula>NOT(ISERROR(SEARCH(("정규교과"),(F267))))</formula>
    </cfRule>
    <cfRule type="containsText" dxfId="9371" priority="3410" operator="containsText" text="프로젝트">
      <formula>NOT(ISERROR(SEARCH(("프로젝트"),(F267))))</formula>
    </cfRule>
    <cfRule type="containsText" dxfId="9370" priority="3409" operator="containsText" text="기타">
      <formula>NOT(ISERROR(SEARCH(("기타"),(F267))))</formula>
    </cfRule>
    <cfRule type="containsText" dxfId="9369" priority="3408" operator="containsText" text="정규교과">
      <formula>NOT(ISERROR(SEARCH(("정규교과"),(F267))))</formula>
    </cfRule>
    <cfRule type="containsText" dxfId="9368" priority="3407" operator="containsText" text="프로젝트">
      <formula>NOT(ISERROR(SEARCH(("프로젝트"),(F267))))</formula>
    </cfRule>
    <cfRule type="containsText" dxfId="9367" priority="3406" operator="containsText" text="기타">
      <formula>NOT(ISERROR(SEARCH(("기타"),(F267))))</formula>
    </cfRule>
    <cfRule type="containsText" dxfId="9366" priority="3405" operator="containsText" text="정규교과">
      <formula>NOT(ISERROR(SEARCH(("정규교과"),(F267))))</formula>
    </cfRule>
  </conditionalFormatting>
  <conditionalFormatting sqref="F271">
    <cfRule type="containsText" dxfId="9365" priority="3304" operator="containsText" text="기타">
      <formula>NOT(ISERROR(SEARCH(("기타"),(F271))))</formula>
    </cfRule>
    <cfRule type="containsText" dxfId="9364" priority="3302" operator="containsText" text="프로젝트">
      <formula>NOT(ISERROR(SEARCH(("프로젝트"),(F271))))</formula>
    </cfRule>
    <cfRule type="containsText" dxfId="9363" priority="3303" operator="containsText" text="정규교과">
      <formula>NOT(ISERROR(SEARCH(("정규교과"),(F271))))</formula>
    </cfRule>
    <cfRule type="containsText" dxfId="9362" priority="3293" operator="containsText" text="프로젝트">
      <formula>NOT(ISERROR(SEARCH(("프로젝트"),(F271))))</formula>
    </cfRule>
    <cfRule type="containsText" dxfId="9361" priority="3294" operator="containsText" text="정규교과">
      <formula>NOT(ISERROR(SEARCH(("정규교과"),(F271))))</formula>
    </cfRule>
    <cfRule type="containsText" dxfId="9360" priority="3295" operator="containsText" text="기타">
      <formula>NOT(ISERROR(SEARCH(("기타"),(F271))))</formula>
    </cfRule>
    <cfRule type="containsText" dxfId="9359" priority="3296" operator="containsText" text="프로젝트">
      <formula>NOT(ISERROR(SEARCH(("프로젝트"),(F271))))</formula>
    </cfRule>
    <cfRule type="containsText" dxfId="9358" priority="3297" operator="containsText" text="정규교과">
      <formula>NOT(ISERROR(SEARCH(("정규교과"),(F271))))</formula>
    </cfRule>
    <cfRule type="containsText" dxfId="9357" priority="3298" operator="containsText" text="기타">
      <formula>NOT(ISERROR(SEARCH(("기타"),(F271))))</formula>
    </cfRule>
    <cfRule type="containsText" dxfId="9356" priority="3299" operator="containsText" text="프로젝트">
      <formula>NOT(ISERROR(SEARCH(("프로젝트"),(F271))))</formula>
    </cfRule>
    <cfRule type="containsText" dxfId="9355" priority="3300" operator="containsText" text="정규교과">
      <formula>NOT(ISERROR(SEARCH(("정규교과"),(F271))))</formula>
    </cfRule>
    <cfRule type="containsText" dxfId="9354" priority="3301" operator="containsText" text="기타">
      <formula>NOT(ISERROR(SEARCH(("기타"),(F271))))</formula>
    </cfRule>
  </conditionalFormatting>
  <conditionalFormatting sqref="F275">
    <cfRule type="containsText" dxfId="9353" priority="3186" operator="containsText" text="정규교과">
      <formula>NOT(ISERROR(SEARCH(("정규교과"),(F275))))</formula>
    </cfRule>
    <cfRule type="containsText" dxfId="9352" priority="3185" operator="containsText" text="프로젝트">
      <formula>NOT(ISERROR(SEARCH(("프로젝트"),(F275))))</formula>
    </cfRule>
    <cfRule type="containsText" dxfId="9351" priority="3184" operator="containsText" text="기타">
      <formula>NOT(ISERROR(SEARCH(("기타"),(F275))))</formula>
    </cfRule>
    <cfRule type="containsText" dxfId="9350" priority="3183" operator="containsText" text="정규교과">
      <formula>NOT(ISERROR(SEARCH(("정규교과"),(F275))))</formula>
    </cfRule>
    <cfRule type="containsText" dxfId="9349" priority="3182" operator="containsText" text="프로젝트">
      <formula>NOT(ISERROR(SEARCH(("프로젝트"),(F275))))</formula>
    </cfRule>
    <cfRule type="containsText" dxfId="9348" priority="3187" operator="containsText" text="기타">
      <formula>NOT(ISERROR(SEARCH(("기타"),(F275))))</formula>
    </cfRule>
    <cfRule type="containsText" dxfId="9347" priority="3193" operator="containsText" text="기타">
      <formula>NOT(ISERROR(SEARCH(("기타"),(F275))))</formula>
    </cfRule>
    <cfRule type="containsText" dxfId="9346" priority="3188" operator="containsText" text="프로젝트">
      <formula>NOT(ISERROR(SEARCH(("프로젝트"),(F275))))</formula>
    </cfRule>
    <cfRule type="containsText" dxfId="9345" priority="3189" operator="containsText" text="정규교과">
      <formula>NOT(ISERROR(SEARCH(("정규교과"),(F275))))</formula>
    </cfRule>
    <cfRule type="containsText" dxfId="9344" priority="3190" operator="containsText" text="기타">
      <formula>NOT(ISERROR(SEARCH(("기타"),(F275))))</formula>
    </cfRule>
    <cfRule type="containsText" dxfId="9343" priority="3191" operator="containsText" text="프로젝트">
      <formula>NOT(ISERROR(SEARCH(("프로젝트"),(F275))))</formula>
    </cfRule>
    <cfRule type="containsText" dxfId="9342" priority="3192" operator="containsText" text="정규교과">
      <formula>NOT(ISERROR(SEARCH(("정규교과"),(F275))))</formula>
    </cfRule>
  </conditionalFormatting>
  <conditionalFormatting sqref="F279">
    <cfRule type="containsText" dxfId="9341" priority="3082" operator="containsText" text="기타">
      <formula>NOT(ISERROR(SEARCH(("기타"),(F279))))</formula>
    </cfRule>
    <cfRule type="containsText" dxfId="9340" priority="3078" operator="containsText" text="정규교과">
      <formula>NOT(ISERROR(SEARCH(("정규교과"),(F279))))</formula>
    </cfRule>
    <cfRule type="containsText" dxfId="9339" priority="3080" operator="containsText" text="프로젝트">
      <formula>NOT(ISERROR(SEARCH(("프로젝트"),(F279))))</formula>
    </cfRule>
    <cfRule type="containsText" dxfId="9338" priority="3081" operator="containsText" text="정규교과">
      <formula>NOT(ISERROR(SEARCH(("정규교과"),(F279))))</formula>
    </cfRule>
    <cfRule type="containsText" dxfId="9337" priority="3077" operator="containsText" text="프로젝트">
      <formula>NOT(ISERROR(SEARCH(("프로젝트"),(F279))))</formula>
    </cfRule>
    <cfRule type="containsText" dxfId="9336" priority="3076" operator="containsText" text="기타">
      <formula>NOT(ISERROR(SEARCH(("기타"),(F279))))</formula>
    </cfRule>
    <cfRule type="containsText" dxfId="9335" priority="3075" operator="containsText" text="정규교과">
      <formula>NOT(ISERROR(SEARCH(("정규교과"),(F279))))</formula>
    </cfRule>
    <cfRule type="containsText" dxfId="9334" priority="3071" operator="containsText" text="프로젝트">
      <formula>NOT(ISERROR(SEARCH(("프로젝트"),(F279))))</formula>
    </cfRule>
    <cfRule type="containsText" dxfId="9333" priority="3072" operator="containsText" text="정규교과">
      <formula>NOT(ISERROR(SEARCH(("정규교과"),(F279))))</formula>
    </cfRule>
    <cfRule type="containsText" dxfId="9332" priority="3073" operator="containsText" text="기타">
      <formula>NOT(ISERROR(SEARCH(("기타"),(F279))))</formula>
    </cfRule>
    <cfRule type="containsText" dxfId="9331" priority="3074" operator="containsText" text="프로젝트">
      <formula>NOT(ISERROR(SEARCH(("프로젝트"),(F279))))</formula>
    </cfRule>
    <cfRule type="containsText" dxfId="9330" priority="3079" operator="containsText" text="기타">
      <formula>NOT(ISERROR(SEARCH(("기타"),(F279))))</formula>
    </cfRule>
  </conditionalFormatting>
  <conditionalFormatting sqref="F324">
    <cfRule type="containsText" dxfId="9329" priority="64" operator="containsText" text="기타">
      <formula>NOT(ISERROR(SEARCH(("기타"),(F324))))</formula>
    </cfRule>
    <cfRule type="containsText" dxfId="9328" priority="63" operator="containsText" text="정규교과">
      <formula>NOT(ISERROR(SEARCH(("정규교과"),(F324))))</formula>
    </cfRule>
    <cfRule type="containsText" dxfId="9327" priority="62" operator="containsText" text="프로젝트">
      <formula>NOT(ISERROR(SEARCH(("프로젝트"),(F324))))</formula>
    </cfRule>
    <cfRule type="containsText" dxfId="9326" priority="61" operator="containsText" text="휴강">
      <formula>NOT(ISERROR(SEARCH(("휴강"),(F324))))</formula>
    </cfRule>
  </conditionalFormatting>
  <conditionalFormatting sqref="F328">
    <cfRule type="containsText" dxfId="9325" priority="60" operator="containsText" text="기타">
      <formula>NOT(ISERROR(SEARCH(("기타"),(F328))))</formula>
    </cfRule>
    <cfRule type="containsText" dxfId="9324" priority="58" operator="containsText" text="프로젝트">
      <formula>NOT(ISERROR(SEARCH(("프로젝트"),(F328))))</formula>
    </cfRule>
    <cfRule type="containsText" dxfId="9323" priority="59" operator="containsText" text="정규교과">
      <formula>NOT(ISERROR(SEARCH(("정규교과"),(F328))))</formula>
    </cfRule>
    <cfRule type="containsText" dxfId="9322" priority="57" operator="containsText" text="휴강">
      <formula>NOT(ISERROR(SEARCH(("휴강"),(F328))))</formula>
    </cfRule>
  </conditionalFormatting>
  <conditionalFormatting sqref="F333">
    <cfRule type="containsText" dxfId="9321" priority="54" operator="containsText" text="프로젝트">
      <formula>NOT(ISERROR(SEARCH(("프로젝트"),(F333))))</formula>
    </cfRule>
    <cfRule type="containsText" dxfId="9320" priority="53" operator="containsText" text="휴강">
      <formula>NOT(ISERROR(SEARCH(("휴강"),(F333))))</formula>
    </cfRule>
    <cfRule type="containsText" dxfId="9319" priority="56" operator="containsText" text="기타">
      <formula>NOT(ISERROR(SEARCH(("기타"),(F333))))</formula>
    </cfRule>
    <cfRule type="containsText" dxfId="9318" priority="55" operator="containsText" text="정규교과">
      <formula>NOT(ISERROR(SEARCH(("정규교과"),(F333))))</formula>
    </cfRule>
  </conditionalFormatting>
  <conditionalFormatting sqref="F337">
    <cfRule type="containsText" dxfId="9317" priority="1965" operator="containsText" text="프로젝트">
      <formula>NOT(ISERROR(SEARCH(("프로젝트"),(F337))))</formula>
    </cfRule>
    <cfRule type="containsText" dxfId="9316" priority="1966" operator="containsText" text="정규교과">
      <formula>NOT(ISERROR(SEARCH(("정규교과"),(F337))))</formula>
    </cfRule>
    <cfRule type="containsText" dxfId="9315" priority="1967" operator="containsText" text="기타">
      <formula>NOT(ISERROR(SEARCH(("기타"),(F337))))</formula>
    </cfRule>
    <cfRule type="containsText" dxfId="9314" priority="1968" operator="containsText" text="프로젝트">
      <formula>NOT(ISERROR(SEARCH(("프로젝트"),(F337))))</formula>
    </cfRule>
    <cfRule type="containsText" dxfId="9313" priority="1979" operator="containsText" text="기타">
      <formula>NOT(ISERROR(SEARCH(("기타"),(F337))))</formula>
    </cfRule>
    <cfRule type="containsText" dxfId="9312" priority="1978" operator="containsText" text="정규교과">
      <formula>NOT(ISERROR(SEARCH(("정규교과"),(F337))))</formula>
    </cfRule>
    <cfRule type="containsText" dxfId="9311" priority="1975" operator="containsText" text="정규교과">
      <formula>NOT(ISERROR(SEARCH(("정규교과"),(F337))))</formula>
    </cfRule>
    <cfRule type="containsText" dxfId="9310" priority="1976" operator="containsText" text="기타">
      <formula>NOT(ISERROR(SEARCH(("기타"),(F337))))</formula>
    </cfRule>
    <cfRule type="containsText" dxfId="9309" priority="1974" operator="containsText" text="프로젝트">
      <formula>NOT(ISERROR(SEARCH(("프로젝트"),(F337))))</formula>
    </cfRule>
    <cfRule type="containsText" dxfId="9308" priority="1973" operator="containsText" text="기타">
      <formula>NOT(ISERROR(SEARCH(("기타"),(F337))))</formula>
    </cfRule>
    <cfRule type="containsText" dxfId="9307" priority="1972" operator="containsText" text="정규교과">
      <formula>NOT(ISERROR(SEARCH(("정규교과"),(F337))))</formula>
    </cfRule>
    <cfRule type="containsText" dxfId="9306" priority="1971" operator="containsText" text="프로젝트">
      <formula>NOT(ISERROR(SEARCH(("프로젝트"),(F337))))</formula>
    </cfRule>
    <cfRule type="containsText" dxfId="9305" priority="1970" operator="containsText" text="기타">
      <formula>NOT(ISERROR(SEARCH(("기타"),(F337))))</formula>
    </cfRule>
    <cfRule type="containsText" dxfId="9304" priority="1977" operator="containsText" text="프로젝트">
      <formula>NOT(ISERROR(SEARCH(("프로젝트"),(F337))))</formula>
    </cfRule>
    <cfRule type="containsText" dxfId="9303" priority="1962" operator="containsText" text="프로젝트">
      <formula>NOT(ISERROR(SEARCH(("프로젝트"),(F337))))</formula>
    </cfRule>
    <cfRule type="containsText" dxfId="9302" priority="1961" operator="containsText" text="기타">
      <formula>NOT(ISERROR(SEARCH(("기타"),(F337))))</formula>
    </cfRule>
    <cfRule type="containsText" dxfId="9301" priority="1969" operator="containsText" text="정규교과">
      <formula>NOT(ISERROR(SEARCH(("정규교과"),(F337))))</formula>
    </cfRule>
    <cfRule type="containsText" dxfId="9300" priority="1960" operator="containsText" text="정규교과">
      <formula>NOT(ISERROR(SEARCH(("정규교과"),(F337))))</formula>
    </cfRule>
    <cfRule type="containsText" dxfId="9299" priority="1959" operator="containsText" text="프로젝트">
      <formula>NOT(ISERROR(SEARCH(("프로젝트"),(F337))))</formula>
    </cfRule>
    <cfRule type="containsText" dxfId="9298" priority="1964" operator="containsText" text="기타">
      <formula>NOT(ISERROR(SEARCH(("기타"),(F337))))</formula>
    </cfRule>
    <cfRule type="containsText" dxfId="9297" priority="1963" operator="containsText" text="정규교과">
      <formula>NOT(ISERROR(SEARCH(("정규교과"),(F337))))</formula>
    </cfRule>
  </conditionalFormatting>
  <conditionalFormatting sqref="F341">
    <cfRule type="containsText" dxfId="9296" priority="1830" operator="containsText" text="프로젝트">
      <formula>NOT(ISERROR(SEARCH(("프로젝트"),(F341))))</formula>
    </cfRule>
    <cfRule type="containsText" dxfId="9295" priority="1831" operator="containsText" text="정규교과">
      <formula>NOT(ISERROR(SEARCH(("정규교과"),(F341))))</formula>
    </cfRule>
    <cfRule type="containsText" dxfId="9294" priority="1819" operator="containsText" text="정규교과">
      <formula>NOT(ISERROR(SEARCH(("정규교과"),(F341))))</formula>
    </cfRule>
    <cfRule type="containsText" dxfId="9293" priority="1818" operator="containsText" text="프로젝트">
      <formula>NOT(ISERROR(SEARCH(("프로젝트"),(F341))))</formula>
    </cfRule>
    <cfRule type="containsText" dxfId="9292" priority="1817" operator="containsText" text="기타">
      <formula>NOT(ISERROR(SEARCH(("기타"),(F341))))</formula>
    </cfRule>
    <cfRule type="containsText" dxfId="9291" priority="1816" operator="containsText" text="정규교과">
      <formula>NOT(ISERROR(SEARCH(("정규교과"),(F341))))</formula>
    </cfRule>
    <cfRule type="containsText" dxfId="9290" priority="1815" operator="containsText" text="프로젝트">
      <formula>NOT(ISERROR(SEARCH(("프로젝트"),(F341))))</formula>
    </cfRule>
    <cfRule type="containsText" dxfId="9289" priority="1814" operator="containsText" text="기타">
      <formula>NOT(ISERROR(SEARCH(("기타"),(F341))))</formula>
    </cfRule>
    <cfRule type="containsText" dxfId="9288" priority="1812" operator="containsText" text="프로젝트">
      <formula>NOT(ISERROR(SEARCH(("프로젝트"),(F341))))</formula>
    </cfRule>
    <cfRule type="containsText" dxfId="9287" priority="1832" operator="containsText" text="기타">
      <formula>NOT(ISERROR(SEARCH(("기타"),(F341))))</formula>
    </cfRule>
    <cfRule type="containsText" dxfId="9286" priority="1820" operator="containsText" text="기타">
      <formula>NOT(ISERROR(SEARCH(("기타"),(F341))))</formula>
    </cfRule>
    <cfRule type="containsText" dxfId="9285" priority="1813" operator="containsText" text="정규교과">
      <formula>NOT(ISERROR(SEARCH(("정규교과"),(F341))))</formula>
    </cfRule>
    <cfRule type="containsText" dxfId="9284" priority="1821" operator="containsText" text="프로젝트">
      <formula>NOT(ISERROR(SEARCH(("프로젝트"),(F341))))</formula>
    </cfRule>
    <cfRule type="containsText" dxfId="9283" priority="1822" operator="containsText" text="정규교과">
      <formula>NOT(ISERROR(SEARCH(("정규교과"),(F341))))</formula>
    </cfRule>
    <cfRule type="containsText" dxfId="9282" priority="1823" operator="containsText" text="기타">
      <formula>NOT(ISERROR(SEARCH(("기타"),(F341))))</formula>
    </cfRule>
    <cfRule type="containsText" dxfId="9281" priority="1824" operator="containsText" text="프로젝트">
      <formula>NOT(ISERROR(SEARCH(("프로젝트"),(F341))))</formula>
    </cfRule>
    <cfRule type="containsText" dxfId="9280" priority="1825" operator="containsText" text="정규교과">
      <formula>NOT(ISERROR(SEARCH(("정규교과"),(F341))))</formula>
    </cfRule>
    <cfRule type="containsText" dxfId="9279" priority="1826" operator="containsText" text="기타">
      <formula>NOT(ISERROR(SEARCH(("기타"),(F341))))</formula>
    </cfRule>
    <cfRule type="containsText" dxfId="9278" priority="1827" operator="containsText" text="프로젝트">
      <formula>NOT(ISERROR(SEARCH(("프로젝트"),(F341))))</formula>
    </cfRule>
    <cfRule type="containsText" dxfId="9277" priority="1828" operator="containsText" text="정규교과">
      <formula>NOT(ISERROR(SEARCH(("정규교과"),(F341))))</formula>
    </cfRule>
    <cfRule type="containsText" dxfId="9276" priority="1829" operator="containsText" text="기타">
      <formula>NOT(ISERROR(SEARCH(("기타"),(F341))))</formula>
    </cfRule>
  </conditionalFormatting>
  <conditionalFormatting sqref="F345">
    <cfRule type="containsText" dxfId="9275" priority="1672" operator="containsText" text="정규교과">
      <formula>NOT(ISERROR(SEARCH(("정규교과"),(F345))))</formula>
    </cfRule>
    <cfRule type="containsText" dxfId="9274" priority="1673" operator="containsText" text="기타">
      <formula>NOT(ISERROR(SEARCH(("기타"),(F345))))</formula>
    </cfRule>
    <cfRule type="containsText" dxfId="9273" priority="1685" operator="containsText" text="기타">
      <formula>NOT(ISERROR(SEARCH(("기타"),(F345))))</formula>
    </cfRule>
    <cfRule type="containsText" dxfId="9272" priority="1677" operator="containsText" text="프로젝트">
      <formula>NOT(ISERROR(SEARCH(("프로젝트"),(F345))))</formula>
    </cfRule>
    <cfRule type="containsText" dxfId="9271" priority="1684" operator="containsText" text="정규교과">
      <formula>NOT(ISERROR(SEARCH(("정규교과"),(F345))))</formula>
    </cfRule>
    <cfRule type="containsText" dxfId="9270" priority="1683" operator="containsText" text="프로젝트">
      <formula>NOT(ISERROR(SEARCH(("프로젝트"),(F345))))</formula>
    </cfRule>
    <cfRule type="containsText" dxfId="9269" priority="1681" operator="containsText" text="정규교과">
      <formula>NOT(ISERROR(SEARCH(("정규교과"),(F345))))</formula>
    </cfRule>
    <cfRule type="containsText" dxfId="9268" priority="1682" operator="containsText" text="기타">
      <formula>NOT(ISERROR(SEARCH(("기타"),(F345))))</formula>
    </cfRule>
    <cfRule type="containsText" dxfId="9267" priority="1680" operator="containsText" text="프로젝트">
      <formula>NOT(ISERROR(SEARCH(("프로젝트"),(F345))))</formula>
    </cfRule>
    <cfRule type="containsText" dxfId="9266" priority="1679" operator="containsText" text="기타">
      <formula>NOT(ISERROR(SEARCH(("기타"),(F345))))</formula>
    </cfRule>
    <cfRule type="containsText" dxfId="9265" priority="1678" operator="containsText" text="정규교과">
      <formula>NOT(ISERROR(SEARCH(("정규교과"),(F345))))</formula>
    </cfRule>
    <cfRule type="containsText" dxfId="9264" priority="1670" operator="containsText" text="기타">
      <formula>NOT(ISERROR(SEARCH(("기타"),(F345))))</formula>
    </cfRule>
    <cfRule type="containsText" dxfId="9263" priority="1671" operator="containsText" text="프로젝트">
      <formula>NOT(ISERROR(SEARCH(("프로젝트"),(F345))))</formula>
    </cfRule>
    <cfRule type="containsText" dxfId="9262" priority="1669" operator="containsText" text="정규교과">
      <formula>NOT(ISERROR(SEARCH(("정규교과"),(F345))))</formula>
    </cfRule>
    <cfRule type="containsText" dxfId="9261" priority="1668" operator="containsText" text="프로젝트">
      <formula>NOT(ISERROR(SEARCH(("프로젝트"),(F345))))</formula>
    </cfRule>
    <cfRule type="containsText" dxfId="9260" priority="1676" operator="containsText" text="기타">
      <formula>NOT(ISERROR(SEARCH(("기타"),(F345))))</formula>
    </cfRule>
    <cfRule type="containsText" dxfId="9259" priority="1675" operator="containsText" text="정규교과">
      <formula>NOT(ISERROR(SEARCH(("정규교과"),(F345))))</formula>
    </cfRule>
    <cfRule type="containsText" dxfId="9258" priority="1674" operator="containsText" text="프로젝트">
      <formula>NOT(ISERROR(SEARCH(("프로젝트"),(F345))))</formula>
    </cfRule>
    <cfRule type="containsText" dxfId="9257" priority="1665" operator="containsText" text="프로젝트">
      <formula>NOT(ISERROR(SEARCH(("프로젝트"),(F345))))</formula>
    </cfRule>
    <cfRule type="containsText" dxfId="9256" priority="1667" operator="containsText" text="기타">
      <formula>NOT(ISERROR(SEARCH(("기타"),(F345))))</formula>
    </cfRule>
    <cfRule type="containsText" dxfId="9255" priority="1666" operator="containsText" text="정규교과">
      <formula>NOT(ISERROR(SEARCH(("정규교과"),(F345))))</formula>
    </cfRule>
  </conditionalFormatting>
  <conditionalFormatting sqref="F349">
    <cfRule type="containsText" dxfId="9254" priority="1535" operator="containsText" text="기타">
      <formula>NOT(ISERROR(SEARCH(("기타"),(F349))))</formula>
    </cfRule>
    <cfRule type="containsText" dxfId="9253" priority="1538" operator="containsText" text="기타">
      <formula>NOT(ISERROR(SEARCH(("기타"),(F349))))</formula>
    </cfRule>
    <cfRule type="containsText" dxfId="9252" priority="1537" operator="containsText" text="정규교과">
      <formula>NOT(ISERROR(SEARCH(("정규교과"),(F349))))</formula>
    </cfRule>
    <cfRule type="containsText" dxfId="9251" priority="1527" operator="containsText" text="프로젝트">
      <formula>NOT(ISERROR(SEARCH(("프로젝트"),(F349))))</formula>
    </cfRule>
    <cfRule type="containsText" dxfId="9250" priority="1536" operator="containsText" text="프로젝트">
      <formula>NOT(ISERROR(SEARCH(("프로젝트"),(F349))))</formula>
    </cfRule>
    <cfRule type="containsText" dxfId="9249" priority="1534" operator="containsText" text="정규교과">
      <formula>NOT(ISERROR(SEARCH(("정규교과"),(F349))))</formula>
    </cfRule>
    <cfRule type="containsText" dxfId="9248" priority="1533" operator="containsText" text="프로젝트">
      <formula>NOT(ISERROR(SEARCH(("프로젝트"),(F349))))</formula>
    </cfRule>
    <cfRule type="containsText" dxfId="9247" priority="1532" operator="containsText" text="기타">
      <formula>NOT(ISERROR(SEARCH(("기타"),(F349))))</formula>
    </cfRule>
    <cfRule type="containsText" dxfId="9246" priority="1531" operator="containsText" text="정규교과">
      <formula>NOT(ISERROR(SEARCH(("정규교과"),(F349))))</formula>
    </cfRule>
    <cfRule type="containsText" dxfId="9245" priority="1530" operator="containsText" text="프로젝트">
      <formula>NOT(ISERROR(SEARCH(("프로젝트"),(F349))))</formula>
    </cfRule>
    <cfRule type="containsText" dxfId="9244" priority="1528" operator="containsText" text="정규교과">
      <formula>NOT(ISERROR(SEARCH(("정규교과"),(F349))))</formula>
    </cfRule>
    <cfRule type="containsText" dxfId="9243" priority="1526" operator="containsText" text="기타">
      <formula>NOT(ISERROR(SEARCH(("기타"),(F349))))</formula>
    </cfRule>
    <cfRule type="containsText" dxfId="9242" priority="1525" operator="containsText" text="정규교과">
      <formula>NOT(ISERROR(SEARCH(("정규교과"),(F349))))</formula>
    </cfRule>
    <cfRule type="containsText" dxfId="9241" priority="1524" operator="containsText" text="프로젝트">
      <formula>NOT(ISERROR(SEARCH(("프로젝트"),(F349))))</formula>
    </cfRule>
    <cfRule type="containsText" dxfId="9240" priority="1523" operator="containsText" text="기타">
      <formula>NOT(ISERROR(SEARCH(("기타"),(F349))))</formula>
    </cfRule>
    <cfRule type="containsText" dxfId="9239" priority="1522" operator="containsText" text="정규교과">
      <formula>NOT(ISERROR(SEARCH(("정규교과"),(F349))))</formula>
    </cfRule>
    <cfRule type="containsText" dxfId="9238" priority="1529" operator="containsText" text="기타">
      <formula>NOT(ISERROR(SEARCH(("기타"),(F349))))</formula>
    </cfRule>
    <cfRule type="containsText" dxfId="9237" priority="1521" operator="containsText" text="프로젝트">
      <formula>NOT(ISERROR(SEARCH(("프로젝트"),(F349))))</formula>
    </cfRule>
    <cfRule type="containsText" dxfId="9236" priority="1520" operator="containsText" text="기타">
      <formula>NOT(ISERROR(SEARCH(("기타"),(F349))))</formula>
    </cfRule>
    <cfRule type="containsText" dxfId="9235" priority="1519" operator="containsText" text="정규교과">
      <formula>NOT(ISERROR(SEARCH(("정규교과"),(F349))))</formula>
    </cfRule>
    <cfRule type="containsText" dxfId="9234" priority="1518" operator="containsText" text="프로젝트">
      <formula>NOT(ISERROR(SEARCH(("프로젝트"),(F349))))</formula>
    </cfRule>
  </conditionalFormatting>
  <conditionalFormatting sqref="F355">
    <cfRule type="containsText" dxfId="9233" priority="1324" operator="containsText" text="기타">
      <formula>NOT(ISERROR(SEARCH(("기타"),(F355))))</formula>
    </cfRule>
    <cfRule type="containsText" dxfId="9232" priority="1323" operator="containsText" text="정규교과">
      <formula>NOT(ISERROR(SEARCH(("정규교과"),(F355))))</formula>
    </cfRule>
    <cfRule type="containsText" dxfId="9231" priority="1320" operator="containsText" text="정규교과">
      <formula>NOT(ISERROR(SEARCH(("정규교과"),(F355))))</formula>
    </cfRule>
    <cfRule type="containsText" dxfId="9230" priority="1306" operator="containsText" text="기타">
      <formula>NOT(ISERROR(SEARCH(("기타"),(F355))))</formula>
    </cfRule>
    <cfRule type="containsText" dxfId="9229" priority="1311" operator="containsText" text="정규교과">
      <formula>NOT(ISERROR(SEARCH(("정규교과"),(F355))))</formula>
    </cfRule>
    <cfRule type="containsText" dxfId="9228" priority="1305" operator="containsText" text="정규교과">
      <formula>NOT(ISERROR(SEARCH(("정규교과"),(F355))))</formula>
    </cfRule>
    <cfRule type="containsText" dxfId="9227" priority="1308" operator="containsText" text="정규교과">
      <formula>NOT(ISERROR(SEARCH(("정규교과"),(F355))))</formula>
    </cfRule>
    <cfRule type="containsText" dxfId="9226" priority="1321" operator="containsText" text="기타">
      <formula>NOT(ISERROR(SEARCH(("기타"),(F355))))</formula>
    </cfRule>
    <cfRule type="containsText" dxfId="9225" priority="1319" operator="containsText" text="프로젝트">
      <formula>NOT(ISERROR(SEARCH(("프로젝트"),(F355))))</formula>
    </cfRule>
    <cfRule type="containsText" dxfId="9224" priority="1318" operator="containsText" text="기타">
      <formula>NOT(ISERROR(SEARCH(("기타"),(F355))))</formula>
    </cfRule>
    <cfRule type="containsText" dxfId="9223" priority="1317" operator="containsText" text="정규교과">
      <formula>NOT(ISERROR(SEARCH(("정규교과"),(F355))))</formula>
    </cfRule>
    <cfRule type="containsText" dxfId="9222" priority="1316" operator="containsText" text="프로젝트">
      <formula>NOT(ISERROR(SEARCH(("프로젝트"),(F355))))</formula>
    </cfRule>
    <cfRule type="containsText" dxfId="9221" priority="1315" operator="containsText" text="기타">
      <formula>NOT(ISERROR(SEARCH(("기타"),(F355))))</formula>
    </cfRule>
    <cfRule type="containsText" dxfId="9220" priority="1314" operator="containsText" text="정규교과">
      <formula>NOT(ISERROR(SEARCH(("정규교과"),(F355))))</formula>
    </cfRule>
    <cfRule type="containsText" dxfId="9219" priority="1307" operator="containsText" text="프로젝트">
      <formula>NOT(ISERROR(SEARCH(("프로젝트"),(F355))))</formula>
    </cfRule>
    <cfRule type="containsText" dxfId="9218" priority="1304" operator="containsText" text="프로젝트">
      <formula>NOT(ISERROR(SEARCH(("프로젝트"),(F355))))</formula>
    </cfRule>
    <cfRule type="containsText" dxfId="9217" priority="1310" operator="containsText" text="프로젝트">
      <formula>NOT(ISERROR(SEARCH(("프로젝트"),(F355))))</formula>
    </cfRule>
    <cfRule type="containsText" dxfId="9216" priority="1313" operator="containsText" text="프로젝트">
      <formula>NOT(ISERROR(SEARCH(("프로젝트"),(F355))))</formula>
    </cfRule>
    <cfRule type="containsText" dxfId="9215" priority="1312" operator="containsText" text="기타">
      <formula>NOT(ISERROR(SEARCH(("기타"),(F355))))</formula>
    </cfRule>
    <cfRule type="containsText" dxfId="9214" priority="1309" operator="containsText" text="기타">
      <formula>NOT(ISERROR(SEARCH(("기타"),(F355))))</formula>
    </cfRule>
    <cfRule type="containsText" dxfId="9213" priority="1322" operator="containsText" text="프로젝트">
      <formula>NOT(ISERROR(SEARCH(("프로젝트"),(F355))))</formula>
    </cfRule>
  </conditionalFormatting>
  <conditionalFormatting sqref="F359">
    <cfRule type="containsText" dxfId="9212" priority="1188" operator="containsText" text="기타">
      <formula>NOT(ISERROR(SEARCH(("기타"),(F359))))</formula>
    </cfRule>
    <cfRule type="containsText" dxfId="9211" priority="1187" operator="containsText" text="정규교과">
      <formula>NOT(ISERROR(SEARCH(("정규교과"),(F359))))</formula>
    </cfRule>
    <cfRule type="containsText" dxfId="9210" priority="1174" operator="containsText" text="프로젝트">
      <formula>NOT(ISERROR(SEARCH(("프로젝트"),(F359))))</formula>
    </cfRule>
    <cfRule type="containsText" dxfId="9209" priority="1175" operator="containsText" text="정규교과">
      <formula>NOT(ISERROR(SEARCH(("정규교과"),(F359))))</formula>
    </cfRule>
    <cfRule type="containsText" dxfId="9208" priority="1176" operator="containsText" text="기타">
      <formula>NOT(ISERROR(SEARCH(("기타"),(F359))))</formula>
    </cfRule>
    <cfRule type="containsText" dxfId="9207" priority="1177" operator="containsText" text="프로젝트">
      <formula>NOT(ISERROR(SEARCH(("프로젝트"),(F359))))</formula>
    </cfRule>
    <cfRule type="containsText" dxfId="9206" priority="1178" operator="containsText" text="정규교과">
      <formula>NOT(ISERROR(SEARCH(("정규교과"),(F359))))</formula>
    </cfRule>
    <cfRule type="containsText" dxfId="9205" priority="1179" operator="containsText" text="기타">
      <formula>NOT(ISERROR(SEARCH(("기타"),(F359))))</formula>
    </cfRule>
    <cfRule type="containsText" dxfId="9204" priority="1180" operator="containsText" text="프로젝트">
      <formula>NOT(ISERROR(SEARCH(("프로젝트"),(F359))))</formula>
    </cfRule>
    <cfRule type="containsText" dxfId="9203" priority="1194" operator="containsText" text="기타">
      <formula>NOT(ISERROR(SEARCH(("기타"),(F359))))</formula>
    </cfRule>
    <cfRule type="containsText" dxfId="9202" priority="1181" operator="containsText" text="정규교과">
      <formula>NOT(ISERROR(SEARCH(("정규교과"),(F359))))</formula>
    </cfRule>
    <cfRule type="containsText" dxfId="9201" priority="1193" operator="containsText" text="정규교과">
      <formula>NOT(ISERROR(SEARCH(("정규교과"),(F359))))</formula>
    </cfRule>
    <cfRule type="containsText" dxfId="9200" priority="1192" operator="containsText" text="프로젝트">
      <formula>NOT(ISERROR(SEARCH(("프로젝트"),(F359))))</formula>
    </cfRule>
    <cfRule type="containsText" dxfId="9199" priority="1191" operator="containsText" text="기타">
      <formula>NOT(ISERROR(SEARCH(("기타"),(F359))))</formula>
    </cfRule>
    <cfRule type="containsText" dxfId="9198" priority="1190" operator="containsText" text="정규교과">
      <formula>NOT(ISERROR(SEARCH(("정규교과"),(F359))))</formula>
    </cfRule>
    <cfRule type="containsText" dxfId="9197" priority="1186" operator="containsText" text="프로젝트">
      <formula>NOT(ISERROR(SEARCH(("프로젝트"),(F359))))</formula>
    </cfRule>
    <cfRule type="containsText" dxfId="9196" priority="1185" operator="containsText" text="기타">
      <formula>NOT(ISERROR(SEARCH(("기타"),(F359))))</formula>
    </cfRule>
    <cfRule type="containsText" dxfId="9195" priority="1184" operator="containsText" text="정규교과">
      <formula>NOT(ISERROR(SEARCH(("정규교과"),(F359))))</formula>
    </cfRule>
    <cfRule type="containsText" dxfId="9194" priority="1183" operator="containsText" text="프로젝트">
      <formula>NOT(ISERROR(SEARCH(("프로젝트"),(F359))))</formula>
    </cfRule>
    <cfRule type="containsText" dxfId="9193" priority="1182" operator="containsText" text="기타">
      <formula>NOT(ISERROR(SEARCH(("기타"),(F359))))</formula>
    </cfRule>
    <cfRule type="containsText" dxfId="9192" priority="1189" operator="containsText" text="프로젝트">
      <formula>NOT(ISERROR(SEARCH(("프로젝트"),(F359))))</formula>
    </cfRule>
  </conditionalFormatting>
  <conditionalFormatting sqref="F363">
    <cfRule type="containsText" dxfId="9191" priority="1046" operator="containsText" text="기타">
      <formula>NOT(ISERROR(SEARCH(("기타"),(F363))))</formula>
    </cfRule>
    <cfRule type="containsText" dxfId="9190" priority="1045" operator="containsText" text="정규교과">
      <formula>NOT(ISERROR(SEARCH(("정규교과"),(F363))))</formula>
    </cfRule>
    <cfRule type="containsText" dxfId="9189" priority="1053" operator="containsText" text="프로젝트">
      <formula>NOT(ISERROR(SEARCH(("프로젝트"),(F363))))</formula>
    </cfRule>
    <cfRule type="containsText" dxfId="9188" priority="1055" operator="containsText" text="기타">
      <formula>NOT(ISERROR(SEARCH(("기타"),(F363))))</formula>
    </cfRule>
    <cfRule type="containsText" dxfId="9187" priority="1044" operator="containsText" text="프로젝트">
      <formula>NOT(ISERROR(SEARCH(("프로젝트"),(F363))))</formula>
    </cfRule>
    <cfRule type="containsText" dxfId="9186" priority="1064" operator="containsText" text="기타">
      <formula>NOT(ISERROR(SEARCH(("기타"),(F363))))</formula>
    </cfRule>
    <cfRule type="containsText" dxfId="9185" priority="1063" operator="containsText" text="정규교과">
      <formula>NOT(ISERROR(SEARCH(("정규교과"),(F363))))</formula>
    </cfRule>
    <cfRule type="containsText" dxfId="9184" priority="1062" operator="containsText" text="프로젝트">
      <formula>NOT(ISERROR(SEARCH(("프로젝트"),(F363))))</formula>
    </cfRule>
    <cfRule type="containsText" dxfId="9183" priority="1061" operator="containsText" text="기타">
      <formula>NOT(ISERROR(SEARCH(("기타"),(F363))))</formula>
    </cfRule>
    <cfRule type="containsText" dxfId="9182" priority="1060" operator="containsText" text="정규교과">
      <formula>NOT(ISERROR(SEARCH(("정규교과"),(F363))))</formula>
    </cfRule>
    <cfRule type="containsText" dxfId="9181" priority="1059" operator="containsText" text="프로젝트">
      <formula>NOT(ISERROR(SEARCH(("프로젝트"),(F363))))</formula>
    </cfRule>
    <cfRule type="containsText" dxfId="9180" priority="1048" operator="containsText" text="정규교과">
      <formula>NOT(ISERROR(SEARCH(("정규교과"),(F363))))</formula>
    </cfRule>
    <cfRule type="containsText" dxfId="9179" priority="1049" operator="containsText" text="기타">
      <formula>NOT(ISERROR(SEARCH(("기타"),(F363))))</formula>
    </cfRule>
    <cfRule type="containsText" dxfId="9178" priority="1054" operator="containsText" text="정규교과">
      <formula>NOT(ISERROR(SEARCH(("정규교과"),(F363))))</formula>
    </cfRule>
    <cfRule type="containsText" dxfId="9177" priority="1050" operator="containsText" text="프로젝트">
      <formula>NOT(ISERROR(SEARCH(("프로젝트"),(F363))))</formula>
    </cfRule>
    <cfRule type="containsText" dxfId="9176" priority="1052" operator="containsText" text="기타">
      <formula>NOT(ISERROR(SEARCH(("기타"),(F363))))</formula>
    </cfRule>
    <cfRule type="containsText" dxfId="9175" priority="1051" operator="containsText" text="정규교과">
      <formula>NOT(ISERROR(SEARCH(("정규교과"),(F363))))</formula>
    </cfRule>
    <cfRule type="containsText" dxfId="9174" priority="1058" operator="containsText" text="기타">
      <formula>NOT(ISERROR(SEARCH(("기타"),(F363))))</formula>
    </cfRule>
    <cfRule type="containsText" dxfId="9173" priority="1057" operator="containsText" text="정규교과">
      <formula>NOT(ISERROR(SEARCH(("정규교과"),(F363))))</formula>
    </cfRule>
    <cfRule type="containsText" dxfId="9172" priority="1056" operator="containsText" text="프로젝트">
      <formula>NOT(ISERROR(SEARCH(("프로젝트"),(F363))))</formula>
    </cfRule>
    <cfRule type="containsText" dxfId="9171" priority="1047" operator="containsText" text="프로젝트">
      <formula>NOT(ISERROR(SEARCH(("프로젝트"),(F363))))</formula>
    </cfRule>
  </conditionalFormatting>
  <conditionalFormatting sqref="F368">
    <cfRule type="containsText" dxfId="9170" priority="915" operator="containsText" text="정규교과">
      <formula>NOT(ISERROR(SEARCH(("정규교과"),(F368))))</formula>
    </cfRule>
    <cfRule type="containsText" dxfId="9169" priority="916" operator="containsText" text="기타">
      <formula>NOT(ISERROR(SEARCH(("기타"),(F368))))</formula>
    </cfRule>
    <cfRule type="containsText" dxfId="9168" priority="917" operator="containsText" text="프로젝트">
      <formula>NOT(ISERROR(SEARCH(("프로젝트"),(F368))))</formula>
    </cfRule>
    <cfRule type="containsText" dxfId="9167" priority="918" operator="containsText" text="정규교과">
      <formula>NOT(ISERROR(SEARCH(("정규교과"),(F368))))</formula>
    </cfRule>
    <cfRule type="containsText" dxfId="9166" priority="933" operator="containsText" text="정규교과">
      <formula>NOT(ISERROR(SEARCH(("정규교과"),(F368))))</formula>
    </cfRule>
    <cfRule type="containsText" dxfId="9165" priority="931" operator="containsText" text="기타">
      <formula>NOT(ISERROR(SEARCH(("기타"),(F368))))</formula>
    </cfRule>
    <cfRule type="containsText" dxfId="9164" priority="930" operator="containsText" text="정규교과">
      <formula>NOT(ISERROR(SEARCH(("정규교과"),(F368))))</formula>
    </cfRule>
    <cfRule type="containsText" dxfId="9163" priority="929" operator="containsText" text="프로젝트">
      <formula>NOT(ISERROR(SEARCH(("프로젝트"),(F368))))</formula>
    </cfRule>
    <cfRule type="containsText" dxfId="9162" priority="928" operator="containsText" text="기타">
      <formula>NOT(ISERROR(SEARCH(("기타"),(F368))))</formula>
    </cfRule>
    <cfRule type="containsText" dxfId="9161" priority="927" operator="containsText" text="정규교과">
      <formula>NOT(ISERROR(SEARCH(("정규교과"),(F368))))</formula>
    </cfRule>
    <cfRule type="containsText" dxfId="9160" priority="926" operator="containsText" text="프로젝트">
      <formula>NOT(ISERROR(SEARCH(("프로젝트"),(F368))))</formula>
    </cfRule>
    <cfRule type="containsText" dxfId="9159" priority="925" operator="containsText" text="기타">
      <formula>NOT(ISERROR(SEARCH(("기타"),(F368))))</formula>
    </cfRule>
    <cfRule type="containsText" dxfId="9158" priority="924" operator="containsText" text="정규교과">
      <formula>NOT(ISERROR(SEARCH(("정규교과"),(F368))))</formula>
    </cfRule>
    <cfRule type="containsText" dxfId="9157" priority="923" operator="containsText" text="프로젝트">
      <formula>NOT(ISERROR(SEARCH(("프로젝트"),(F368))))</formula>
    </cfRule>
    <cfRule type="containsText" dxfId="9156" priority="922" operator="containsText" text="기타">
      <formula>NOT(ISERROR(SEARCH(("기타"),(F368))))</formula>
    </cfRule>
    <cfRule type="containsText" dxfId="9155" priority="921" operator="containsText" text="정규교과">
      <formula>NOT(ISERROR(SEARCH(("정규교과"),(F368))))</formula>
    </cfRule>
    <cfRule type="containsText" dxfId="9154" priority="920" operator="containsText" text="프로젝트">
      <formula>NOT(ISERROR(SEARCH(("프로젝트"),(F368))))</formula>
    </cfRule>
    <cfRule type="containsText" dxfId="9153" priority="919" operator="containsText" text="기타">
      <formula>NOT(ISERROR(SEARCH(("기타"),(F368))))</formula>
    </cfRule>
    <cfRule type="containsText" dxfId="9152" priority="932" operator="containsText" text="프로젝트">
      <formula>NOT(ISERROR(SEARCH(("프로젝트"),(F368))))</formula>
    </cfRule>
    <cfRule type="containsText" dxfId="9151" priority="934" operator="containsText" text="기타">
      <formula>NOT(ISERROR(SEARCH(("기타"),(F368))))</formula>
    </cfRule>
    <cfRule type="containsText" dxfId="9150" priority="914" operator="containsText" text="프로젝트">
      <formula>NOT(ISERROR(SEARCH(("프로젝트"),(F368))))</formula>
    </cfRule>
  </conditionalFormatting>
  <conditionalFormatting sqref="F372">
    <cfRule type="containsText" dxfId="9149" priority="790" operator="containsText" text="프로젝트">
      <formula>NOT(ISERROR(SEARCH(("프로젝트"),(F372))))</formula>
    </cfRule>
    <cfRule type="containsText" dxfId="9148" priority="791" operator="containsText" text="정규교과">
      <formula>NOT(ISERROR(SEARCH(("정규교과"),(F372))))</formula>
    </cfRule>
    <cfRule type="containsText" dxfId="9147" priority="792" operator="containsText" text="기타">
      <formula>NOT(ISERROR(SEARCH(("기타"),(F372))))</formula>
    </cfRule>
    <cfRule type="containsText" dxfId="9146" priority="785" operator="containsText" text="정규교과">
      <formula>NOT(ISERROR(SEARCH(("정규교과"),(F372))))</formula>
    </cfRule>
    <cfRule type="containsText" dxfId="9145" priority="800" operator="containsText" text="정규교과">
      <formula>NOT(ISERROR(SEARCH(("정규교과"),(F372))))</formula>
    </cfRule>
    <cfRule type="containsText" dxfId="9144" priority="793" operator="containsText" text="프로젝트">
      <formula>NOT(ISERROR(SEARCH(("프로젝트"),(F372))))</formula>
    </cfRule>
    <cfRule type="containsText" dxfId="9143" priority="801" operator="containsText" text="기타">
      <formula>NOT(ISERROR(SEARCH(("기타"),(F372))))</formula>
    </cfRule>
    <cfRule type="containsText" dxfId="9142" priority="802" operator="containsText" text="프로젝트">
      <formula>NOT(ISERROR(SEARCH(("프로젝트"),(F372))))</formula>
    </cfRule>
    <cfRule type="containsText" dxfId="9141" priority="803" operator="containsText" text="정규교과">
      <formula>NOT(ISERROR(SEARCH(("정규교과"),(F372))))</formula>
    </cfRule>
    <cfRule type="containsText" dxfId="9140" priority="804" operator="containsText" text="기타">
      <formula>NOT(ISERROR(SEARCH(("기타"),(F372))))</formula>
    </cfRule>
    <cfRule type="containsText" dxfId="9139" priority="794" operator="containsText" text="정규교과">
      <formula>NOT(ISERROR(SEARCH(("정규교과"),(F372))))</formula>
    </cfRule>
    <cfRule type="containsText" dxfId="9138" priority="795" operator="containsText" text="기타">
      <formula>NOT(ISERROR(SEARCH(("기타"),(F372))))</formula>
    </cfRule>
    <cfRule type="containsText" dxfId="9137" priority="796" operator="containsText" text="프로젝트">
      <formula>NOT(ISERROR(SEARCH(("프로젝트"),(F372))))</formula>
    </cfRule>
    <cfRule type="containsText" dxfId="9136" priority="797" operator="containsText" text="정규교과">
      <formula>NOT(ISERROR(SEARCH(("정규교과"),(F372))))</formula>
    </cfRule>
    <cfRule type="containsText" dxfId="9135" priority="798" operator="containsText" text="기타">
      <formula>NOT(ISERROR(SEARCH(("기타"),(F372))))</formula>
    </cfRule>
    <cfRule type="containsText" dxfId="9134" priority="799" operator="containsText" text="프로젝트">
      <formula>NOT(ISERROR(SEARCH(("프로젝트"),(F372))))</formula>
    </cfRule>
    <cfRule type="containsText" dxfId="9133" priority="789" operator="containsText" text="기타">
      <formula>NOT(ISERROR(SEARCH(("기타"),(F372))))</formula>
    </cfRule>
    <cfRule type="containsText" dxfId="9132" priority="784" operator="containsText" text="프로젝트">
      <formula>NOT(ISERROR(SEARCH(("프로젝트"),(F372))))</formula>
    </cfRule>
    <cfRule type="containsText" dxfId="9131" priority="786" operator="containsText" text="기타">
      <formula>NOT(ISERROR(SEARCH(("기타"),(F372))))</formula>
    </cfRule>
    <cfRule type="containsText" dxfId="9130" priority="787" operator="containsText" text="프로젝트">
      <formula>NOT(ISERROR(SEARCH(("프로젝트"),(F372))))</formula>
    </cfRule>
    <cfRule type="containsText" dxfId="9129" priority="788" operator="containsText" text="정규교과">
      <formula>NOT(ISERROR(SEARCH(("정규교과"),(F372))))</formula>
    </cfRule>
  </conditionalFormatting>
  <conditionalFormatting sqref="F376">
    <cfRule type="containsText" dxfId="9128" priority="659" operator="containsText" text="기타">
      <formula>NOT(ISERROR(SEARCH(("기타"),(F376))))</formula>
    </cfRule>
    <cfRule type="containsText" dxfId="9127" priority="660" operator="containsText" text="프로젝트">
      <formula>NOT(ISERROR(SEARCH(("프로젝트"),(F376))))</formula>
    </cfRule>
    <cfRule type="containsText" dxfId="9126" priority="661" operator="containsText" text="정규교과">
      <formula>NOT(ISERROR(SEARCH(("정규교과"),(F376))))</formula>
    </cfRule>
    <cfRule type="containsText" dxfId="9125" priority="662" operator="containsText" text="기타">
      <formula>NOT(ISERROR(SEARCH(("기타"),(F376))))</formula>
    </cfRule>
    <cfRule type="containsText" dxfId="9124" priority="668" operator="containsText" text="기타">
      <formula>NOT(ISERROR(SEARCH(("기타"),(F376))))</formula>
    </cfRule>
    <cfRule type="containsText" dxfId="9123" priority="669" operator="containsText" text="프로젝트">
      <formula>NOT(ISERROR(SEARCH(("프로젝트"),(F376))))</formula>
    </cfRule>
    <cfRule type="containsText" dxfId="9122" priority="670" operator="containsText" text="정규교과">
      <formula>NOT(ISERROR(SEARCH(("정규교과"),(F376))))</formula>
    </cfRule>
    <cfRule type="containsText" dxfId="9121" priority="671" operator="containsText" text="기타">
      <formula>NOT(ISERROR(SEARCH(("기타"),(F376))))</formula>
    </cfRule>
    <cfRule type="containsText" dxfId="9120" priority="672" operator="containsText" text="프로젝트">
      <formula>NOT(ISERROR(SEARCH(("프로젝트"),(F376))))</formula>
    </cfRule>
    <cfRule type="containsText" dxfId="9119" priority="663" operator="containsText" text="프로젝트">
      <formula>NOT(ISERROR(SEARCH(("프로젝트"),(F376))))</formula>
    </cfRule>
    <cfRule type="containsText" dxfId="9118" priority="654" operator="containsText" text="프로젝트">
      <formula>NOT(ISERROR(SEARCH(("프로젝트"),(F376))))</formula>
    </cfRule>
    <cfRule type="containsText" dxfId="9117" priority="674" operator="containsText" text="기타">
      <formula>NOT(ISERROR(SEARCH(("기타"),(F376))))</formula>
    </cfRule>
    <cfRule type="containsText" dxfId="9116" priority="666" operator="containsText" text="프로젝트">
      <formula>NOT(ISERROR(SEARCH(("프로젝트"),(F376))))</formula>
    </cfRule>
    <cfRule type="containsText" dxfId="9115" priority="664" operator="containsText" text="정규교과">
      <formula>NOT(ISERROR(SEARCH(("정규교과"),(F376))))</formula>
    </cfRule>
    <cfRule type="containsText" dxfId="9114" priority="657" operator="containsText" text="프로젝트">
      <formula>NOT(ISERROR(SEARCH(("프로젝트"),(F376))))</formula>
    </cfRule>
    <cfRule type="containsText" dxfId="9113" priority="673" operator="containsText" text="정규교과">
      <formula>NOT(ISERROR(SEARCH(("정규교과"),(F376))))</formula>
    </cfRule>
    <cfRule type="containsText" dxfId="9112" priority="655" operator="containsText" text="정규교과">
      <formula>NOT(ISERROR(SEARCH(("정규교과"),(F376))))</formula>
    </cfRule>
    <cfRule type="containsText" dxfId="9111" priority="656" operator="containsText" text="기타">
      <formula>NOT(ISERROR(SEARCH(("기타"),(F376))))</formula>
    </cfRule>
    <cfRule type="containsText" dxfId="9110" priority="658" operator="containsText" text="정규교과">
      <formula>NOT(ISERROR(SEARCH(("정규교과"),(F376))))</formula>
    </cfRule>
    <cfRule type="containsText" dxfId="9109" priority="667" operator="containsText" text="정규교과">
      <formula>NOT(ISERROR(SEARCH(("정규교과"),(F376))))</formula>
    </cfRule>
    <cfRule type="containsText" dxfId="9108" priority="665" operator="containsText" text="기타">
      <formula>NOT(ISERROR(SEARCH(("기타"),(F376))))</formula>
    </cfRule>
  </conditionalFormatting>
  <conditionalFormatting sqref="F380">
    <cfRule type="containsText" dxfId="9107" priority="532" operator="containsText" text="기타">
      <formula>NOT(ISERROR(SEARCH(("기타"),(F380))))</formula>
    </cfRule>
    <cfRule type="containsText" dxfId="9106" priority="533" operator="containsText" text="프로젝트">
      <formula>NOT(ISERROR(SEARCH(("프로젝트"),(F380))))</formula>
    </cfRule>
    <cfRule type="containsText" dxfId="9105" priority="534" operator="containsText" text="정규교과">
      <formula>NOT(ISERROR(SEARCH(("정규교과"),(F380))))</formula>
    </cfRule>
    <cfRule type="containsText" dxfId="9104" priority="536" operator="containsText" text="프로젝트">
      <formula>NOT(ISERROR(SEARCH(("프로젝트"),(F380))))</formula>
    </cfRule>
    <cfRule type="containsText" dxfId="9103" priority="544" operator="containsText" text="기타">
      <formula>NOT(ISERROR(SEARCH(("기타"),(F380))))</formula>
    </cfRule>
    <cfRule type="containsText" dxfId="9102" priority="535" operator="containsText" text="기타">
      <formula>NOT(ISERROR(SEARCH(("기타"),(F380))))</formula>
    </cfRule>
    <cfRule type="containsText" dxfId="9101" priority="537" operator="containsText" text="정규교과">
      <formula>NOT(ISERROR(SEARCH(("정규교과"),(F380))))</formula>
    </cfRule>
    <cfRule type="containsText" dxfId="9100" priority="538" operator="containsText" text="기타">
      <formula>NOT(ISERROR(SEARCH(("기타"),(F380))))</formula>
    </cfRule>
    <cfRule type="containsText" dxfId="9099" priority="539" operator="containsText" text="프로젝트">
      <formula>NOT(ISERROR(SEARCH(("프로젝트"),(F380))))</formula>
    </cfRule>
    <cfRule type="containsText" dxfId="9098" priority="540" operator="containsText" text="정규교과">
      <formula>NOT(ISERROR(SEARCH(("정규교과"),(F380))))</formula>
    </cfRule>
    <cfRule type="containsText" dxfId="9097" priority="541" operator="containsText" text="기타">
      <formula>NOT(ISERROR(SEARCH(("기타"),(F380))))</formula>
    </cfRule>
    <cfRule type="containsText" dxfId="9096" priority="542" operator="containsText" text="프로젝트">
      <formula>NOT(ISERROR(SEARCH(("프로젝트"),(F380))))</formula>
    </cfRule>
    <cfRule type="containsText" dxfId="9095" priority="543" operator="containsText" text="정규교과">
      <formula>NOT(ISERROR(SEARCH(("정규교과"),(F380))))</formula>
    </cfRule>
    <cfRule type="containsText" dxfId="9094" priority="527" operator="containsText" text="프로젝트">
      <formula>NOT(ISERROR(SEARCH(("프로젝트"),(F380))))</formula>
    </cfRule>
    <cfRule type="containsText" dxfId="9093" priority="528" operator="containsText" text="정규교과">
      <formula>NOT(ISERROR(SEARCH(("정규교과"),(F380))))</formula>
    </cfRule>
    <cfRule type="containsText" dxfId="9092" priority="529" operator="containsText" text="기타">
      <formula>NOT(ISERROR(SEARCH(("기타"),(F380))))</formula>
    </cfRule>
    <cfRule type="containsText" dxfId="9091" priority="524" operator="containsText" text="프로젝트">
      <formula>NOT(ISERROR(SEARCH(("프로젝트"),(F380))))</formula>
    </cfRule>
    <cfRule type="containsText" dxfId="9090" priority="525" operator="containsText" text="정규교과">
      <formula>NOT(ISERROR(SEARCH(("정규교과"),(F380))))</formula>
    </cfRule>
    <cfRule type="containsText" dxfId="9089" priority="526" operator="containsText" text="기타">
      <formula>NOT(ISERROR(SEARCH(("기타"),(F380))))</formula>
    </cfRule>
    <cfRule type="containsText" dxfId="9088" priority="530" operator="containsText" text="프로젝트">
      <formula>NOT(ISERROR(SEARCH(("프로젝트"),(F380))))</formula>
    </cfRule>
    <cfRule type="containsText" dxfId="9087" priority="531" operator="containsText" text="정규교과">
      <formula>NOT(ISERROR(SEARCH(("정규교과"),(F380))))</formula>
    </cfRule>
  </conditionalFormatting>
  <conditionalFormatting sqref="F384">
    <cfRule type="containsText" dxfId="9086" priority="401" operator="containsText" text="정규교과">
      <formula>NOT(ISERROR(SEARCH(("정규교과"),(F384))))</formula>
    </cfRule>
    <cfRule type="containsText" dxfId="9085" priority="407" operator="containsText" text="정규교과">
      <formula>NOT(ISERROR(SEARCH(("정규교과"),(F384))))</formula>
    </cfRule>
    <cfRule type="containsText" dxfId="9084" priority="400" operator="containsText" text="프로젝트">
      <formula>NOT(ISERROR(SEARCH(("프로젝트"),(F384))))</formula>
    </cfRule>
    <cfRule type="containsText" dxfId="9083" priority="399" operator="containsText" text="기타">
      <formula>NOT(ISERROR(SEARCH(("기타"),(F384))))</formula>
    </cfRule>
    <cfRule type="containsText" dxfId="9082" priority="408" operator="containsText" text="기타">
      <formula>NOT(ISERROR(SEARCH(("기타"),(F384))))</formula>
    </cfRule>
    <cfRule type="containsText" dxfId="9081" priority="409" operator="containsText" text="프로젝트">
      <formula>NOT(ISERROR(SEARCH(("프로젝트"),(F384))))</formula>
    </cfRule>
    <cfRule type="containsText" dxfId="9080" priority="414" operator="containsText" text="기타">
      <formula>NOT(ISERROR(SEARCH(("기타"),(F384))))</formula>
    </cfRule>
    <cfRule type="containsText" dxfId="9079" priority="410" operator="containsText" text="정규교과">
      <formula>NOT(ISERROR(SEARCH(("정규교과"),(F384))))</formula>
    </cfRule>
    <cfRule type="containsText" dxfId="9078" priority="411" operator="containsText" text="기타">
      <formula>NOT(ISERROR(SEARCH(("기타"),(F384))))</formula>
    </cfRule>
    <cfRule type="containsText" dxfId="9077" priority="412" operator="containsText" text="프로젝트">
      <formula>NOT(ISERROR(SEARCH(("프로젝트"),(F384))))</formula>
    </cfRule>
    <cfRule type="containsText" dxfId="9076" priority="406" operator="containsText" text="프로젝트">
      <formula>NOT(ISERROR(SEARCH(("프로젝트"),(F384))))</formula>
    </cfRule>
    <cfRule type="containsText" dxfId="9075" priority="413" operator="containsText" text="정규교과">
      <formula>NOT(ISERROR(SEARCH(("정규교과"),(F384))))</formula>
    </cfRule>
    <cfRule type="containsText" dxfId="9074" priority="398" operator="containsText" text="정규교과">
      <formula>NOT(ISERROR(SEARCH(("정규교과"),(F384))))</formula>
    </cfRule>
    <cfRule type="containsText" dxfId="9073" priority="405" operator="containsText" text="기타">
      <formula>NOT(ISERROR(SEARCH(("기타"),(F384))))</formula>
    </cfRule>
    <cfRule type="containsText" dxfId="9072" priority="396" operator="containsText" text="기타">
      <formula>NOT(ISERROR(SEARCH(("기타"),(F384))))</formula>
    </cfRule>
    <cfRule type="containsText" dxfId="9071" priority="395" operator="containsText" text="정규교과">
      <formula>NOT(ISERROR(SEARCH(("정규교과"),(F384))))</formula>
    </cfRule>
    <cfRule type="containsText" dxfId="9070" priority="394" operator="containsText" text="프로젝트">
      <formula>NOT(ISERROR(SEARCH(("프로젝트"),(F384))))</formula>
    </cfRule>
    <cfRule type="containsText" dxfId="9069" priority="404" operator="containsText" text="정규교과">
      <formula>NOT(ISERROR(SEARCH(("정규교과"),(F384))))</formula>
    </cfRule>
    <cfRule type="containsText" dxfId="9068" priority="403" operator="containsText" text="프로젝트">
      <formula>NOT(ISERROR(SEARCH(("프로젝트"),(F384))))</formula>
    </cfRule>
    <cfRule type="containsText" dxfId="9067" priority="402" operator="containsText" text="기타">
      <formula>NOT(ISERROR(SEARCH(("기타"),(F384))))</formula>
    </cfRule>
    <cfRule type="containsText" dxfId="9066" priority="397" operator="containsText" text="프로젝트">
      <formula>NOT(ISERROR(SEARCH(("프로젝트"),(F384))))</formula>
    </cfRule>
  </conditionalFormatting>
  <conditionalFormatting sqref="F40:G40">
    <cfRule type="containsText" dxfId="9065" priority="13732" operator="containsText" text="프로젝트">
      <formula>NOT(ISERROR(SEARCH(("프로젝트"),(F40))))</formula>
    </cfRule>
  </conditionalFormatting>
  <conditionalFormatting sqref="F44:G44">
    <cfRule type="containsText" dxfId="9064" priority="13525" operator="containsText" text="프로젝트">
      <formula>NOT(ISERROR(SEARCH(("프로젝트"),(F44))))</formula>
    </cfRule>
  </conditionalFormatting>
  <conditionalFormatting sqref="F48:G48">
    <cfRule type="containsText" dxfId="9063" priority="13318" operator="containsText" text="프로젝트">
      <formula>NOT(ISERROR(SEARCH(("프로젝트"),(F48))))</formula>
    </cfRule>
  </conditionalFormatting>
  <conditionalFormatting sqref="F53:G53">
    <cfRule type="containsText" dxfId="9062" priority="13111" operator="containsText" text="프로젝트">
      <formula>NOT(ISERROR(SEARCH(("프로젝트"),(F53))))</formula>
    </cfRule>
  </conditionalFormatting>
  <conditionalFormatting sqref="F57:G57">
    <cfRule type="containsText" dxfId="9061" priority="12904" operator="containsText" text="프로젝트">
      <formula>NOT(ISERROR(SEARCH(("프로젝트"),(F57))))</formula>
    </cfRule>
  </conditionalFormatting>
  <conditionalFormatting sqref="F61:G61">
    <cfRule type="containsText" dxfId="9060" priority="12697" operator="containsText" text="프로젝트">
      <formula>NOT(ISERROR(SEARCH(("프로젝트"),(F61))))</formula>
    </cfRule>
  </conditionalFormatting>
  <conditionalFormatting sqref="F65:G65">
    <cfRule type="containsText" dxfId="9059" priority="12490" operator="containsText" text="프로젝트">
      <formula>NOT(ISERROR(SEARCH(("프로젝트"),(F65))))</formula>
    </cfRule>
  </conditionalFormatting>
  <conditionalFormatting sqref="F69:G69">
    <cfRule type="containsText" dxfId="9058" priority="12283" operator="containsText" text="프로젝트">
      <formula>NOT(ISERROR(SEARCH(("프로젝트"),(F69))))</formula>
    </cfRule>
  </conditionalFormatting>
  <conditionalFormatting sqref="F184:G184">
    <cfRule type="containsText" dxfId="9057" priority="5481" operator="containsText" text="기타">
      <formula>NOT(ISERROR(SEARCH(("기타"),(F184))))</formula>
    </cfRule>
    <cfRule type="containsText" dxfId="9056" priority="5483" operator="containsText" text="정규교과">
      <formula>NOT(ISERROR(SEARCH(("정규교과"),(F184))))</formula>
    </cfRule>
    <cfRule type="containsText" dxfId="9055" priority="5484" operator="containsText" text="기타">
      <formula>NOT(ISERROR(SEARCH(("기타"),(F184))))</formula>
    </cfRule>
    <cfRule type="containsText" dxfId="9054" priority="5485" operator="containsText" text="프로젝트">
      <formula>NOT(ISERROR(SEARCH(("프로젝트"),(F184))))</formula>
    </cfRule>
    <cfRule type="containsText" dxfId="9053" priority="5486" operator="containsText" text="정규교과">
      <formula>NOT(ISERROR(SEARCH(("정규교과"),(F184))))</formula>
    </cfRule>
    <cfRule type="containsText" dxfId="9052" priority="5487" operator="containsText" text="기타">
      <formula>NOT(ISERROR(SEARCH(("기타"),(F184))))</formula>
    </cfRule>
    <cfRule type="containsText" dxfId="9051" priority="5482" operator="containsText" text="프로젝트">
      <formula>NOT(ISERROR(SEARCH(("프로젝트"),(F184))))</formula>
    </cfRule>
    <cfRule type="containsText" dxfId="9050" priority="5472" operator="containsText" text="휴강">
      <formula>NOT(ISERROR(SEARCH(("휴강"),(F184))))</formula>
    </cfRule>
    <cfRule type="containsText" dxfId="9049" priority="5473" operator="containsText" text="프로젝트">
      <formula>NOT(ISERROR(SEARCH(("프로젝트"),(F184))))</formula>
    </cfRule>
    <cfRule type="containsText" dxfId="9048" priority="5474" operator="containsText" text="정규교과">
      <formula>NOT(ISERROR(SEARCH(("정규교과"),(F184))))</formula>
    </cfRule>
    <cfRule type="containsText" dxfId="9047" priority="5475" operator="containsText" text="기타">
      <formula>NOT(ISERROR(SEARCH(("기타"),(F184))))</formula>
    </cfRule>
    <cfRule type="containsText" dxfId="9046" priority="5476" operator="containsText" text="프로젝트">
      <formula>NOT(ISERROR(SEARCH(("프로젝트"),(F184))))</formula>
    </cfRule>
    <cfRule type="containsText" dxfId="9045" priority="5477" operator="containsText" text="정규교과">
      <formula>NOT(ISERROR(SEARCH(("정규교과"),(F184))))</formula>
    </cfRule>
    <cfRule type="containsText" dxfId="9044" priority="5478" operator="containsText" text="기타">
      <formula>NOT(ISERROR(SEARCH(("기타"),(F184))))</formula>
    </cfRule>
    <cfRule type="containsText" dxfId="9043" priority="5479" operator="containsText" text="프로젝트">
      <formula>NOT(ISERROR(SEARCH(("프로젝트"),(F184))))</formula>
    </cfRule>
    <cfRule type="containsText" dxfId="9042" priority="5480" operator="containsText" text="정규교과">
      <formula>NOT(ISERROR(SEARCH(("정규교과"),(F184))))</formula>
    </cfRule>
  </conditionalFormatting>
  <conditionalFormatting sqref="F188:G188">
    <cfRule type="containsText" dxfId="9041" priority="5490" operator="containsText" text="정규교과">
      <formula>NOT(ISERROR(SEARCH(("정규교과"),(F188))))</formula>
    </cfRule>
    <cfRule type="containsText" dxfId="9040" priority="5491" operator="containsText" text="기타">
      <formula>NOT(ISERROR(SEARCH(("기타"),(F188))))</formula>
    </cfRule>
    <cfRule type="containsText" dxfId="9039" priority="5501" operator="containsText" text="프로젝트">
      <formula>NOT(ISERROR(SEARCH(("프로젝트"),(F188))))</formula>
    </cfRule>
    <cfRule type="containsText" dxfId="9038" priority="5502" operator="containsText" text="정규교과">
      <formula>NOT(ISERROR(SEARCH(("정규교과"),(F188))))</formula>
    </cfRule>
    <cfRule type="containsText" dxfId="9037" priority="5492" operator="containsText" text="프로젝트">
      <formula>NOT(ISERROR(SEARCH(("프로젝트"),(F188))))</formula>
    </cfRule>
    <cfRule type="containsText" dxfId="9036" priority="5496" operator="containsText" text="정규교과">
      <formula>NOT(ISERROR(SEARCH(("정규교과"),(F188))))</formula>
    </cfRule>
    <cfRule type="containsText" dxfId="9035" priority="5498" operator="containsText" text="프로젝트">
      <formula>NOT(ISERROR(SEARCH(("프로젝트"),(F188))))</formula>
    </cfRule>
    <cfRule type="containsText" dxfId="9034" priority="5500" operator="containsText" text="기타">
      <formula>NOT(ISERROR(SEARCH(("기타"),(F188))))</formula>
    </cfRule>
    <cfRule type="containsText" dxfId="9033" priority="5499" operator="containsText" text="정규교과">
      <formula>NOT(ISERROR(SEARCH(("정규교과"),(F188))))</formula>
    </cfRule>
    <cfRule type="containsText" dxfId="9032" priority="5494" operator="containsText" text="기타">
      <formula>NOT(ISERROR(SEARCH(("기타"),(F188))))</formula>
    </cfRule>
    <cfRule type="containsText" dxfId="9031" priority="5493" operator="containsText" text="정규교과">
      <formula>NOT(ISERROR(SEARCH(("정규교과"),(F188))))</formula>
    </cfRule>
    <cfRule type="containsText" dxfId="9030" priority="5489" operator="containsText" text="프로젝트">
      <formula>NOT(ISERROR(SEARCH(("프로젝트"),(F188))))</formula>
    </cfRule>
    <cfRule type="containsText" dxfId="9029" priority="5488" operator="containsText" text="휴강">
      <formula>NOT(ISERROR(SEARCH(("휴강"),(F188))))</formula>
    </cfRule>
    <cfRule type="containsText" dxfId="9028" priority="5497" operator="containsText" text="기타">
      <formula>NOT(ISERROR(SEARCH(("기타"),(F188))))</formula>
    </cfRule>
    <cfRule type="containsText" dxfId="9027" priority="5495" operator="containsText" text="프로젝트">
      <formula>NOT(ISERROR(SEARCH(("프로젝트"),(F188))))</formula>
    </cfRule>
    <cfRule type="containsText" dxfId="9026" priority="5503" operator="containsText" text="기타">
      <formula>NOT(ISERROR(SEARCH(("기타"),(F188))))</formula>
    </cfRule>
  </conditionalFormatting>
  <conditionalFormatting sqref="F209:G209">
    <cfRule type="containsText" dxfId="9025" priority="5514" operator="containsText" text="프로젝트">
      <formula>NOT(ISERROR(SEARCH(("프로젝트"),(F209))))</formula>
    </cfRule>
    <cfRule type="containsText" dxfId="9024" priority="5513" operator="containsText" text="기타">
      <formula>NOT(ISERROR(SEARCH(("기타"),(F209))))</formula>
    </cfRule>
    <cfRule type="containsText" dxfId="9023" priority="5511" operator="containsText" text="프로젝트">
      <formula>NOT(ISERROR(SEARCH(("프로젝트"),(F209))))</formula>
    </cfRule>
    <cfRule type="containsText" dxfId="9022" priority="5510" operator="containsText" text="기타">
      <formula>NOT(ISERROR(SEARCH(("기타"),(F209))))</formula>
    </cfRule>
    <cfRule type="containsText" dxfId="9021" priority="5506" operator="containsText" text="정규교과">
      <formula>NOT(ISERROR(SEARCH(("정규교과"),(F209))))</formula>
    </cfRule>
    <cfRule type="containsText" dxfId="9020" priority="5518" operator="containsText" text="정규교과">
      <formula>NOT(ISERROR(SEARCH(("정규교과"),(F209))))</formula>
    </cfRule>
    <cfRule type="containsText" dxfId="9019" priority="5512" operator="containsText" text="정규교과">
      <formula>NOT(ISERROR(SEARCH(("정규교과"),(F209))))</formula>
    </cfRule>
    <cfRule type="containsText" dxfId="9018" priority="5504" operator="containsText" text="휴강">
      <formula>NOT(ISERROR(SEARCH(("휴강"),(F209))))</formula>
    </cfRule>
    <cfRule type="containsText" dxfId="9017" priority="5505" operator="containsText" text="프로젝트">
      <formula>NOT(ISERROR(SEARCH(("프로젝트"),(F209))))</formula>
    </cfRule>
    <cfRule type="containsText" dxfId="9016" priority="5508" operator="containsText" text="프로젝트">
      <formula>NOT(ISERROR(SEARCH(("프로젝트"),(F209))))</formula>
    </cfRule>
    <cfRule type="containsText" dxfId="9015" priority="5507" operator="containsText" text="기타">
      <formula>NOT(ISERROR(SEARCH(("기타"),(F209))))</formula>
    </cfRule>
    <cfRule type="containsText" dxfId="9014" priority="5516" operator="containsText" text="기타">
      <formula>NOT(ISERROR(SEARCH(("기타"),(F209))))</formula>
    </cfRule>
    <cfRule type="containsText" dxfId="9013" priority="5515" operator="containsText" text="정규교과">
      <formula>NOT(ISERROR(SEARCH(("정규교과"),(F209))))</formula>
    </cfRule>
    <cfRule type="containsText" dxfId="9012" priority="5519" operator="containsText" text="기타">
      <formula>NOT(ISERROR(SEARCH(("기타"),(F209))))</formula>
    </cfRule>
    <cfRule type="containsText" dxfId="9011" priority="5509" operator="containsText" text="정규교과">
      <formula>NOT(ISERROR(SEARCH(("정규교과"),(F209))))</formula>
    </cfRule>
    <cfRule type="containsText" dxfId="9010" priority="5517" operator="containsText" text="프로젝트">
      <formula>NOT(ISERROR(SEARCH(("프로젝트"),(F209))))</formula>
    </cfRule>
  </conditionalFormatting>
  <conditionalFormatting sqref="F250:G250">
    <cfRule type="containsText" dxfId="9009" priority="3871" operator="containsText" text="정규교과">
      <formula>NOT(ISERROR(SEARCH(("정규교과"),(F250))))</formula>
    </cfRule>
    <cfRule type="containsText" dxfId="9008" priority="3870" operator="containsText" text="프로젝트">
      <formula>NOT(ISERROR(SEARCH(("프로젝트"),(F250))))</formula>
    </cfRule>
    <cfRule type="containsText" dxfId="9007" priority="3864" operator="containsText" text="프로젝트">
      <formula>NOT(ISERROR(SEARCH(("프로젝트"),(F250))))</formula>
    </cfRule>
    <cfRule type="containsText" dxfId="9006" priority="3863" operator="containsText" text="기타">
      <formula>NOT(ISERROR(SEARCH(("기타"),(F250))))</formula>
    </cfRule>
    <cfRule type="containsText" dxfId="9005" priority="3862" operator="containsText" text="정규교과">
      <formula>NOT(ISERROR(SEARCH(("정규교과"),(F250))))</formula>
    </cfRule>
    <cfRule type="containsText" dxfId="9004" priority="3861" operator="containsText" text="프로젝트">
      <formula>NOT(ISERROR(SEARCH(("프로젝트"),(F250))))</formula>
    </cfRule>
    <cfRule type="containsText" dxfId="9003" priority="3868" operator="containsText" text="정규교과">
      <formula>NOT(ISERROR(SEARCH(("정규교과"),(F250))))</formula>
    </cfRule>
    <cfRule type="containsText" dxfId="9002" priority="3866" operator="containsText" text="기타">
      <formula>NOT(ISERROR(SEARCH(("기타"),(F250))))</formula>
    </cfRule>
    <cfRule type="containsText" dxfId="9001" priority="3867" operator="containsText" text="프로젝트">
      <formula>NOT(ISERROR(SEARCH(("프로젝트"),(F250))))</formula>
    </cfRule>
    <cfRule type="containsText" dxfId="9000" priority="3872" operator="containsText" text="기타">
      <formula>NOT(ISERROR(SEARCH(("기타"),(F250))))</formula>
    </cfRule>
    <cfRule type="containsText" dxfId="8999" priority="3869" operator="containsText" text="기타">
      <formula>NOT(ISERROR(SEARCH(("기타"),(F250))))</formula>
    </cfRule>
    <cfRule type="containsText" dxfId="8998" priority="3860" operator="containsText" text="휴강">
      <formula>NOT(ISERROR(SEARCH(("휴강"),(F250))))</formula>
    </cfRule>
    <cfRule type="containsText" dxfId="8997" priority="3865" operator="containsText" text="정규교과">
      <formula>NOT(ISERROR(SEARCH(("정규교과"),(F250))))</formula>
    </cfRule>
  </conditionalFormatting>
  <conditionalFormatting sqref="F254:G254">
    <cfRule type="containsText" dxfId="8996" priority="3751" operator="containsText" text="정규교과">
      <formula>NOT(ISERROR(SEARCH(("정규교과"),(F254))))</formula>
    </cfRule>
    <cfRule type="containsText" dxfId="8995" priority="3752" operator="containsText" text="기타">
      <formula>NOT(ISERROR(SEARCH(("기타"),(F254))))</formula>
    </cfRule>
    <cfRule type="containsText" dxfId="8994" priority="3753" operator="containsText" text="프로젝트">
      <formula>NOT(ISERROR(SEARCH(("프로젝트"),(F254))))</formula>
    </cfRule>
    <cfRule type="containsText" dxfId="8993" priority="3754" operator="containsText" text="정규교과">
      <formula>NOT(ISERROR(SEARCH(("정규교과"),(F254))))</formula>
    </cfRule>
    <cfRule type="containsText" dxfId="8992" priority="3755" operator="containsText" text="기타">
      <formula>NOT(ISERROR(SEARCH(("기타"),(F254))))</formula>
    </cfRule>
    <cfRule type="containsText" dxfId="8991" priority="3756" operator="containsText" text="프로젝트">
      <formula>NOT(ISERROR(SEARCH(("프로젝트"),(F254))))</formula>
    </cfRule>
    <cfRule type="containsText" dxfId="8990" priority="3757" operator="containsText" text="정규교과">
      <formula>NOT(ISERROR(SEARCH(("정규교과"),(F254))))</formula>
    </cfRule>
    <cfRule type="containsText" dxfId="8989" priority="3758" operator="containsText" text="기타">
      <formula>NOT(ISERROR(SEARCH(("기타"),(F254))))</formula>
    </cfRule>
    <cfRule type="containsText" dxfId="8988" priority="3759" operator="containsText" text="프로젝트">
      <formula>NOT(ISERROR(SEARCH(("프로젝트"),(F254))))</formula>
    </cfRule>
    <cfRule type="containsText" dxfId="8987" priority="3761" operator="containsText" text="기타">
      <formula>NOT(ISERROR(SEARCH(("기타"),(F254))))</formula>
    </cfRule>
    <cfRule type="containsText" dxfId="8986" priority="3760" operator="containsText" text="정규교과">
      <formula>NOT(ISERROR(SEARCH(("정규교과"),(F254))))</formula>
    </cfRule>
    <cfRule type="containsText" dxfId="8985" priority="3750" operator="containsText" text="프로젝트">
      <formula>NOT(ISERROR(SEARCH(("프로젝트"),(F254))))</formula>
    </cfRule>
    <cfRule type="containsText" dxfId="8984" priority="3749" operator="containsText" text="휴강">
      <formula>NOT(ISERROR(SEARCH(("휴강"),(F254))))</formula>
    </cfRule>
  </conditionalFormatting>
  <conditionalFormatting sqref="F258:G258">
    <cfRule type="containsText" dxfId="8983" priority="3650" operator="containsText" text="기타">
      <formula>NOT(ISERROR(SEARCH(("기타"),(F258))))</formula>
    </cfRule>
    <cfRule type="containsText" dxfId="8982" priority="3649" operator="containsText" text="정규교과">
      <formula>NOT(ISERROR(SEARCH(("정규교과"),(F258))))</formula>
    </cfRule>
    <cfRule type="containsText" dxfId="8981" priority="3648" operator="containsText" text="프로젝트">
      <formula>NOT(ISERROR(SEARCH(("프로젝트"),(F258))))</formula>
    </cfRule>
    <cfRule type="containsText" dxfId="8980" priority="3647" operator="containsText" text="기타">
      <formula>NOT(ISERROR(SEARCH(("기타"),(F258))))</formula>
    </cfRule>
    <cfRule type="containsText" dxfId="8979" priority="3638" operator="containsText" text="휴강">
      <formula>NOT(ISERROR(SEARCH(("휴강"),(F258))))</formula>
    </cfRule>
    <cfRule type="containsText" dxfId="8978" priority="3639" operator="containsText" text="프로젝트">
      <formula>NOT(ISERROR(SEARCH(("프로젝트"),(F258))))</formula>
    </cfRule>
    <cfRule type="containsText" dxfId="8977" priority="3641" operator="containsText" text="기타">
      <formula>NOT(ISERROR(SEARCH(("기타"),(F258))))</formula>
    </cfRule>
    <cfRule type="containsText" dxfId="8976" priority="3642" operator="containsText" text="프로젝트">
      <formula>NOT(ISERROR(SEARCH(("프로젝트"),(F258))))</formula>
    </cfRule>
    <cfRule type="containsText" dxfId="8975" priority="3643" operator="containsText" text="정규교과">
      <formula>NOT(ISERROR(SEARCH(("정규교과"),(F258))))</formula>
    </cfRule>
    <cfRule type="containsText" dxfId="8974" priority="3644" operator="containsText" text="기타">
      <formula>NOT(ISERROR(SEARCH(("기타"),(F258))))</formula>
    </cfRule>
    <cfRule type="containsText" dxfId="8973" priority="3645" operator="containsText" text="프로젝트">
      <formula>NOT(ISERROR(SEARCH(("프로젝트"),(F258))))</formula>
    </cfRule>
    <cfRule type="containsText" dxfId="8972" priority="3646" operator="containsText" text="정규교과">
      <formula>NOT(ISERROR(SEARCH(("정규교과"),(F258))))</formula>
    </cfRule>
    <cfRule type="containsText" dxfId="8971" priority="3640" operator="containsText" text="정규교과">
      <formula>NOT(ISERROR(SEARCH(("정규교과"),(F258))))</formula>
    </cfRule>
  </conditionalFormatting>
  <conditionalFormatting sqref="F263:G263">
    <cfRule type="containsText" dxfId="8970" priority="3527" operator="containsText" text="휴강">
      <formula>NOT(ISERROR(SEARCH(("휴강"),(F263))))</formula>
    </cfRule>
    <cfRule type="containsText" dxfId="8969" priority="3530" operator="containsText" text="기타">
      <formula>NOT(ISERROR(SEARCH(("기타"),(F263))))</formula>
    </cfRule>
    <cfRule type="containsText" dxfId="8968" priority="3533" operator="containsText" text="기타">
      <formula>NOT(ISERROR(SEARCH(("기타"),(F263))))</formula>
    </cfRule>
    <cfRule type="containsText" dxfId="8967" priority="3529" operator="containsText" text="정규교과">
      <formula>NOT(ISERROR(SEARCH(("정규교과"),(F263))))</formula>
    </cfRule>
    <cfRule type="containsText" dxfId="8966" priority="3534" operator="containsText" text="프로젝트">
      <formula>NOT(ISERROR(SEARCH(("프로젝트"),(F263))))</formula>
    </cfRule>
    <cfRule type="containsText" dxfId="8965" priority="3531" operator="containsText" text="프로젝트">
      <formula>NOT(ISERROR(SEARCH(("프로젝트"),(F263))))</formula>
    </cfRule>
    <cfRule type="containsText" dxfId="8964" priority="3528" operator="containsText" text="프로젝트">
      <formula>NOT(ISERROR(SEARCH(("프로젝트"),(F263))))</formula>
    </cfRule>
    <cfRule type="containsText" dxfId="8963" priority="3535" operator="containsText" text="정규교과">
      <formula>NOT(ISERROR(SEARCH(("정규교과"),(F263))))</formula>
    </cfRule>
    <cfRule type="containsText" dxfId="8962" priority="3536" operator="containsText" text="기타">
      <formula>NOT(ISERROR(SEARCH(("기타"),(F263))))</formula>
    </cfRule>
    <cfRule type="containsText" dxfId="8961" priority="3537" operator="containsText" text="프로젝트">
      <formula>NOT(ISERROR(SEARCH(("프로젝트"),(F263))))</formula>
    </cfRule>
    <cfRule type="containsText" dxfId="8960" priority="3538" operator="containsText" text="정규교과">
      <formula>NOT(ISERROR(SEARCH(("정규교과"),(F263))))</formula>
    </cfRule>
    <cfRule type="containsText" dxfId="8959" priority="3539" operator="containsText" text="기타">
      <formula>NOT(ISERROR(SEARCH(("기타"),(F263))))</formula>
    </cfRule>
    <cfRule type="containsText" dxfId="8958" priority="3532" operator="containsText" text="정규교과">
      <formula>NOT(ISERROR(SEARCH(("정규교과"),(F263))))</formula>
    </cfRule>
  </conditionalFormatting>
  <conditionalFormatting sqref="F267:G267">
    <cfRule type="containsText" dxfId="8957" priority="3420" operator="containsText" text="프로젝트">
      <formula>NOT(ISERROR(SEARCH(("프로젝트"),(F267))))</formula>
    </cfRule>
    <cfRule type="containsText" dxfId="8956" priority="3421" operator="containsText" text="정규교과">
      <formula>NOT(ISERROR(SEARCH(("정규교과"),(F267))))</formula>
    </cfRule>
    <cfRule type="containsText" dxfId="8955" priority="3422" operator="containsText" text="기타">
      <formula>NOT(ISERROR(SEARCH(("기타"),(F267))))</formula>
    </cfRule>
    <cfRule type="containsText" dxfId="8954" priority="3423" operator="containsText" text="프로젝트">
      <formula>NOT(ISERROR(SEARCH(("프로젝트"),(F267))))</formula>
    </cfRule>
    <cfRule type="containsText" dxfId="8953" priority="3424" operator="containsText" text="정규교과">
      <formula>NOT(ISERROR(SEARCH(("정규교과"),(F267))))</formula>
    </cfRule>
    <cfRule type="containsText" dxfId="8952" priority="3425" operator="containsText" text="기타">
      <formula>NOT(ISERROR(SEARCH(("기타"),(F267))))</formula>
    </cfRule>
    <cfRule type="containsText" dxfId="8951" priority="3426" operator="containsText" text="프로젝트">
      <formula>NOT(ISERROR(SEARCH(("프로젝트"),(F267))))</formula>
    </cfRule>
    <cfRule type="containsText" dxfId="8950" priority="3427" operator="containsText" text="정규교과">
      <formula>NOT(ISERROR(SEARCH(("정규교과"),(F267))))</formula>
    </cfRule>
    <cfRule type="containsText" dxfId="8949" priority="3428" operator="containsText" text="기타">
      <formula>NOT(ISERROR(SEARCH(("기타"),(F267))))</formula>
    </cfRule>
    <cfRule type="containsText" dxfId="8948" priority="3418" operator="containsText" text="정규교과">
      <formula>NOT(ISERROR(SEARCH(("정규교과"),(F267))))</formula>
    </cfRule>
    <cfRule type="containsText" dxfId="8947" priority="3416" operator="containsText" text="휴강">
      <formula>NOT(ISERROR(SEARCH(("휴강"),(F267))))</formula>
    </cfRule>
    <cfRule type="containsText" dxfId="8946" priority="3417" operator="containsText" text="프로젝트">
      <formula>NOT(ISERROR(SEARCH(("프로젝트"),(F267))))</formula>
    </cfRule>
    <cfRule type="containsText" dxfId="8945" priority="3419" operator="containsText" text="기타">
      <formula>NOT(ISERROR(SEARCH(("기타"),(F267))))</formula>
    </cfRule>
  </conditionalFormatting>
  <conditionalFormatting sqref="F271:G271">
    <cfRule type="containsText" dxfId="8944" priority="3313" operator="containsText" text="정규교과">
      <formula>NOT(ISERROR(SEARCH(("정규교과"),(F271))))</formula>
    </cfRule>
    <cfRule type="containsText" dxfId="8943" priority="3309" operator="containsText" text="프로젝트">
      <formula>NOT(ISERROR(SEARCH(("프로젝트"),(F271))))</formula>
    </cfRule>
    <cfRule type="containsText" dxfId="8942" priority="3308" operator="containsText" text="기타">
      <formula>NOT(ISERROR(SEARCH(("기타"),(F271))))</formula>
    </cfRule>
    <cfRule type="containsText" dxfId="8941" priority="3307" operator="containsText" text="정규교과">
      <formula>NOT(ISERROR(SEARCH(("정규교과"),(F271))))</formula>
    </cfRule>
    <cfRule type="containsText" dxfId="8940" priority="3306" operator="containsText" text="프로젝트">
      <formula>NOT(ISERROR(SEARCH(("프로젝트"),(F271))))</formula>
    </cfRule>
    <cfRule type="containsText" dxfId="8939" priority="3305" operator="containsText" text="휴강">
      <formula>NOT(ISERROR(SEARCH(("휴강"),(F271))))</formula>
    </cfRule>
    <cfRule type="containsText" dxfId="8938" priority="3317" operator="containsText" text="기타">
      <formula>NOT(ISERROR(SEARCH(("기타"),(F271))))</formula>
    </cfRule>
    <cfRule type="containsText" dxfId="8937" priority="3316" operator="containsText" text="정규교과">
      <formula>NOT(ISERROR(SEARCH(("정규교과"),(F271))))</formula>
    </cfRule>
    <cfRule type="containsText" dxfId="8936" priority="3315" operator="containsText" text="프로젝트">
      <formula>NOT(ISERROR(SEARCH(("프로젝트"),(F271))))</formula>
    </cfRule>
    <cfRule type="containsText" dxfId="8935" priority="3314" operator="containsText" text="기타">
      <formula>NOT(ISERROR(SEARCH(("기타"),(F271))))</formula>
    </cfRule>
    <cfRule type="containsText" dxfId="8934" priority="3312" operator="containsText" text="프로젝트">
      <formula>NOT(ISERROR(SEARCH(("프로젝트"),(F271))))</formula>
    </cfRule>
    <cfRule type="containsText" dxfId="8933" priority="3311" operator="containsText" text="기타">
      <formula>NOT(ISERROR(SEARCH(("기타"),(F271))))</formula>
    </cfRule>
    <cfRule type="containsText" dxfId="8932" priority="3310" operator="containsText" text="정규교과">
      <formula>NOT(ISERROR(SEARCH(("정규교과"),(F271))))</formula>
    </cfRule>
  </conditionalFormatting>
  <conditionalFormatting sqref="F275:G275">
    <cfRule type="containsText" dxfId="8931" priority="3203" operator="containsText" text="기타">
      <formula>NOT(ISERROR(SEARCH(("기타"),(F275))))</formula>
    </cfRule>
    <cfRule type="containsText" dxfId="8930" priority="3197" operator="containsText" text="기타">
      <formula>NOT(ISERROR(SEARCH(("기타"),(F275))))</formula>
    </cfRule>
    <cfRule type="containsText" dxfId="8929" priority="3194" operator="containsText" text="휴강">
      <formula>NOT(ISERROR(SEARCH(("휴강"),(F275))))</formula>
    </cfRule>
    <cfRule type="containsText" dxfId="8928" priority="3195" operator="containsText" text="프로젝트">
      <formula>NOT(ISERROR(SEARCH(("프로젝트"),(F275))))</formula>
    </cfRule>
    <cfRule type="containsText" dxfId="8927" priority="3202" operator="containsText" text="정규교과">
      <formula>NOT(ISERROR(SEARCH(("정규교과"),(F275))))</formula>
    </cfRule>
    <cfRule type="containsText" dxfId="8926" priority="3199" operator="containsText" text="정규교과">
      <formula>NOT(ISERROR(SEARCH(("정규교과"),(F275))))</formula>
    </cfRule>
    <cfRule type="containsText" dxfId="8925" priority="3201" operator="containsText" text="프로젝트">
      <formula>NOT(ISERROR(SEARCH(("프로젝트"),(F275))))</formula>
    </cfRule>
    <cfRule type="containsText" dxfId="8924" priority="3200" operator="containsText" text="기타">
      <formula>NOT(ISERROR(SEARCH(("기타"),(F275))))</formula>
    </cfRule>
    <cfRule type="containsText" dxfId="8923" priority="3206" operator="containsText" text="기타">
      <formula>NOT(ISERROR(SEARCH(("기타"),(F275))))</formula>
    </cfRule>
    <cfRule type="containsText" dxfId="8922" priority="3205" operator="containsText" text="정규교과">
      <formula>NOT(ISERROR(SEARCH(("정규교과"),(F275))))</formula>
    </cfRule>
    <cfRule type="containsText" dxfId="8921" priority="3204" operator="containsText" text="프로젝트">
      <formula>NOT(ISERROR(SEARCH(("프로젝트"),(F275))))</formula>
    </cfRule>
    <cfRule type="containsText" dxfId="8920" priority="3196" operator="containsText" text="정규교과">
      <formula>NOT(ISERROR(SEARCH(("정규교과"),(F275))))</formula>
    </cfRule>
    <cfRule type="containsText" dxfId="8919" priority="3198" operator="containsText" text="프로젝트">
      <formula>NOT(ISERROR(SEARCH(("프로젝트"),(F275))))</formula>
    </cfRule>
  </conditionalFormatting>
  <conditionalFormatting sqref="F279:G279">
    <cfRule type="containsText" dxfId="8918" priority="3088" operator="containsText" text="정규교과">
      <formula>NOT(ISERROR(SEARCH(("정규교과"),(F279))))</formula>
    </cfRule>
    <cfRule type="containsText" dxfId="8917" priority="3087" operator="containsText" text="프로젝트">
      <formula>NOT(ISERROR(SEARCH(("프로젝트"),(F279))))</formula>
    </cfRule>
    <cfRule type="containsText" dxfId="8916" priority="3086" operator="containsText" text="기타">
      <formula>NOT(ISERROR(SEARCH(("기타"),(F279))))</formula>
    </cfRule>
    <cfRule type="containsText" dxfId="8915" priority="3084" operator="containsText" text="프로젝트">
      <formula>NOT(ISERROR(SEARCH(("프로젝트"),(F279))))</formula>
    </cfRule>
    <cfRule type="containsText" dxfId="8914" priority="3083" operator="containsText" text="휴강">
      <formula>NOT(ISERROR(SEARCH(("휴강"),(F279))))</formula>
    </cfRule>
    <cfRule type="containsText" dxfId="8913" priority="3085" operator="containsText" text="정규교과">
      <formula>NOT(ISERROR(SEARCH(("정규교과"),(F279))))</formula>
    </cfRule>
    <cfRule type="containsText" dxfId="8912" priority="3095" operator="containsText" text="기타">
      <formula>NOT(ISERROR(SEARCH(("기타"),(F279))))</formula>
    </cfRule>
    <cfRule type="containsText" dxfId="8911" priority="3094" operator="containsText" text="정규교과">
      <formula>NOT(ISERROR(SEARCH(("정규교과"),(F279))))</formula>
    </cfRule>
    <cfRule type="containsText" dxfId="8910" priority="3093" operator="containsText" text="프로젝트">
      <formula>NOT(ISERROR(SEARCH(("프로젝트"),(F279))))</formula>
    </cfRule>
    <cfRule type="containsText" dxfId="8909" priority="3092" operator="containsText" text="기타">
      <formula>NOT(ISERROR(SEARCH(("기타"),(F279))))</formula>
    </cfRule>
    <cfRule type="containsText" dxfId="8908" priority="3091" operator="containsText" text="정규교과">
      <formula>NOT(ISERROR(SEARCH(("정규교과"),(F279))))</formula>
    </cfRule>
    <cfRule type="containsText" dxfId="8907" priority="3090" operator="containsText" text="프로젝트">
      <formula>NOT(ISERROR(SEARCH(("프로젝트"),(F279))))</formula>
    </cfRule>
    <cfRule type="containsText" dxfId="8906" priority="3089" operator="containsText" text="기타">
      <formula>NOT(ISERROR(SEARCH(("기타"),(F279))))</formula>
    </cfRule>
  </conditionalFormatting>
  <conditionalFormatting sqref="F75:H75">
    <cfRule type="containsText" dxfId="8905" priority="10660" operator="containsText" text="기타">
      <formula>NOT(ISERROR(SEARCH(("기타"),(F75))))</formula>
    </cfRule>
    <cfRule type="containsText" dxfId="8904" priority="10659" operator="containsText" text="정규교과">
      <formula>NOT(ISERROR(SEARCH(("정규교과"),(F75))))</formula>
    </cfRule>
    <cfRule type="containsText" dxfId="8903" priority="10658" operator="containsText" text="프로젝트">
      <formula>NOT(ISERROR(SEARCH(("프로젝트"),(F75))))</formula>
    </cfRule>
    <cfRule type="containsText" dxfId="8902" priority="10657" operator="containsText" text="기타">
      <formula>NOT(ISERROR(SEARCH(("기타"),(F75))))</formula>
    </cfRule>
    <cfRule type="containsText" dxfId="8901" priority="10656" operator="containsText" text="정규교과">
      <formula>NOT(ISERROR(SEARCH(("정규교과"),(F75))))</formula>
    </cfRule>
    <cfRule type="containsText" dxfId="8900" priority="10655" operator="containsText" text="프로젝트">
      <formula>NOT(ISERROR(SEARCH(("프로젝트"),(F75))))</formula>
    </cfRule>
    <cfRule type="containsText" dxfId="8899" priority="10661" operator="containsText" text="프로젝트">
      <formula>NOT(ISERROR(SEARCH(("프로젝트"),(F75))))</formula>
    </cfRule>
    <cfRule type="containsText" dxfId="8898" priority="10663" operator="containsText" text="기타">
      <formula>NOT(ISERROR(SEARCH(("기타"),(F75))))</formula>
    </cfRule>
    <cfRule type="containsText" dxfId="8897" priority="10664" operator="containsText" text="프로젝트">
      <formula>NOT(ISERROR(SEARCH(("프로젝트"),(F75))))</formula>
    </cfRule>
    <cfRule type="containsText" dxfId="8896" priority="10665" operator="containsText" text="정규교과">
      <formula>NOT(ISERROR(SEARCH(("정규교과"),(F75))))</formula>
    </cfRule>
    <cfRule type="containsText" dxfId="8895" priority="10666" operator="containsText" text="기타">
      <formula>NOT(ISERROR(SEARCH(("기타"),(F75))))</formula>
    </cfRule>
    <cfRule type="containsText" dxfId="8894" priority="10667" operator="containsText" text="프로젝트">
      <formula>NOT(ISERROR(SEARCH(("프로젝트"),(F75))))</formula>
    </cfRule>
    <cfRule type="containsText" dxfId="8893" priority="10668" operator="containsText" text="정규교과">
      <formula>NOT(ISERROR(SEARCH(("정규교과"),(F75))))</formula>
    </cfRule>
    <cfRule type="containsText" dxfId="8892" priority="10669" operator="containsText" text="기타">
      <formula>NOT(ISERROR(SEARCH(("기타"),(F75))))</formula>
    </cfRule>
    <cfRule type="containsText" dxfId="8891" priority="10670" operator="containsText" text="프로젝트">
      <formula>NOT(ISERROR(SEARCH(("프로젝트"),(F75))))</formula>
    </cfRule>
    <cfRule type="containsText" dxfId="8890" priority="10671" operator="containsText" text="정규교과">
      <formula>NOT(ISERROR(SEARCH(("정규교과"),(F75))))</formula>
    </cfRule>
    <cfRule type="containsText" dxfId="8889" priority="10672" operator="containsText" text="기타">
      <formula>NOT(ISERROR(SEARCH(("기타"),(F75))))</formula>
    </cfRule>
    <cfRule type="containsText" dxfId="8888" priority="10673" operator="containsText" text="프로젝트">
      <formula>NOT(ISERROR(SEARCH(("프로젝트"),(F75))))</formula>
    </cfRule>
    <cfRule type="containsText" dxfId="8887" priority="10674" operator="containsText" text="정규교과">
      <formula>NOT(ISERROR(SEARCH(("정규교과"),(F75))))</formula>
    </cfRule>
    <cfRule type="containsText" dxfId="8886" priority="10675" operator="containsText" text="기타">
      <formula>NOT(ISERROR(SEARCH(("기타"),(F75))))</formula>
    </cfRule>
    <cfRule type="containsText" dxfId="8885" priority="10676" operator="containsText" text="프로젝트">
      <formula>NOT(ISERROR(SEARCH(("프로젝트"),(F75))))</formula>
    </cfRule>
    <cfRule type="containsText" dxfId="8884" priority="10677" operator="containsText" text="정규교과">
      <formula>NOT(ISERROR(SEARCH(("정규교과"),(F75))))</formula>
    </cfRule>
    <cfRule type="containsText" dxfId="8883" priority="10678" operator="containsText" text="기타">
      <formula>NOT(ISERROR(SEARCH(("기타"),(F75))))</formula>
    </cfRule>
    <cfRule type="containsText" dxfId="8882" priority="10679" operator="containsText" text="프로젝트">
      <formula>NOT(ISERROR(SEARCH(("프로젝트"),(F75))))</formula>
    </cfRule>
    <cfRule type="containsText" dxfId="8881" priority="10680" operator="containsText" text="정규교과">
      <formula>NOT(ISERROR(SEARCH(("정규교과"),(F75))))</formula>
    </cfRule>
    <cfRule type="containsText" dxfId="8880" priority="10681" operator="containsText" text="기타">
      <formula>NOT(ISERROR(SEARCH(("기타"),(F75))))</formula>
    </cfRule>
    <cfRule type="containsText" dxfId="8879" priority="10653" operator="containsText" text="정규교과">
      <formula>NOT(ISERROR(SEARCH(("정규교과"),(F75))))</formula>
    </cfRule>
    <cfRule type="containsText" dxfId="8878" priority="10662" operator="containsText" text="정규교과">
      <formula>NOT(ISERROR(SEARCH(("정규교과"),(F75))))</formula>
    </cfRule>
    <cfRule type="containsText" dxfId="8877" priority="10684" operator="containsText" text="기타">
      <formula>NOT(ISERROR(SEARCH(("기타"),(F75))))</formula>
    </cfRule>
    <cfRule type="containsText" dxfId="8876" priority="10685" operator="containsText" text="프로젝트">
      <formula>NOT(ISERROR(SEARCH(("프로젝트"),(F75))))</formula>
    </cfRule>
    <cfRule type="containsText" dxfId="8875" priority="10686" operator="containsText" text="정규교과">
      <formula>NOT(ISERROR(SEARCH(("정규교과"),(F75))))</formula>
    </cfRule>
    <cfRule type="containsText" dxfId="8874" priority="10687" operator="containsText" text="기타">
      <formula>NOT(ISERROR(SEARCH(("기타"),(F75))))</formula>
    </cfRule>
    <cfRule type="containsText" dxfId="8873" priority="10688" operator="containsText" text="휴강">
      <formula>NOT(ISERROR(SEARCH(("휴강"),(F75))))</formula>
    </cfRule>
    <cfRule type="containsText" dxfId="8872" priority="10689" operator="containsText" text="프로젝트">
      <formula>NOT(ISERROR(SEARCH(("프로젝트"),(F75))))</formula>
    </cfRule>
    <cfRule type="containsText" dxfId="8871" priority="10690" operator="containsText" text="정규교과">
      <formula>NOT(ISERROR(SEARCH(("정규교과"),(F75))))</formula>
    </cfRule>
    <cfRule type="containsText" dxfId="8870" priority="10691" operator="containsText" text="기타">
      <formula>NOT(ISERROR(SEARCH(("기타"),(F75))))</formula>
    </cfRule>
    <cfRule type="containsText" dxfId="8869" priority="10692" operator="containsText" text="프로젝트">
      <formula>NOT(ISERROR(SEARCH(("프로젝트"),(F75))))</formula>
    </cfRule>
    <cfRule type="containsText" dxfId="8868" priority="10693" operator="containsText" text="정규교과">
      <formula>NOT(ISERROR(SEARCH(("정규교과"),(F75))))</formula>
    </cfRule>
    <cfRule type="containsText" dxfId="8867" priority="10683" operator="containsText" text="정규교과">
      <formula>NOT(ISERROR(SEARCH(("정규교과"),(F75))))</formula>
    </cfRule>
    <cfRule type="containsText" dxfId="8866" priority="10699" operator="containsText" text="정규교과">
      <formula>NOT(ISERROR(SEARCH(("정규교과"),(F75))))</formula>
    </cfRule>
    <cfRule type="containsText" dxfId="8865" priority="10694" operator="containsText" text="기타">
      <formula>NOT(ISERROR(SEARCH(("기타"),(F75))))</formula>
    </cfRule>
    <cfRule type="containsText" dxfId="8864" priority="10654" operator="containsText" text="기타">
      <formula>NOT(ISERROR(SEARCH(("기타"),(F75))))</formula>
    </cfRule>
    <cfRule type="containsText" dxfId="8863" priority="10703" operator="containsText" text="기타">
      <formula>NOT(ISERROR(SEARCH(("기타"),(F75))))</formula>
    </cfRule>
    <cfRule type="containsText" dxfId="8862" priority="10702" operator="containsText" text="정규교과">
      <formula>NOT(ISERROR(SEARCH(("정규교과"),(F75))))</formula>
    </cfRule>
    <cfRule type="containsText" dxfId="8861" priority="10700" operator="containsText" text="기타">
      <formula>NOT(ISERROR(SEARCH(("기타"),(F75))))</formula>
    </cfRule>
    <cfRule type="containsText" dxfId="8860" priority="10698" operator="containsText" text="프로젝트">
      <formula>NOT(ISERROR(SEARCH(("프로젝트"),(F75))))</formula>
    </cfRule>
    <cfRule type="containsText" dxfId="8859" priority="10697" operator="containsText" text="기타">
      <formula>NOT(ISERROR(SEARCH(("기타"),(F75))))</formula>
    </cfRule>
    <cfRule type="containsText" dxfId="8858" priority="10696" operator="containsText" text="정규교과">
      <formula>NOT(ISERROR(SEARCH(("정규교과"),(F75))))</formula>
    </cfRule>
    <cfRule type="containsText" dxfId="8857" priority="10695" operator="containsText" text="프로젝트">
      <formula>NOT(ISERROR(SEARCH(("프로젝트"),(F75))))</formula>
    </cfRule>
    <cfRule type="containsText" dxfId="8856" priority="10682" operator="containsText" text="프로젝트">
      <formula>NOT(ISERROR(SEARCH(("프로젝트"),(F75))))</formula>
    </cfRule>
  </conditionalFormatting>
  <conditionalFormatting sqref="F79:H79">
    <cfRule type="containsText" dxfId="8855" priority="10591" operator="containsText" text="프로젝트">
      <formula>NOT(ISERROR(SEARCH(("프로젝트"),(F79))))</formula>
    </cfRule>
    <cfRule type="containsText" dxfId="8854" priority="10593" operator="containsText" text="기타">
      <formula>NOT(ISERROR(SEARCH(("기타"),(F79))))</formula>
    </cfRule>
    <cfRule type="containsText" dxfId="8853" priority="10594" operator="containsText" text="프로젝트">
      <formula>NOT(ISERROR(SEARCH(("프로젝트"),(F79))))</formula>
    </cfRule>
    <cfRule type="containsText" dxfId="8852" priority="10595" operator="containsText" text="정규교과">
      <formula>NOT(ISERROR(SEARCH(("정규교과"),(F79))))</formula>
    </cfRule>
    <cfRule type="containsText" dxfId="8851" priority="10582" operator="containsText" text="정규교과">
      <formula>NOT(ISERROR(SEARCH(("정규교과"),(F79))))</formula>
    </cfRule>
    <cfRule type="containsText" dxfId="8850" priority="10581" operator="containsText" text="프로젝트">
      <formula>NOT(ISERROR(SEARCH(("프로젝트"),(F79))))</formula>
    </cfRule>
    <cfRule type="containsText" dxfId="8849" priority="10580" operator="containsText" text="기타">
      <formula>NOT(ISERROR(SEARCH(("기타"),(F79))))</formula>
    </cfRule>
    <cfRule type="containsText" dxfId="8848" priority="10579" operator="containsText" text="정규교과">
      <formula>NOT(ISERROR(SEARCH(("정규교과"),(F79))))</formula>
    </cfRule>
    <cfRule type="containsText" dxfId="8847" priority="10578" operator="containsText" text="프로젝트">
      <formula>NOT(ISERROR(SEARCH(("프로젝트"),(F79))))</formula>
    </cfRule>
    <cfRule type="containsText" dxfId="8846" priority="10577" operator="containsText" text="기타">
      <formula>NOT(ISERROR(SEARCH(("기타"),(F79))))</formula>
    </cfRule>
    <cfRule type="containsText" dxfId="8845" priority="10576" operator="containsText" text="정규교과">
      <formula>NOT(ISERROR(SEARCH(("정규교과"),(F79))))</formula>
    </cfRule>
    <cfRule type="containsText" dxfId="8844" priority="10575" operator="containsText" text="프로젝트">
      <formula>NOT(ISERROR(SEARCH(("프로젝트"),(F79))))</formula>
    </cfRule>
    <cfRule type="containsText" dxfId="8843" priority="10574" operator="containsText" text="기타">
      <formula>NOT(ISERROR(SEARCH(("기타"),(F79))))</formula>
    </cfRule>
    <cfRule type="containsText" dxfId="8842" priority="10573" operator="containsText" text="정규교과">
      <formula>NOT(ISERROR(SEARCH(("정규교과"),(F79))))</formula>
    </cfRule>
    <cfRule type="containsText" dxfId="8841" priority="10572" operator="containsText" text="프로젝트">
      <formula>NOT(ISERROR(SEARCH(("프로젝트"),(F79))))</formula>
    </cfRule>
    <cfRule type="containsText" dxfId="8840" priority="10571" operator="containsText" text="기타">
      <formula>NOT(ISERROR(SEARCH(("기타"),(F79))))</formula>
    </cfRule>
    <cfRule type="containsText" dxfId="8839" priority="10570" operator="containsText" text="정규교과">
      <formula>NOT(ISERROR(SEARCH(("정규교과"),(F79))))</formula>
    </cfRule>
    <cfRule type="containsText" dxfId="8838" priority="10569" operator="containsText" text="프로젝트">
      <formula>NOT(ISERROR(SEARCH(("프로젝트"),(F79))))</formula>
    </cfRule>
    <cfRule type="containsText" dxfId="8837" priority="10567" operator="containsText" text="정규교과">
      <formula>NOT(ISERROR(SEARCH(("정규교과"),(F79))))</formula>
    </cfRule>
    <cfRule type="containsText" dxfId="8836" priority="10566" operator="containsText" text="프로젝트">
      <formula>NOT(ISERROR(SEARCH(("프로젝트"),(F79))))</formula>
    </cfRule>
    <cfRule type="containsText" dxfId="8835" priority="10565" operator="containsText" text="기타">
      <formula>NOT(ISERROR(SEARCH(("기타"),(F79))))</formula>
    </cfRule>
    <cfRule type="containsText" dxfId="8834" priority="10564" operator="containsText" text="정규교과">
      <formula>NOT(ISERROR(SEARCH(("정규교과"),(F79))))</formula>
    </cfRule>
    <cfRule type="containsText" dxfId="8833" priority="10563" operator="containsText" text="프로젝트">
      <formula>NOT(ISERROR(SEARCH(("프로젝트"),(F79))))</formula>
    </cfRule>
    <cfRule type="containsText" dxfId="8832" priority="10562" operator="containsText" text="기타">
      <formula>NOT(ISERROR(SEARCH(("기타"),(F79))))</formula>
    </cfRule>
    <cfRule type="containsText" dxfId="8831" priority="10561" operator="containsText" text="정규교과">
      <formula>NOT(ISERROR(SEARCH(("정규교과"),(F79))))</formula>
    </cfRule>
    <cfRule type="containsText" dxfId="8830" priority="10560" operator="containsText" text="프로젝트">
      <formula>NOT(ISERROR(SEARCH(("프로젝트"),(F79))))</formula>
    </cfRule>
    <cfRule type="containsText" dxfId="8829" priority="10559" operator="containsText" text="기타">
      <formula>NOT(ISERROR(SEARCH(("기타"),(F79))))</formula>
    </cfRule>
    <cfRule type="containsText" dxfId="8828" priority="10558" operator="containsText" text="정규교과">
      <formula>NOT(ISERROR(SEARCH(("정규교과"),(F79))))</formula>
    </cfRule>
    <cfRule type="containsText" dxfId="8827" priority="10557" operator="containsText" text="프로젝트">
      <formula>NOT(ISERROR(SEARCH(("프로젝트"),(F79))))</formula>
    </cfRule>
    <cfRule type="containsText" dxfId="8826" priority="10556" operator="containsText" text="기타">
      <formula>NOT(ISERROR(SEARCH(("기타"),(F79))))</formula>
    </cfRule>
    <cfRule type="containsText" dxfId="8825" priority="10555" operator="containsText" text="정규교과">
      <formula>NOT(ISERROR(SEARCH(("정규교과"),(F79))))</formula>
    </cfRule>
    <cfRule type="containsText" dxfId="8824" priority="10554" operator="containsText" text="프로젝트">
      <formula>NOT(ISERROR(SEARCH(("프로젝트"),(F79))))</formula>
    </cfRule>
    <cfRule type="containsText" dxfId="8823" priority="10553" operator="containsText" text="기타">
      <formula>NOT(ISERROR(SEARCH(("기타"),(F79))))</formula>
    </cfRule>
    <cfRule type="containsText" dxfId="8822" priority="10552" operator="containsText" text="정규교과">
      <formula>NOT(ISERROR(SEARCH(("정규교과"),(F79))))</formula>
    </cfRule>
    <cfRule type="containsText" dxfId="8821" priority="10551" operator="containsText" text="프로젝트">
      <formula>NOT(ISERROR(SEARCH(("프로젝트"),(F79))))</formula>
    </cfRule>
    <cfRule type="containsText" dxfId="8820" priority="10550" operator="containsText" text="기타">
      <formula>NOT(ISERROR(SEARCH(("기타"),(F79))))</formula>
    </cfRule>
    <cfRule type="containsText" dxfId="8819" priority="10549" operator="containsText" text="정규교과">
      <formula>NOT(ISERROR(SEARCH(("정규교과"),(F79))))</formula>
    </cfRule>
    <cfRule type="containsText" dxfId="8818" priority="10596" operator="containsText" text="기타">
      <formula>NOT(ISERROR(SEARCH(("기타"),(F79))))</formula>
    </cfRule>
    <cfRule type="containsText" dxfId="8817" priority="10598" operator="containsText" text="정규교과">
      <formula>NOT(ISERROR(SEARCH(("정규교과"),(F79))))</formula>
    </cfRule>
    <cfRule type="containsText" dxfId="8816" priority="10599" operator="containsText" text="기타">
      <formula>NOT(ISERROR(SEARCH(("기타"),(F79))))</formula>
    </cfRule>
    <cfRule type="containsText" dxfId="8815" priority="10592" operator="containsText" text="정규교과">
      <formula>NOT(ISERROR(SEARCH(("정규교과"),(F79))))</formula>
    </cfRule>
    <cfRule type="containsText" dxfId="8814" priority="10568" operator="containsText" text="기타">
      <formula>NOT(ISERROR(SEARCH(("기타"),(F79))))</formula>
    </cfRule>
    <cfRule type="containsText" dxfId="8813" priority="10583" operator="containsText" text="기타">
      <formula>NOT(ISERROR(SEARCH(("기타"),(F79))))</formula>
    </cfRule>
    <cfRule type="containsText" dxfId="8812" priority="10584" operator="containsText" text="휴강">
      <formula>NOT(ISERROR(SEARCH(("휴강"),(F79))))</formula>
    </cfRule>
    <cfRule type="containsText" dxfId="8811" priority="10585" operator="containsText" text="프로젝트">
      <formula>NOT(ISERROR(SEARCH(("프로젝트"),(F79))))</formula>
    </cfRule>
    <cfRule type="containsText" dxfId="8810" priority="10586" operator="containsText" text="정규교과">
      <formula>NOT(ISERROR(SEARCH(("정규교과"),(F79))))</formula>
    </cfRule>
    <cfRule type="containsText" dxfId="8809" priority="10587" operator="containsText" text="기타">
      <formula>NOT(ISERROR(SEARCH(("기타"),(F79))))</formula>
    </cfRule>
    <cfRule type="containsText" dxfId="8808" priority="10588" operator="containsText" text="프로젝트">
      <formula>NOT(ISERROR(SEARCH(("프로젝트"),(F79))))</formula>
    </cfRule>
    <cfRule type="containsText" dxfId="8807" priority="10589" operator="containsText" text="정규교과">
      <formula>NOT(ISERROR(SEARCH(("정규교과"),(F79))))</formula>
    </cfRule>
    <cfRule type="containsText" dxfId="8806" priority="10590" operator="containsText" text="기타">
      <formula>NOT(ISERROR(SEARCH(("기타"),(F79))))</formula>
    </cfRule>
  </conditionalFormatting>
  <conditionalFormatting sqref="F83:H83">
    <cfRule type="containsText" dxfId="8805" priority="10480" operator="containsText" text="휴강">
      <formula>NOT(ISERROR(SEARCH(("휴강"),(F83))))</formula>
    </cfRule>
    <cfRule type="containsText" dxfId="8804" priority="10458" operator="containsText" text="기타">
      <formula>NOT(ISERROR(SEARCH(("기타"),(F83))))</formula>
    </cfRule>
    <cfRule type="containsText" dxfId="8803" priority="10460" operator="containsText" text="정규교과">
      <formula>NOT(ISERROR(SEARCH(("정규교과"),(F83))))</formula>
    </cfRule>
    <cfRule type="containsText" dxfId="8802" priority="10481" operator="containsText" text="프로젝트">
      <formula>NOT(ISERROR(SEARCH(("프로젝트"),(F83))))</formula>
    </cfRule>
    <cfRule type="containsText" dxfId="8801" priority="10482" operator="containsText" text="정규교과">
      <formula>NOT(ISERROR(SEARCH(("정규교과"),(F83))))</formula>
    </cfRule>
    <cfRule type="containsText" dxfId="8800" priority="10483" operator="containsText" text="기타">
      <formula>NOT(ISERROR(SEARCH(("기타"),(F83))))</formula>
    </cfRule>
    <cfRule type="containsText" dxfId="8799" priority="10484" operator="containsText" text="프로젝트">
      <formula>NOT(ISERROR(SEARCH(("프로젝트"),(F83))))</formula>
    </cfRule>
    <cfRule type="containsText" dxfId="8798" priority="10485" operator="containsText" text="정규교과">
      <formula>NOT(ISERROR(SEARCH(("정규교과"),(F83))))</formula>
    </cfRule>
    <cfRule type="containsText" dxfId="8797" priority="10486" operator="containsText" text="기타">
      <formula>NOT(ISERROR(SEARCH(("기타"),(F83))))</formula>
    </cfRule>
    <cfRule type="containsText" dxfId="8796" priority="10487" operator="containsText" text="프로젝트">
      <formula>NOT(ISERROR(SEARCH(("프로젝트"),(F83))))</formula>
    </cfRule>
    <cfRule type="containsText" dxfId="8795" priority="10488" operator="containsText" text="정규교과">
      <formula>NOT(ISERROR(SEARCH(("정규교과"),(F83))))</formula>
    </cfRule>
    <cfRule type="containsText" dxfId="8794" priority="10489" operator="containsText" text="기타">
      <formula>NOT(ISERROR(SEARCH(("기타"),(F83))))</formula>
    </cfRule>
    <cfRule type="containsText" dxfId="8793" priority="10490" operator="containsText" text="프로젝트">
      <formula>NOT(ISERROR(SEARCH(("프로젝트"),(F83))))</formula>
    </cfRule>
    <cfRule type="containsText" dxfId="8792" priority="10491" operator="containsText" text="정규교과">
      <formula>NOT(ISERROR(SEARCH(("정규교과"),(F83))))</formula>
    </cfRule>
    <cfRule type="containsText" dxfId="8791" priority="10459" operator="containsText" text="프로젝트">
      <formula>NOT(ISERROR(SEARCH(("프로젝트"),(F83))))</formula>
    </cfRule>
    <cfRule type="containsText" dxfId="8790" priority="10492" operator="containsText" text="기타">
      <formula>NOT(ISERROR(SEARCH(("기타"),(F83))))</formula>
    </cfRule>
    <cfRule type="containsText" dxfId="8789" priority="10461" operator="containsText" text="기타">
      <formula>NOT(ISERROR(SEARCH(("기타"),(F83))))</formula>
    </cfRule>
    <cfRule type="containsText" dxfId="8788" priority="10462" operator="containsText" text="프로젝트">
      <formula>NOT(ISERROR(SEARCH(("프로젝트"),(F83))))</formula>
    </cfRule>
    <cfRule type="containsText" dxfId="8787" priority="10463" operator="containsText" text="정규교과">
      <formula>NOT(ISERROR(SEARCH(("정규교과"),(F83))))</formula>
    </cfRule>
    <cfRule type="containsText" dxfId="8786" priority="10494" operator="containsText" text="정규교과">
      <formula>NOT(ISERROR(SEARCH(("정규교과"),(F83))))</formula>
    </cfRule>
    <cfRule type="containsText" dxfId="8785" priority="10464" operator="containsText" text="기타">
      <formula>NOT(ISERROR(SEARCH(("기타"),(F83))))</formula>
    </cfRule>
    <cfRule type="containsText" dxfId="8784" priority="10465" operator="containsText" text="프로젝트">
      <formula>NOT(ISERROR(SEARCH(("프로젝트"),(F83))))</formula>
    </cfRule>
    <cfRule type="containsText" dxfId="8783" priority="10466" operator="containsText" text="정규교과">
      <formula>NOT(ISERROR(SEARCH(("정규교과"),(F83))))</formula>
    </cfRule>
    <cfRule type="containsText" dxfId="8782" priority="10467" operator="containsText" text="기타">
      <formula>NOT(ISERROR(SEARCH(("기타"),(F83))))</formula>
    </cfRule>
    <cfRule type="containsText" dxfId="8781" priority="10468" operator="containsText" text="프로젝트">
      <formula>NOT(ISERROR(SEARCH(("프로젝트"),(F83))))</formula>
    </cfRule>
    <cfRule type="containsText" dxfId="8780" priority="10469" operator="containsText" text="정규교과">
      <formula>NOT(ISERROR(SEARCH(("정규교과"),(F83))))</formula>
    </cfRule>
    <cfRule type="containsText" dxfId="8779" priority="10470" operator="containsText" text="기타">
      <formula>NOT(ISERROR(SEARCH(("기타"),(F83))))</formula>
    </cfRule>
    <cfRule type="containsText" dxfId="8778" priority="10471" operator="containsText" text="프로젝트">
      <formula>NOT(ISERROR(SEARCH(("프로젝트"),(F83))))</formula>
    </cfRule>
    <cfRule type="containsText" dxfId="8777" priority="10472" operator="containsText" text="정규교과">
      <formula>NOT(ISERROR(SEARCH(("정규교과"),(F83))))</formula>
    </cfRule>
    <cfRule type="containsText" dxfId="8776" priority="10473" operator="containsText" text="기타">
      <formula>NOT(ISERROR(SEARCH(("기타"),(F83))))</formula>
    </cfRule>
    <cfRule type="containsText" dxfId="8775" priority="10474" operator="containsText" text="프로젝트">
      <formula>NOT(ISERROR(SEARCH(("프로젝트"),(F83))))</formula>
    </cfRule>
    <cfRule type="containsText" dxfId="8774" priority="10475" operator="containsText" text="정규교과">
      <formula>NOT(ISERROR(SEARCH(("정규교과"),(F83))))</formula>
    </cfRule>
    <cfRule type="containsText" dxfId="8773" priority="10476" operator="containsText" text="기타">
      <formula>NOT(ISERROR(SEARCH(("기타"),(F83))))</formula>
    </cfRule>
    <cfRule type="containsText" dxfId="8772" priority="10477" operator="containsText" text="프로젝트">
      <formula>NOT(ISERROR(SEARCH(("프로젝트"),(F83))))</formula>
    </cfRule>
    <cfRule type="containsText" dxfId="8771" priority="10478" operator="containsText" text="정규교과">
      <formula>NOT(ISERROR(SEARCH(("정규교과"),(F83))))</formula>
    </cfRule>
    <cfRule type="containsText" dxfId="8770" priority="10454" operator="containsText" text="정규교과">
      <formula>NOT(ISERROR(SEARCH(("정규교과"),(F83))))</formula>
    </cfRule>
    <cfRule type="containsText" dxfId="8769" priority="10479" operator="containsText" text="기타">
      <formula>NOT(ISERROR(SEARCH(("기타"),(F83))))</formula>
    </cfRule>
    <cfRule type="containsText" dxfId="8768" priority="10452" operator="containsText" text="기타">
      <formula>NOT(ISERROR(SEARCH(("기타"),(F83))))</formula>
    </cfRule>
    <cfRule type="containsText" dxfId="8767" priority="10455" operator="containsText" text="기타">
      <formula>NOT(ISERROR(SEARCH(("기타"),(F83))))</formula>
    </cfRule>
    <cfRule type="containsText" dxfId="8766" priority="10453" operator="containsText" text="프로젝트">
      <formula>NOT(ISERROR(SEARCH(("프로젝트"),(F83))))</formula>
    </cfRule>
    <cfRule type="containsText" dxfId="8765" priority="10456" operator="containsText" text="프로젝트">
      <formula>NOT(ISERROR(SEARCH(("프로젝트"),(F83))))</formula>
    </cfRule>
    <cfRule type="containsText" dxfId="8764" priority="10451" operator="containsText" text="정규교과">
      <formula>NOT(ISERROR(SEARCH(("정규교과"),(F83))))</formula>
    </cfRule>
    <cfRule type="containsText" dxfId="8763" priority="10450" operator="containsText" text="프로젝트">
      <formula>NOT(ISERROR(SEARCH(("프로젝트"),(F83))))</formula>
    </cfRule>
    <cfRule type="containsText" dxfId="8762" priority="10449" operator="containsText" text="기타">
      <formula>NOT(ISERROR(SEARCH(("기타"),(F83))))</formula>
    </cfRule>
    <cfRule type="containsText" dxfId="8761" priority="10448" operator="containsText" text="정규교과">
      <formula>NOT(ISERROR(SEARCH(("정규교과"),(F83))))</formula>
    </cfRule>
    <cfRule type="containsText" dxfId="8760" priority="10447" operator="containsText" text="프로젝트">
      <formula>NOT(ISERROR(SEARCH(("프로젝트"),(F83))))</formula>
    </cfRule>
    <cfRule type="containsText" dxfId="8759" priority="10446" operator="containsText" text="기타">
      <formula>NOT(ISERROR(SEARCH(("기타"),(F83))))</formula>
    </cfRule>
    <cfRule type="containsText" dxfId="8758" priority="10445" operator="containsText" text="정규교과">
      <formula>NOT(ISERROR(SEARCH(("정규교과"),(F83))))</formula>
    </cfRule>
    <cfRule type="containsText" dxfId="8757" priority="10457" operator="containsText" text="정규교과">
      <formula>NOT(ISERROR(SEARCH(("정규교과"),(F83))))</formula>
    </cfRule>
    <cfRule type="containsText" dxfId="8756" priority="10495" operator="containsText" text="기타">
      <formula>NOT(ISERROR(SEARCH(("기타"),(F83))))</formula>
    </cfRule>
  </conditionalFormatting>
  <conditionalFormatting sqref="F88:H88">
    <cfRule type="containsText" dxfId="8755" priority="10374" operator="containsText" text="정규교과">
      <formula>NOT(ISERROR(SEARCH(("정규교과"),(F88))))</formula>
    </cfRule>
    <cfRule type="containsText" dxfId="8754" priority="10375" operator="containsText" text="기타">
      <formula>NOT(ISERROR(SEARCH(("기타"),(F88))))</formula>
    </cfRule>
    <cfRule type="containsText" dxfId="8753" priority="10376" operator="containsText" text="휴강">
      <formula>NOT(ISERROR(SEARCH(("휴강"),(F88))))</formula>
    </cfRule>
    <cfRule type="containsText" dxfId="8752" priority="10377" operator="containsText" text="프로젝트">
      <formula>NOT(ISERROR(SEARCH(("프로젝트"),(F88))))</formula>
    </cfRule>
    <cfRule type="containsText" dxfId="8751" priority="10378" operator="containsText" text="정규교과">
      <formula>NOT(ISERROR(SEARCH(("정규교과"),(F88))))</formula>
    </cfRule>
    <cfRule type="containsText" dxfId="8750" priority="10379" operator="containsText" text="기타">
      <formula>NOT(ISERROR(SEARCH(("기타"),(F88))))</formula>
    </cfRule>
    <cfRule type="containsText" dxfId="8749" priority="10380" operator="containsText" text="프로젝트">
      <formula>NOT(ISERROR(SEARCH(("프로젝트"),(F88))))</formula>
    </cfRule>
    <cfRule type="containsText" dxfId="8748" priority="10381" operator="containsText" text="정규교과">
      <formula>NOT(ISERROR(SEARCH(("정규교과"),(F88))))</formula>
    </cfRule>
    <cfRule type="containsText" dxfId="8747" priority="10382" operator="containsText" text="기타">
      <formula>NOT(ISERROR(SEARCH(("기타"),(F88))))</formula>
    </cfRule>
    <cfRule type="containsText" dxfId="8746" priority="10383" operator="containsText" text="프로젝트">
      <formula>NOT(ISERROR(SEARCH(("프로젝트"),(F88))))</formula>
    </cfRule>
    <cfRule type="containsText" dxfId="8745" priority="10384" operator="containsText" text="정규교과">
      <formula>NOT(ISERROR(SEARCH(("정규교과"),(F88))))</formula>
    </cfRule>
    <cfRule type="containsText" dxfId="8744" priority="10385" operator="containsText" text="기타">
      <formula>NOT(ISERROR(SEARCH(("기타"),(F88))))</formula>
    </cfRule>
    <cfRule type="containsText" dxfId="8743" priority="10386" operator="containsText" text="프로젝트">
      <formula>NOT(ISERROR(SEARCH(("프로젝트"),(F88))))</formula>
    </cfRule>
    <cfRule type="containsText" dxfId="8742" priority="10387" operator="containsText" text="정규교과">
      <formula>NOT(ISERROR(SEARCH(("정규교과"),(F88))))</formula>
    </cfRule>
    <cfRule type="containsText" dxfId="8741" priority="10388" operator="containsText" text="기타">
      <formula>NOT(ISERROR(SEARCH(("기타"),(F88))))</formula>
    </cfRule>
    <cfRule type="containsText" dxfId="8740" priority="10390" operator="containsText" text="정규교과">
      <formula>NOT(ISERROR(SEARCH(("정규교과"),(F88))))</formula>
    </cfRule>
    <cfRule type="containsText" dxfId="8739" priority="10391" operator="containsText" text="기타">
      <formula>NOT(ISERROR(SEARCH(("기타"),(F88))))</formula>
    </cfRule>
    <cfRule type="containsText" dxfId="8738" priority="10369" operator="containsText" text="기타">
      <formula>NOT(ISERROR(SEARCH(("기타"),(F88))))</formula>
    </cfRule>
    <cfRule type="containsText" dxfId="8737" priority="10357" operator="containsText" text="기타">
      <formula>NOT(ISERROR(SEARCH(("기타"),(F88))))</formula>
    </cfRule>
    <cfRule type="containsText" dxfId="8736" priority="10358" operator="containsText" text="프로젝트">
      <formula>NOT(ISERROR(SEARCH(("프로젝트"),(F88))))</formula>
    </cfRule>
    <cfRule type="containsText" dxfId="8735" priority="10359" operator="containsText" text="정규교과">
      <formula>NOT(ISERROR(SEARCH(("정규교과"),(F88))))</formula>
    </cfRule>
    <cfRule type="containsText" dxfId="8734" priority="10360" operator="containsText" text="기타">
      <formula>NOT(ISERROR(SEARCH(("기타"),(F88))))</formula>
    </cfRule>
    <cfRule type="containsText" dxfId="8733" priority="10361" operator="containsText" text="프로젝트">
      <formula>NOT(ISERROR(SEARCH(("프로젝트"),(F88))))</formula>
    </cfRule>
    <cfRule type="containsText" dxfId="8732" priority="10362" operator="containsText" text="정규교과">
      <formula>NOT(ISERROR(SEARCH(("정규교과"),(F88))))</formula>
    </cfRule>
    <cfRule type="containsText" dxfId="8731" priority="10363" operator="containsText" text="기타">
      <formula>NOT(ISERROR(SEARCH(("기타"),(F88))))</formula>
    </cfRule>
    <cfRule type="containsText" dxfId="8730" priority="10364" operator="containsText" text="프로젝트">
      <formula>NOT(ISERROR(SEARCH(("프로젝트"),(F88))))</formula>
    </cfRule>
    <cfRule type="containsText" dxfId="8729" priority="10365" operator="containsText" text="정규교과">
      <formula>NOT(ISERROR(SEARCH(("정규교과"),(F88))))</formula>
    </cfRule>
    <cfRule type="containsText" dxfId="8728" priority="10366" operator="containsText" text="기타">
      <formula>NOT(ISERROR(SEARCH(("기타"),(F88))))</formula>
    </cfRule>
    <cfRule type="containsText" dxfId="8727" priority="10367" operator="containsText" text="프로젝트">
      <formula>NOT(ISERROR(SEARCH(("프로젝트"),(F88))))</formula>
    </cfRule>
    <cfRule type="containsText" dxfId="8726" priority="10368" operator="containsText" text="정규교과">
      <formula>NOT(ISERROR(SEARCH(("정규교과"),(F88))))</formula>
    </cfRule>
    <cfRule type="containsText" dxfId="8725" priority="10370" operator="containsText" text="프로젝트">
      <formula>NOT(ISERROR(SEARCH(("프로젝트"),(F88))))</formula>
    </cfRule>
    <cfRule type="containsText" dxfId="8724" priority="10371" operator="containsText" text="정규교과">
      <formula>NOT(ISERROR(SEARCH(("정규교과"),(F88))))</formula>
    </cfRule>
    <cfRule type="containsText" dxfId="8723" priority="10372" operator="containsText" text="기타">
      <formula>NOT(ISERROR(SEARCH(("기타"),(F88))))</formula>
    </cfRule>
    <cfRule type="containsText" dxfId="8722" priority="10341" operator="containsText" text="정규교과">
      <formula>NOT(ISERROR(SEARCH(("정규교과"),(F88))))</formula>
    </cfRule>
    <cfRule type="containsText" dxfId="8721" priority="10342" operator="containsText" text="기타">
      <formula>NOT(ISERROR(SEARCH(("기타"),(F88))))</formula>
    </cfRule>
    <cfRule type="containsText" dxfId="8720" priority="10343" operator="containsText" text="프로젝트">
      <formula>NOT(ISERROR(SEARCH(("프로젝트"),(F88))))</formula>
    </cfRule>
    <cfRule type="containsText" dxfId="8719" priority="10344" operator="containsText" text="정규교과">
      <formula>NOT(ISERROR(SEARCH(("정규교과"),(F88))))</formula>
    </cfRule>
    <cfRule type="containsText" dxfId="8718" priority="10345" operator="containsText" text="기타">
      <formula>NOT(ISERROR(SEARCH(("기타"),(F88))))</formula>
    </cfRule>
    <cfRule type="containsText" dxfId="8717" priority="10346" operator="containsText" text="프로젝트">
      <formula>NOT(ISERROR(SEARCH(("프로젝트"),(F88))))</formula>
    </cfRule>
    <cfRule type="containsText" dxfId="8716" priority="10347" operator="containsText" text="정규교과">
      <formula>NOT(ISERROR(SEARCH(("정규교과"),(F88))))</formula>
    </cfRule>
    <cfRule type="containsText" dxfId="8715" priority="10348" operator="containsText" text="기타">
      <formula>NOT(ISERROR(SEARCH(("기타"),(F88))))</formula>
    </cfRule>
    <cfRule type="containsText" dxfId="8714" priority="10349" operator="containsText" text="프로젝트">
      <formula>NOT(ISERROR(SEARCH(("프로젝트"),(F88))))</formula>
    </cfRule>
    <cfRule type="containsText" dxfId="8713" priority="10350" operator="containsText" text="정규교과">
      <formula>NOT(ISERROR(SEARCH(("정규교과"),(F88))))</formula>
    </cfRule>
    <cfRule type="containsText" dxfId="8712" priority="10351" operator="containsText" text="기타">
      <formula>NOT(ISERROR(SEARCH(("기타"),(F88))))</formula>
    </cfRule>
    <cfRule type="containsText" dxfId="8711" priority="10352" operator="containsText" text="프로젝트">
      <formula>NOT(ISERROR(SEARCH(("프로젝트"),(F88))))</formula>
    </cfRule>
    <cfRule type="containsText" dxfId="8710" priority="10353" operator="containsText" text="정규교과">
      <formula>NOT(ISERROR(SEARCH(("정규교과"),(F88))))</formula>
    </cfRule>
    <cfRule type="containsText" dxfId="8709" priority="10354" operator="containsText" text="기타">
      <formula>NOT(ISERROR(SEARCH(("기타"),(F88))))</formula>
    </cfRule>
    <cfRule type="containsText" dxfId="8708" priority="10355" operator="containsText" text="프로젝트">
      <formula>NOT(ISERROR(SEARCH(("프로젝트"),(F88))))</formula>
    </cfRule>
    <cfRule type="containsText" dxfId="8707" priority="10356" operator="containsText" text="정규교과">
      <formula>NOT(ISERROR(SEARCH(("정규교과"),(F88))))</formula>
    </cfRule>
    <cfRule type="containsText" dxfId="8706" priority="10373" operator="containsText" text="프로젝트">
      <formula>NOT(ISERROR(SEARCH(("프로젝트"),(F88))))</formula>
    </cfRule>
  </conditionalFormatting>
  <conditionalFormatting sqref="F92:H92">
    <cfRule type="containsText" dxfId="8705" priority="10256" operator="containsText" text="기타">
      <formula>NOT(ISERROR(SEARCH(("기타"),(F92))))</formula>
    </cfRule>
    <cfRule type="containsText" dxfId="8704" priority="10255" operator="containsText" text="정규교과">
      <formula>NOT(ISERROR(SEARCH(("정규교과"),(F92))))</formula>
    </cfRule>
    <cfRule type="containsText" dxfId="8703" priority="10254" operator="containsText" text="프로젝트">
      <formula>NOT(ISERROR(SEARCH(("프로젝트"),(F92))))</formula>
    </cfRule>
    <cfRule type="containsText" dxfId="8702" priority="10253" operator="containsText" text="기타">
      <formula>NOT(ISERROR(SEARCH(("기타"),(F92))))</formula>
    </cfRule>
    <cfRule type="containsText" dxfId="8701" priority="10237" operator="containsText" text="정규교과">
      <formula>NOT(ISERROR(SEARCH(("정규교과"),(F92))))</formula>
    </cfRule>
    <cfRule type="containsText" dxfId="8700" priority="10251" operator="containsText" text="프로젝트">
      <formula>NOT(ISERROR(SEARCH(("프로젝트"),(F92))))</formula>
    </cfRule>
    <cfRule type="containsText" dxfId="8699" priority="10250" operator="containsText" text="기타">
      <formula>NOT(ISERROR(SEARCH(("기타"),(F92))))</formula>
    </cfRule>
    <cfRule type="containsText" dxfId="8698" priority="10249" operator="containsText" text="정규교과">
      <formula>NOT(ISERROR(SEARCH(("정규교과"),(F92))))</formula>
    </cfRule>
    <cfRule type="containsText" dxfId="8697" priority="10248" operator="containsText" text="프로젝트">
      <formula>NOT(ISERROR(SEARCH(("프로젝트"),(F92))))</formula>
    </cfRule>
    <cfRule type="containsText" dxfId="8696" priority="10247" operator="containsText" text="기타">
      <formula>NOT(ISERROR(SEARCH(("기타"),(F92))))</formula>
    </cfRule>
    <cfRule type="containsText" dxfId="8695" priority="10243" operator="containsText" text="정규교과">
      <formula>NOT(ISERROR(SEARCH(("정규교과"),(F92))))</formula>
    </cfRule>
    <cfRule type="containsText" dxfId="8694" priority="10246" operator="containsText" text="정규교과">
      <formula>NOT(ISERROR(SEARCH(("정규교과"),(F92))))</formula>
    </cfRule>
    <cfRule type="containsText" dxfId="8693" priority="10245" operator="containsText" text="프로젝트">
      <formula>NOT(ISERROR(SEARCH(("프로젝트"),(F92))))</formula>
    </cfRule>
    <cfRule type="containsText" dxfId="8692" priority="10244" operator="containsText" text="기타">
      <formula>NOT(ISERROR(SEARCH(("기타"),(F92))))</formula>
    </cfRule>
    <cfRule type="containsText" dxfId="8691" priority="10242" operator="containsText" text="프로젝트">
      <formula>NOT(ISERROR(SEARCH(("프로젝트"),(F92))))</formula>
    </cfRule>
    <cfRule type="containsText" dxfId="8690" priority="10241" operator="containsText" text="기타">
      <formula>NOT(ISERROR(SEARCH(("기타"),(F92))))</formula>
    </cfRule>
    <cfRule type="containsText" dxfId="8689" priority="10240" operator="containsText" text="정규교과">
      <formula>NOT(ISERROR(SEARCH(("정규교과"),(F92))))</formula>
    </cfRule>
    <cfRule type="containsText" dxfId="8688" priority="10252" operator="containsText" text="정규교과">
      <formula>NOT(ISERROR(SEARCH(("정규교과"),(F92))))</formula>
    </cfRule>
    <cfRule type="containsText" dxfId="8687" priority="10239" operator="containsText" text="프로젝트">
      <formula>NOT(ISERROR(SEARCH(("프로젝트"),(F92))))</formula>
    </cfRule>
    <cfRule type="containsText" dxfId="8686" priority="10287" operator="containsText" text="기타">
      <formula>NOT(ISERROR(SEARCH(("기타"),(F92))))</formula>
    </cfRule>
    <cfRule type="containsText" dxfId="8685" priority="10286" operator="containsText" text="정규교과">
      <formula>NOT(ISERROR(SEARCH(("정규교과"),(F92))))</formula>
    </cfRule>
    <cfRule type="containsText" dxfId="8684" priority="10284" operator="containsText" text="기타">
      <formula>NOT(ISERROR(SEARCH(("기타"),(F92))))</formula>
    </cfRule>
    <cfRule type="containsText" dxfId="8683" priority="10283" operator="containsText" text="정규교과">
      <formula>NOT(ISERROR(SEARCH(("정규교과"),(F92))))</formula>
    </cfRule>
    <cfRule type="containsText" dxfId="8682" priority="10282" operator="containsText" text="프로젝트">
      <formula>NOT(ISERROR(SEARCH(("프로젝트"),(F92))))</formula>
    </cfRule>
    <cfRule type="containsText" dxfId="8681" priority="10281" operator="containsText" text="기타">
      <formula>NOT(ISERROR(SEARCH(("기타"),(F92))))</formula>
    </cfRule>
    <cfRule type="containsText" dxfId="8680" priority="10238" operator="containsText" text="기타">
      <formula>NOT(ISERROR(SEARCH(("기타"),(F92))))</formula>
    </cfRule>
    <cfRule type="containsText" dxfId="8679" priority="10280" operator="containsText" text="정규교과">
      <formula>NOT(ISERROR(SEARCH(("정규교과"),(F92))))</formula>
    </cfRule>
    <cfRule type="containsText" dxfId="8678" priority="10279" operator="containsText" text="프로젝트">
      <formula>NOT(ISERROR(SEARCH(("프로젝트"),(F92))))</formula>
    </cfRule>
    <cfRule type="containsText" dxfId="8677" priority="10278" operator="containsText" text="기타">
      <formula>NOT(ISERROR(SEARCH(("기타"),(F92))))</formula>
    </cfRule>
    <cfRule type="containsText" dxfId="8676" priority="10277" operator="containsText" text="정규교과">
      <formula>NOT(ISERROR(SEARCH(("정규교과"),(F92))))</formula>
    </cfRule>
    <cfRule type="containsText" dxfId="8675" priority="10276" operator="containsText" text="프로젝트">
      <formula>NOT(ISERROR(SEARCH(("프로젝트"),(F92))))</formula>
    </cfRule>
    <cfRule type="containsText" dxfId="8674" priority="10275" operator="containsText" text="기타">
      <formula>NOT(ISERROR(SEARCH(("기타"),(F92))))</formula>
    </cfRule>
    <cfRule type="containsText" dxfId="8673" priority="10274" operator="containsText" text="정규교과">
      <formula>NOT(ISERROR(SEARCH(("정규교과"),(F92))))</formula>
    </cfRule>
    <cfRule type="containsText" dxfId="8672" priority="10273" operator="containsText" text="프로젝트">
      <formula>NOT(ISERROR(SEARCH(("프로젝트"),(F92))))</formula>
    </cfRule>
    <cfRule type="containsText" dxfId="8671" priority="10272" operator="containsText" text="휴강">
      <formula>NOT(ISERROR(SEARCH(("휴강"),(F92))))</formula>
    </cfRule>
    <cfRule type="containsText" dxfId="8670" priority="10271" operator="containsText" text="기타">
      <formula>NOT(ISERROR(SEARCH(("기타"),(F92))))</formula>
    </cfRule>
    <cfRule type="containsText" dxfId="8669" priority="10270" operator="containsText" text="정규교과">
      <formula>NOT(ISERROR(SEARCH(("정규교과"),(F92))))</formula>
    </cfRule>
    <cfRule type="containsText" dxfId="8668" priority="10269" operator="containsText" text="프로젝트">
      <formula>NOT(ISERROR(SEARCH(("프로젝트"),(F92))))</formula>
    </cfRule>
    <cfRule type="containsText" dxfId="8667" priority="10268" operator="containsText" text="기타">
      <formula>NOT(ISERROR(SEARCH(("기타"),(F92))))</formula>
    </cfRule>
    <cfRule type="containsText" dxfId="8666" priority="10267" operator="containsText" text="정규교과">
      <formula>NOT(ISERROR(SEARCH(("정규교과"),(F92))))</formula>
    </cfRule>
    <cfRule type="containsText" dxfId="8665" priority="10266" operator="containsText" text="프로젝트">
      <formula>NOT(ISERROR(SEARCH(("프로젝트"),(F92))))</formula>
    </cfRule>
    <cfRule type="containsText" dxfId="8664" priority="10265" operator="containsText" text="기타">
      <formula>NOT(ISERROR(SEARCH(("기타"),(F92))))</formula>
    </cfRule>
    <cfRule type="containsText" dxfId="8663" priority="10264" operator="containsText" text="정규교과">
      <formula>NOT(ISERROR(SEARCH(("정규교과"),(F92))))</formula>
    </cfRule>
    <cfRule type="containsText" dxfId="8662" priority="10263" operator="containsText" text="프로젝트">
      <formula>NOT(ISERROR(SEARCH(("프로젝트"),(F92))))</formula>
    </cfRule>
    <cfRule type="containsText" dxfId="8661" priority="10262" operator="containsText" text="기타">
      <formula>NOT(ISERROR(SEARCH(("기타"),(F92))))</formula>
    </cfRule>
    <cfRule type="containsText" dxfId="8660" priority="10261" operator="containsText" text="정규교과">
      <formula>NOT(ISERROR(SEARCH(("정규교과"),(F92))))</formula>
    </cfRule>
    <cfRule type="containsText" dxfId="8659" priority="10260" operator="containsText" text="프로젝트">
      <formula>NOT(ISERROR(SEARCH(("프로젝트"),(F92))))</formula>
    </cfRule>
    <cfRule type="containsText" dxfId="8658" priority="10259" operator="containsText" text="기타">
      <formula>NOT(ISERROR(SEARCH(("기타"),(F92))))</formula>
    </cfRule>
    <cfRule type="containsText" dxfId="8657" priority="10258" operator="containsText" text="정규교과">
      <formula>NOT(ISERROR(SEARCH(("정규교과"),(F92))))</formula>
    </cfRule>
    <cfRule type="containsText" dxfId="8656" priority="10257" operator="containsText" text="프로젝트">
      <formula>NOT(ISERROR(SEARCH(("프로젝트"),(F92))))</formula>
    </cfRule>
  </conditionalFormatting>
  <conditionalFormatting sqref="F96:H96">
    <cfRule type="containsText" dxfId="8655" priority="10164" operator="containsText" text="기타">
      <formula>NOT(ISERROR(SEARCH(("기타"),(F96))))</formula>
    </cfRule>
    <cfRule type="containsText" dxfId="8654" priority="10146" operator="containsText" text="기타">
      <formula>NOT(ISERROR(SEARCH(("기타"),(F96))))</formula>
    </cfRule>
    <cfRule type="containsText" dxfId="8653" priority="10166" operator="containsText" text="정규교과">
      <formula>NOT(ISERROR(SEARCH(("정규교과"),(F96))))</formula>
    </cfRule>
    <cfRule type="containsText" dxfId="8652" priority="10167" operator="containsText" text="기타">
      <formula>NOT(ISERROR(SEARCH(("기타"),(F96))))</formula>
    </cfRule>
    <cfRule type="containsText" dxfId="8651" priority="10168" operator="containsText" text="휴강">
      <formula>NOT(ISERROR(SEARCH(("휴강"),(F96))))</formula>
    </cfRule>
    <cfRule type="containsText" dxfId="8650" priority="10169" operator="containsText" text="프로젝트">
      <formula>NOT(ISERROR(SEARCH(("프로젝트"),(F96))))</formula>
    </cfRule>
    <cfRule type="containsText" dxfId="8649" priority="10170" operator="containsText" text="정규교과">
      <formula>NOT(ISERROR(SEARCH(("정규교과"),(F96))))</formula>
    </cfRule>
    <cfRule type="containsText" dxfId="8648" priority="10171" operator="containsText" text="기타">
      <formula>NOT(ISERROR(SEARCH(("기타"),(F96))))</formula>
    </cfRule>
    <cfRule type="containsText" dxfId="8647" priority="10172" operator="containsText" text="프로젝트">
      <formula>NOT(ISERROR(SEARCH(("프로젝트"),(F96))))</formula>
    </cfRule>
    <cfRule type="containsText" dxfId="8646" priority="10173" operator="containsText" text="정규교과">
      <formula>NOT(ISERROR(SEARCH(("정규교과"),(F96))))</formula>
    </cfRule>
    <cfRule type="containsText" dxfId="8645" priority="10174" operator="containsText" text="기타">
      <formula>NOT(ISERROR(SEARCH(("기타"),(F96))))</formula>
    </cfRule>
    <cfRule type="containsText" dxfId="8644" priority="10175" operator="containsText" text="프로젝트">
      <formula>NOT(ISERROR(SEARCH(("프로젝트"),(F96))))</formula>
    </cfRule>
    <cfRule type="containsText" dxfId="8643" priority="10176" operator="containsText" text="정규교과">
      <formula>NOT(ISERROR(SEARCH(("정규교과"),(F96))))</formula>
    </cfRule>
    <cfRule type="containsText" dxfId="8642" priority="10177" operator="containsText" text="기타">
      <formula>NOT(ISERROR(SEARCH(("기타"),(F96))))</formula>
    </cfRule>
    <cfRule type="containsText" dxfId="8641" priority="10178" operator="containsText" text="프로젝트">
      <formula>NOT(ISERROR(SEARCH(("프로젝트"),(F96))))</formula>
    </cfRule>
    <cfRule type="containsText" dxfId="8640" priority="10179" operator="containsText" text="정규교과">
      <formula>NOT(ISERROR(SEARCH(("정규교과"),(F96))))</formula>
    </cfRule>
    <cfRule type="containsText" dxfId="8639" priority="10180" operator="containsText" text="기타">
      <formula>NOT(ISERROR(SEARCH(("기타"),(F96))))</formula>
    </cfRule>
    <cfRule type="containsText" dxfId="8638" priority="10182" operator="containsText" text="정규교과">
      <formula>NOT(ISERROR(SEARCH(("정규교과"),(F96))))</formula>
    </cfRule>
    <cfRule type="containsText" dxfId="8637" priority="10183" operator="containsText" text="기타">
      <formula>NOT(ISERROR(SEARCH(("기타"),(F96))))</formula>
    </cfRule>
    <cfRule type="containsText" dxfId="8636" priority="10165" operator="containsText" text="프로젝트">
      <formula>NOT(ISERROR(SEARCH(("프로젝트"),(F96))))</formula>
    </cfRule>
    <cfRule type="containsText" dxfId="8635" priority="10133" operator="containsText" text="정규교과">
      <formula>NOT(ISERROR(SEARCH(("정규교과"),(F96))))</formula>
    </cfRule>
    <cfRule type="containsText" dxfId="8634" priority="10134" operator="containsText" text="기타">
      <formula>NOT(ISERROR(SEARCH(("기타"),(F96))))</formula>
    </cfRule>
    <cfRule type="containsText" dxfId="8633" priority="10135" operator="containsText" text="프로젝트">
      <formula>NOT(ISERROR(SEARCH(("프로젝트"),(F96))))</formula>
    </cfRule>
    <cfRule type="containsText" dxfId="8632" priority="10136" operator="containsText" text="정규교과">
      <formula>NOT(ISERROR(SEARCH(("정규교과"),(F96))))</formula>
    </cfRule>
    <cfRule type="containsText" dxfId="8631" priority="10137" operator="containsText" text="기타">
      <formula>NOT(ISERROR(SEARCH(("기타"),(F96))))</formula>
    </cfRule>
    <cfRule type="containsText" dxfId="8630" priority="10138" operator="containsText" text="프로젝트">
      <formula>NOT(ISERROR(SEARCH(("프로젝트"),(F96))))</formula>
    </cfRule>
    <cfRule type="containsText" dxfId="8629" priority="10139" operator="containsText" text="정규교과">
      <formula>NOT(ISERROR(SEARCH(("정규교과"),(F96))))</formula>
    </cfRule>
    <cfRule type="containsText" dxfId="8628" priority="10140" operator="containsText" text="기타">
      <formula>NOT(ISERROR(SEARCH(("기타"),(F96))))</formula>
    </cfRule>
    <cfRule type="containsText" dxfId="8627" priority="10141" operator="containsText" text="프로젝트">
      <formula>NOT(ISERROR(SEARCH(("프로젝트"),(F96))))</formula>
    </cfRule>
    <cfRule type="containsText" dxfId="8626" priority="10142" operator="containsText" text="정규교과">
      <formula>NOT(ISERROR(SEARCH(("정규교과"),(F96))))</formula>
    </cfRule>
    <cfRule type="containsText" dxfId="8625" priority="10143" operator="containsText" text="기타">
      <formula>NOT(ISERROR(SEARCH(("기타"),(F96))))</formula>
    </cfRule>
    <cfRule type="containsText" dxfId="8624" priority="10144" operator="containsText" text="프로젝트">
      <formula>NOT(ISERROR(SEARCH(("프로젝트"),(F96))))</formula>
    </cfRule>
    <cfRule type="containsText" dxfId="8623" priority="10145" operator="containsText" text="정규교과">
      <formula>NOT(ISERROR(SEARCH(("정규교과"),(F96))))</formula>
    </cfRule>
    <cfRule type="containsText" dxfId="8622" priority="10147" operator="containsText" text="프로젝트">
      <formula>NOT(ISERROR(SEARCH(("프로젝트"),(F96))))</formula>
    </cfRule>
    <cfRule type="containsText" dxfId="8621" priority="10148" operator="containsText" text="정규교과">
      <formula>NOT(ISERROR(SEARCH(("정규교과"),(F96))))</formula>
    </cfRule>
    <cfRule type="containsText" dxfId="8620" priority="10149" operator="containsText" text="기타">
      <formula>NOT(ISERROR(SEARCH(("기타"),(F96))))</formula>
    </cfRule>
    <cfRule type="containsText" dxfId="8619" priority="10150" operator="containsText" text="프로젝트">
      <formula>NOT(ISERROR(SEARCH(("프로젝트"),(F96))))</formula>
    </cfRule>
    <cfRule type="containsText" dxfId="8618" priority="10151" operator="containsText" text="정규교과">
      <formula>NOT(ISERROR(SEARCH(("정규교과"),(F96))))</formula>
    </cfRule>
    <cfRule type="containsText" dxfId="8617" priority="10152" operator="containsText" text="기타">
      <formula>NOT(ISERROR(SEARCH(("기타"),(F96))))</formula>
    </cfRule>
    <cfRule type="containsText" dxfId="8616" priority="10153" operator="containsText" text="프로젝트">
      <formula>NOT(ISERROR(SEARCH(("프로젝트"),(F96))))</formula>
    </cfRule>
    <cfRule type="containsText" dxfId="8615" priority="10154" operator="containsText" text="정규교과">
      <formula>NOT(ISERROR(SEARCH(("정규교과"),(F96))))</formula>
    </cfRule>
    <cfRule type="containsText" dxfId="8614" priority="10155" operator="containsText" text="기타">
      <formula>NOT(ISERROR(SEARCH(("기타"),(F96))))</formula>
    </cfRule>
    <cfRule type="containsText" dxfId="8613" priority="10156" operator="containsText" text="프로젝트">
      <formula>NOT(ISERROR(SEARCH(("프로젝트"),(F96))))</formula>
    </cfRule>
    <cfRule type="containsText" dxfId="8612" priority="10157" operator="containsText" text="정규교과">
      <formula>NOT(ISERROR(SEARCH(("정규교과"),(F96))))</formula>
    </cfRule>
    <cfRule type="containsText" dxfId="8611" priority="10158" operator="containsText" text="기타">
      <formula>NOT(ISERROR(SEARCH(("기타"),(F96))))</formula>
    </cfRule>
    <cfRule type="containsText" dxfId="8610" priority="10159" operator="containsText" text="프로젝트">
      <formula>NOT(ISERROR(SEARCH(("프로젝트"),(F96))))</formula>
    </cfRule>
    <cfRule type="containsText" dxfId="8609" priority="10160" operator="containsText" text="정규교과">
      <formula>NOT(ISERROR(SEARCH(("정규교과"),(F96))))</formula>
    </cfRule>
    <cfRule type="containsText" dxfId="8608" priority="10161" operator="containsText" text="기타">
      <formula>NOT(ISERROR(SEARCH(("기타"),(F96))))</formula>
    </cfRule>
    <cfRule type="containsText" dxfId="8607" priority="10162" operator="containsText" text="프로젝트">
      <formula>NOT(ISERROR(SEARCH(("프로젝트"),(F96))))</formula>
    </cfRule>
    <cfRule type="containsText" dxfId="8606" priority="10163" operator="containsText" text="정규교과">
      <formula>NOT(ISERROR(SEARCH(("정규교과"),(F96))))</formula>
    </cfRule>
  </conditionalFormatting>
  <conditionalFormatting sqref="F100:H100">
    <cfRule type="containsText" dxfId="8605" priority="10071" operator="containsText" text="프로젝트">
      <formula>NOT(ISERROR(SEARCH(("프로젝트"),(F100))))</formula>
    </cfRule>
    <cfRule type="containsText" dxfId="8604" priority="10061" operator="containsText" text="프로젝트">
      <formula>NOT(ISERROR(SEARCH(("프로젝트"),(F100))))</formula>
    </cfRule>
    <cfRule type="containsText" dxfId="8603" priority="10062" operator="containsText" text="정규교과">
      <formula>NOT(ISERROR(SEARCH(("정규교과"),(F100))))</formula>
    </cfRule>
    <cfRule type="containsText" dxfId="8602" priority="10063" operator="containsText" text="기타">
      <formula>NOT(ISERROR(SEARCH(("기타"),(F100))))</formula>
    </cfRule>
    <cfRule type="containsText" dxfId="8601" priority="10064" operator="containsText" text="휴강">
      <formula>NOT(ISERROR(SEARCH(("휴강"),(F100))))</formula>
    </cfRule>
    <cfRule type="containsText" dxfId="8600" priority="10065" operator="containsText" text="프로젝트">
      <formula>NOT(ISERROR(SEARCH(("프로젝트"),(F100))))</formula>
    </cfRule>
    <cfRule type="containsText" dxfId="8599" priority="10066" operator="containsText" text="정규교과">
      <formula>NOT(ISERROR(SEARCH(("정규교과"),(F100))))</formula>
    </cfRule>
    <cfRule type="containsText" dxfId="8598" priority="10067" operator="containsText" text="기타">
      <formula>NOT(ISERROR(SEARCH(("기타"),(F100))))</formula>
    </cfRule>
    <cfRule type="containsText" dxfId="8597" priority="10068" operator="containsText" text="프로젝트">
      <formula>NOT(ISERROR(SEARCH(("프로젝트"),(F100))))</formula>
    </cfRule>
    <cfRule type="containsText" dxfId="8596" priority="10069" operator="containsText" text="정규교과">
      <formula>NOT(ISERROR(SEARCH(("정규교과"),(F100))))</formula>
    </cfRule>
    <cfRule type="containsText" dxfId="8595" priority="10074" operator="containsText" text="프로젝트">
      <formula>NOT(ISERROR(SEARCH(("프로젝트"),(F100))))</formula>
    </cfRule>
    <cfRule type="containsText" dxfId="8594" priority="10073" operator="containsText" text="기타">
      <formula>NOT(ISERROR(SEARCH(("기타"),(F100))))</formula>
    </cfRule>
    <cfRule type="containsText" dxfId="8593" priority="10039" operator="containsText" text="기타">
      <formula>NOT(ISERROR(SEARCH(("기타"),(F100))))</formula>
    </cfRule>
    <cfRule type="containsText" dxfId="8592" priority="10072" operator="containsText" text="정규교과">
      <formula>NOT(ISERROR(SEARCH(("정규교과"),(F100))))</formula>
    </cfRule>
    <cfRule type="containsText" dxfId="8591" priority="10033" operator="containsText" text="기타">
      <formula>NOT(ISERROR(SEARCH(("기타"),(F100))))</formula>
    </cfRule>
    <cfRule type="containsText" dxfId="8590" priority="10032" operator="containsText" text="정규교과">
      <formula>NOT(ISERROR(SEARCH(("정규교과"),(F100))))</formula>
    </cfRule>
    <cfRule type="containsText" dxfId="8589" priority="10031" operator="containsText" text="프로젝트">
      <formula>NOT(ISERROR(SEARCH(("프로젝트"),(F100))))</formula>
    </cfRule>
    <cfRule type="containsText" dxfId="8588" priority="10029" operator="containsText" text="정규교과">
      <formula>NOT(ISERROR(SEARCH(("정규교과"),(F100))))</formula>
    </cfRule>
    <cfRule type="containsText" dxfId="8587" priority="10028" operator="containsText" text="프로젝트">
      <formula>NOT(ISERROR(SEARCH(("프로젝트"),(F100))))</formula>
    </cfRule>
    <cfRule type="containsText" dxfId="8586" priority="10035" operator="containsText" text="정규교과">
      <formula>NOT(ISERROR(SEARCH(("정규교과"),(F100))))</formula>
    </cfRule>
    <cfRule type="containsText" dxfId="8585" priority="10036" operator="containsText" text="기타">
      <formula>NOT(ISERROR(SEARCH(("기타"),(F100))))</formula>
    </cfRule>
    <cfRule type="containsText" dxfId="8584" priority="10037" operator="containsText" text="프로젝트">
      <formula>NOT(ISERROR(SEARCH(("프로젝트"),(F100))))</formula>
    </cfRule>
    <cfRule type="containsText" dxfId="8583" priority="10030" operator="containsText" text="기타">
      <formula>NOT(ISERROR(SEARCH(("기타"),(F100))))</formula>
    </cfRule>
    <cfRule type="containsText" dxfId="8582" priority="10038" operator="containsText" text="정규교과">
      <formula>NOT(ISERROR(SEARCH(("정규교과"),(F100))))</formula>
    </cfRule>
    <cfRule type="containsText" dxfId="8581" priority="10075" operator="containsText" text="정규교과">
      <formula>NOT(ISERROR(SEARCH(("정규교과"),(F100))))</formula>
    </cfRule>
    <cfRule type="containsText" dxfId="8580" priority="10040" operator="containsText" text="프로젝트">
      <formula>NOT(ISERROR(SEARCH(("프로젝트"),(F100))))</formula>
    </cfRule>
    <cfRule type="containsText" dxfId="8579" priority="10044" operator="containsText" text="정규교과">
      <formula>NOT(ISERROR(SEARCH(("정규교과"),(F100))))</formula>
    </cfRule>
    <cfRule type="containsText" dxfId="8578" priority="10041" operator="containsText" text="정규교과">
      <formula>NOT(ISERROR(SEARCH(("정규교과"),(F100))))</formula>
    </cfRule>
    <cfRule type="containsText" dxfId="8577" priority="10042" operator="containsText" text="기타">
      <formula>NOT(ISERROR(SEARCH(("기타"),(F100))))</formula>
    </cfRule>
    <cfRule type="containsText" dxfId="8576" priority="10034" operator="containsText" text="프로젝트">
      <formula>NOT(ISERROR(SEARCH(("프로젝트"),(F100))))</formula>
    </cfRule>
    <cfRule type="containsText" dxfId="8575" priority="10043" operator="containsText" text="프로젝트">
      <formula>NOT(ISERROR(SEARCH(("프로젝트"),(F100))))</formula>
    </cfRule>
    <cfRule type="containsText" dxfId="8574" priority="10045" operator="containsText" text="기타">
      <formula>NOT(ISERROR(SEARCH(("기타"),(F100))))</formula>
    </cfRule>
    <cfRule type="containsText" dxfId="8573" priority="10046" operator="containsText" text="프로젝트">
      <formula>NOT(ISERROR(SEARCH(("프로젝트"),(F100))))</formula>
    </cfRule>
    <cfRule type="containsText" dxfId="8572" priority="10047" operator="containsText" text="정규교과">
      <formula>NOT(ISERROR(SEARCH(("정규교과"),(F100))))</formula>
    </cfRule>
    <cfRule type="containsText" dxfId="8571" priority="10048" operator="containsText" text="기타">
      <formula>NOT(ISERROR(SEARCH(("기타"),(F100))))</formula>
    </cfRule>
    <cfRule type="containsText" dxfId="8570" priority="10049" operator="containsText" text="프로젝트">
      <formula>NOT(ISERROR(SEARCH(("프로젝트"),(F100))))</formula>
    </cfRule>
    <cfRule type="containsText" dxfId="8569" priority="10050" operator="containsText" text="정규교과">
      <formula>NOT(ISERROR(SEARCH(("정규교과"),(F100))))</formula>
    </cfRule>
    <cfRule type="containsText" dxfId="8568" priority="10079" operator="containsText" text="기타">
      <formula>NOT(ISERROR(SEARCH(("기타"),(F100))))</formula>
    </cfRule>
    <cfRule type="containsText" dxfId="8567" priority="10078" operator="containsText" text="정규교과">
      <formula>NOT(ISERROR(SEARCH(("정규교과"),(F100))))</formula>
    </cfRule>
    <cfRule type="containsText" dxfId="8566" priority="10076" operator="containsText" text="기타">
      <formula>NOT(ISERROR(SEARCH(("기타"),(F100))))</formula>
    </cfRule>
    <cfRule type="containsText" dxfId="8565" priority="10070" operator="containsText" text="기타">
      <formula>NOT(ISERROR(SEARCH(("기타"),(F100))))</formula>
    </cfRule>
    <cfRule type="containsText" dxfId="8564" priority="10051" operator="containsText" text="기타">
      <formula>NOT(ISERROR(SEARCH(("기타"),(F100))))</formula>
    </cfRule>
    <cfRule type="containsText" dxfId="8563" priority="10052" operator="containsText" text="프로젝트">
      <formula>NOT(ISERROR(SEARCH(("프로젝트"),(F100))))</formula>
    </cfRule>
    <cfRule type="containsText" dxfId="8562" priority="10053" operator="containsText" text="정규교과">
      <formula>NOT(ISERROR(SEARCH(("정규교과"),(F100))))</formula>
    </cfRule>
    <cfRule type="containsText" dxfId="8561" priority="10054" operator="containsText" text="기타">
      <formula>NOT(ISERROR(SEARCH(("기타"),(F100))))</formula>
    </cfRule>
    <cfRule type="containsText" dxfId="8560" priority="10055" operator="containsText" text="프로젝트">
      <formula>NOT(ISERROR(SEARCH(("프로젝트"),(F100))))</formula>
    </cfRule>
    <cfRule type="containsText" dxfId="8559" priority="10056" operator="containsText" text="정규교과">
      <formula>NOT(ISERROR(SEARCH(("정규교과"),(F100))))</formula>
    </cfRule>
    <cfRule type="containsText" dxfId="8558" priority="10057" operator="containsText" text="기타">
      <formula>NOT(ISERROR(SEARCH(("기타"),(F100))))</formula>
    </cfRule>
    <cfRule type="containsText" dxfId="8557" priority="10058" operator="containsText" text="프로젝트">
      <formula>NOT(ISERROR(SEARCH(("프로젝트"),(F100))))</formula>
    </cfRule>
    <cfRule type="containsText" dxfId="8556" priority="10059" operator="containsText" text="정규교과">
      <formula>NOT(ISERROR(SEARCH(("정규교과"),(F100))))</formula>
    </cfRule>
    <cfRule type="containsText" dxfId="8555" priority="10060" operator="containsText" text="기타">
      <formula>NOT(ISERROR(SEARCH(("기타"),(F100))))</formula>
    </cfRule>
  </conditionalFormatting>
  <conditionalFormatting sqref="F104:H104">
    <cfRule type="containsText" dxfId="8554" priority="9949" operator="containsText" text="정규교과">
      <formula>NOT(ISERROR(SEARCH(("정규교과"),(F104))))</formula>
    </cfRule>
    <cfRule type="containsText" dxfId="8553" priority="9948" operator="containsText" text="프로젝트">
      <formula>NOT(ISERROR(SEARCH(("프로젝트"),(F104))))</formula>
    </cfRule>
    <cfRule type="containsText" dxfId="8552" priority="9947" operator="containsText" text="기타">
      <formula>NOT(ISERROR(SEARCH(("기타"),(F104))))</formula>
    </cfRule>
    <cfRule type="containsText" dxfId="8551" priority="9946" operator="containsText" text="정규교과">
      <formula>NOT(ISERROR(SEARCH(("정규교과"),(F104))))</formula>
    </cfRule>
    <cfRule type="containsText" dxfId="8550" priority="9945" operator="containsText" text="프로젝트">
      <formula>NOT(ISERROR(SEARCH(("프로젝트"),(F104))))</formula>
    </cfRule>
    <cfRule type="containsText" dxfId="8549" priority="9944" operator="containsText" text="기타">
      <formula>NOT(ISERROR(SEARCH(("기타"),(F104))))</formula>
    </cfRule>
    <cfRule type="containsText" dxfId="8548" priority="9943" operator="containsText" text="정규교과">
      <formula>NOT(ISERROR(SEARCH(("정규교과"),(F104))))</formula>
    </cfRule>
    <cfRule type="containsText" dxfId="8547" priority="9942" operator="containsText" text="프로젝트">
      <formula>NOT(ISERROR(SEARCH(("프로젝트"),(F104))))</formula>
    </cfRule>
    <cfRule type="containsText" dxfId="8546" priority="9941" operator="containsText" text="기타">
      <formula>NOT(ISERROR(SEARCH(("기타"),(F104))))</formula>
    </cfRule>
    <cfRule type="containsText" dxfId="8545" priority="9940" operator="containsText" text="정규교과">
      <formula>NOT(ISERROR(SEARCH(("정규교과"),(F104))))</formula>
    </cfRule>
    <cfRule type="containsText" dxfId="8544" priority="9939" operator="containsText" text="프로젝트">
      <formula>NOT(ISERROR(SEARCH(("프로젝트"),(F104))))</formula>
    </cfRule>
    <cfRule type="containsText" dxfId="8543" priority="9937" operator="containsText" text="정규교과">
      <formula>NOT(ISERROR(SEARCH(("정규교과"),(F104))))</formula>
    </cfRule>
    <cfRule type="containsText" dxfId="8542" priority="9936" operator="containsText" text="프로젝트">
      <formula>NOT(ISERROR(SEARCH(("프로젝트"),(F104))))</formula>
    </cfRule>
    <cfRule type="containsText" dxfId="8541" priority="9935" operator="containsText" text="기타">
      <formula>NOT(ISERROR(SEARCH(("기타"),(F104))))</formula>
    </cfRule>
    <cfRule type="containsText" dxfId="8540" priority="9934" operator="containsText" text="정규교과">
      <formula>NOT(ISERROR(SEARCH(("정규교과"),(F104))))</formula>
    </cfRule>
    <cfRule type="containsText" dxfId="8539" priority="9933" operator="containsText" text="프로젝트">
      <formula>NOT(ISERROR(SEARCH(("프로젝트"),(F104))))</formula>
    </cfRule>
    <cfRule type="containsText" dxfId="8538" priority="9932" operator="containsText" text="기타">
      <formula>NOT(ISERROR(SEARCH(("기타"),(F104))))</formula>
    </cfRule>
    <cfRule type="containsText" dxfId="8537" priority="9938" operator="containsText" text="기타">
      <formula>NOT(ISERROR(SEARCH(("기타"),(F104))))</formula>
    </cfRule>
    <cfRule type="containsText" dxfId="8536" priority="9966" operator="containsText" text="기타">
      <formula>NOT(ISERROR(SEARCH(("기타"),(F104))))</formula>
    </cfRule>
    <cfRule type="containsText" dxfId="8535" priority="9924" operator="containsText" text="프로젝트">
      <formula>NOT(ISERROR(SEARCH(("프로젝트"),(F104))))</formula>
    </cfRule>
    <cfRule type="containsText" dxfId="8534" priority="9975" operator="containsText" text="기타">
      <formula>NOT(ISERROR(SEARCH(("기타"),(F104))))</formula>
    </cfRule>
    <cfRule type="containsText" dxfId="8533" priority="9974" operator="containsText" text="정규교과">
      <formula>NOT(ISERROR(SEARCH(("정규교과"),(F104))))</formula>
    </cfRule>
    <cfRule type="containsText" dxfId="8532" priority="9972" operator="containsText" text="기타">
      <formula>NOT(ISERROR(SEARCH(("기타"),(F104))))</formula>
    </cfRule>
    <cfRule type="containsText" dxfId="8531" priority="9971" operator="containsText" text="정규교과">
      <formula>NOT(ISERROR(SEARCH(("정규교과"),(F104))))</formula>
    </cfRule>
    <cfRule type="containsText" dxfId="8530" priority="9970" operator="containsText" text="프로젝트">
      <formula>NOT(ISERROR(SEARCH(("프로젝트"),(F104))))</formula>
    </cfRule>
    <cfRule type="containsText" dxfId="8529" priority="9926" operator="containsText" text="기타">
      <formula>NOT(ISERROR(SEARCH(("기타"),(F104))))</formula>
    </cfRule>
    <cfRule type="containsText" dxfId="8528" priority="9925" operator="containsText" text="정규교과">
      <formula>NOT(ISERROR(SEARCH(("정규교과"),(F104))))</formula>
    </cfRule>
    <cfRule type="containsText" dxfId="8527" priority="9968" operator="containsText" text="정규교과">
      <formula>NOT(ISERROR(SEARCH(("정규교과"),(F104))))</formula>
    </cfRule>
    <cfRule type="containsText" dxfId="8526" priority="9927" operator="containsText" text="프로젝트">
      <formula>NOT(ISERROR(SEARCH(("프로젝트"),(F104))))</formula>
    </cfRule>
    <cfRule type="containsText" dxfId="8525" priority="9928" operator="containsText" text="정규교과">
      <formula>NOT(ISERROR(SEARCH(("정규교과"),(F104))))</formula>
    </cfRule>
    <cfRule type="containsText" dxfId="8524" priority="9929" operator="containsText" text="기타">
      <formula>NOT(ISERROR(SEARCH(("기타"),(F104))))</formula>
    </cfRule>
    <cfRule type="containsText" dxfId="8523" priority="9930" operator="containsText" text="프로젝트">
      <formula>NOT(ISERROR(SEARCH(("프로젝트"),(F104))))</formula>
    </cfRule>
    <cfRule type="containsText" dxfId="8522" priority="9931" operator="containsText" text="정규교과">
      <formula>NOT(ISERROR(SEARCH(("정규교과"),(F104))))</formula>
    </cfRule>
    <cfRule type="containsText" dxfId="8521" priority="9967" operator="containsText" text="프로젝트">
      <formula>NOT(ISERROR(SEARCH(("프로젝트"),(F104))))</formula>
    </cfRule>
    <cfRule type="containsText" dxfId="8520" priority="9965" operator="containsText" text="정규교과">
      <formula>NOT(ISERROR(SEARCH(("정규교과"),(F104))))</formula>
    </cfRule>
    <cfRule type="containsText" dxfId="8519" priority="9964" operator="containsText" text="프로젝트">
      <formula>NOT(ISERROR(SEARCH(("프로젝트"),(F104))))</formula>
    </cfRule>
    <cfRule type="containsText" dxfId="8518" priority="9963" operator="containsText" text="기타">
      <formula>NOT(ISERROR(SEARCH(("기타"),(F104))))</formula>
    </cfRule>
    <cfRule type="containsText" dxfId="8517" priority="9962" operator="containsText" text="정규교과">
      <formula>NOT(ISERROR(SEARCH(("정규교과"),(F104))))</formula>
    </cfRule>
    <cfRule type="containsText" dxfId="8516" priority="9969" operator="containsText" text="기타">
      <formula>NOT(ISERROR(SEARCH(("기타"),(F104))))</formula>
    </cfRule>
    <cfRule type="containsText" dxfId="8515" priority="9960" operator="containsText" text="휴강">
      <formula>NOT(ISERROR(SEARCH(("휴강"),(F104))))</formula>
    </cfRule>
    <cfRule type="containsText" dxfId="8514" priority="9959" operator="containsText" text="기타">
      <formula>NOT(ISERROR(SEARCH(("기타"),(F104))))</formula>
    </cfRule>
    <cfRule type="containsText" dxfId="8513" priority="9958" operator="containsText" text="정규교과">
      <formula>NOT(ISERROR(SEARCH(("정규교과"),(F104))))</formula>
    </cfRule>
    <cfRule type="containsText" dxfId="8512" priority="9957" operator="containsText" text="프로젝트">
      <formula>NOT(ISERROR(SEARCH(("프로젝트"),(F104))))</formula>
    </cfRule>
    <cfRule type="containsText" dxfId="8511" priority="9956" operator="containsText" text="기타">
      <formula>NOT(ISERROR(SEARCH(("기타"),(F104))))</formula>
    </cfRule>
    <cfRule type="containsText" dxfId="8510" priority="9955" operator="containsText" text="정규교과">
      <formula>NOT(ISERROR(SEARCH(("정규교과"),(F104))))</formula>
    </cfRule>
    <cfRule type="containsText" dxfId="8509" priority="9954" operator="containsText" text="프로젝트">
      <formula>NOT(ISERROR(SEARCH(("프로젝트"),(F104))))</formula>
    </cfRule>
    <cfRule type="containsText" dxfId="8508" priority="9953" operator="containsText" text="기타">
      <formula>NOT(ISERROR(SEARCH(("기타"),(F104))))</formula>
    </cfRule>
    <cfRule type="containsText" dxfId="8507" priority="9952" operator="containsText" text="정규교과">
      <formula>NOT(ISERROR(SEARCH(("정규교과"),(F104))))</formula>
    </cfRule>
    <cfRule type="containsText" dxfId="8506" priority="9951" operator="containsText" text="프로젝트">
      <formula>NOT(ISERROR(SEARCH(("프로젝트"),(F104))))</formula>
    </cfRule>
    <cfRule type="containsText" dxfId="8505" priority="9950" operator="containsText" text="기타">
      <formula>NOT(ISERROR(SEARCH(("기타"),(F104))))</formula>
    </cfRule>
    <cfRule type="containsText" dxfId="8504" priority="9961" operator="containsText" text="프로젝트">
      <formula>NOT(ISERROR(SEARCH(("프로젝트"),(F104))))</formula>
    </cfRule>
  </conditionalFormatting>
  <conditionalFormatting sqref="F215:H215">
    <cfRule type="containsText" dxfId="8503" priority="4809" operator="containsText" text="프로젝트">
      <formula>NOT(ISERROR(SEARCH(("프로젝트"),(F215))))</formula>
    </cfRule>
    <cfRule type="containsText" dxfId="8502" priority="4807" operator="containsText" text="정규교과">
      <formula>NOT(ISERROR(SEARCH(("정규교과"),(F215))))</formula>
    </cfRule>
    <cfRule type="containsText" dxfId="8501" priority="4806" operator="containsText" text="프로젝트">
      <formula>NOT(ISERROR(SEARCH(("프로젝트"),(F215))))</formula>
    </cfRule>
    <cfRule type="containsText" dxfId="8500" priority="4805" operator="containsText" text="기타">
      <formula>NOT(ISERROR(SEARCH(("기타"),(F215))))</formula>
    </cfRule>
    <cfRule type="containsText" dxfId="8499" priority="4804" operator="containsText" text="정규교과">
      <formula>NOT(ISERROR(SEARCH(("정규교과"),(F215))))</formula>
    </cfRule>
    <cfRule type="containsText" dxfId="8498" priority="4803" operator="containsText" text="프로젝트">
      <formula>NOT(ISERROR(SEARCH(("프로젝트"),(F215))))</formula>
    </cfRule>
    <cfRule type="containsText" dxfId="8497" priority="4802" operator="containsText" text="기타">
      <formula>NOT(ISERROR(SEARCH(("기타"),(F215))))</formula>
    </cfRule>
    <cfRule type="containsText" dxfId="8496" priority="4801" operator="containsText" text="정규교과">
      <formula>NOT(ISERROR(SEARCH(("정규교과"),(F215))))</formula>
    </cfRule>
    <cfRule type="containsText" dxfId="8495" priority="4800" operator="containsText" text="프로젝트">
      <formula>NOT(ISERROR(SEARCH(("프로젝트"),(F215))))</formula>
    </cfRule>
    <cfRule type="containsText" dxfId="8494" priority="4808" operator="containsText" text="기타">
      <formula>NOT(ISERROR(SEARCH(("기타"),(F215))))</formula>
    </cfRule>
    <cfRule type="containsText" dxfId="8493" priority="4811" operator="containsText" text="기타">
      <formula>NOT(ISERROR(SEARCH(("기타"),(F215))))</formula>
    </cfRule>
    <cfRule type="containsText" dxfId="8492" priority="4810" operator="containsText" text="정규교과">
      <formula>NOT(ISERROR(SEARCH(("정규교과"),(F215))))</formula>
    </cfRule>
  </conditionalFormatting>
  <conditionalFormatting sqref="F289:H289">
    <cfRule type="containsText" dxfId="8491" priority="2702" operator="containsText" text="기타">
      <formula>NOT(ISERROR(SEARCH(("기타"),(F289))))</formula>
    </cfRule>
    <cfRule type="containsText" dxfId="8490" priority="2700" operator="containsText" text="프로젝트">
      <formula>NOT(ISERROR(SEARCH(("프로젝트"),(F289))))</formula>
    </cfRule>
    <cfRule type="containsText" dxfId="8489" priority="2699" operator="containsText" text="휴강">
      <formula>NOT(ISERROR(SEARCH(("휴강"),(F289))))</formula>
    </cfRule>
    <cfRule type="containsText" dxfId="8488" priority="2701" operator="containsText" text="정규교과">
      <formula>NOT(ISERROR(SEARCH(("정규교과"),(F289))))</formula>
    </cfRule>
  </conditionalFormatting>
  <conditionalFormatting sqref="F293:H293">
    <cfRule type="containsText" dxfId="8487" priority="2696" operator="containsText" text="프로젝트">
      <formula>NOT(ISERROR(SEARCH(("프로젝트"),(F293))))</formula>
    </cfRule>
    <cfRule type="containsText" dxfId="8486" priority="2695" operator="containsText" text="휴강">
      <formula>NOT(ISERROR(SEARCH(("휴강"),(F293))))</formula>
    </cfRule>
    <cfRule type="containsText" dxfId="8485" priority="2697" operator="containsText" text="정규교과">
      <formula>NOT(ISERROR(SEARCH(("정규교과"),(F293))))</formula>
    </cfRule>
    <cfRule type="containsText" dxfId="8484" priority="2698" operator="containsText" text="기타">
      <formula>NOT(ISERROR(SEARCH(("기타"),(F293))))</formula>
    </cfRule>
  </conditionalFormatting>
  <conditionalFormatting sqref="F298:H298">
    <cfRule type="containsText" dxfId="8483" priority="2691" operator="containsText" text="휴강">
      <formula>NOT(ISERROR(SEARCH(("휴강"),(F298))))</formula>
    </cfRule>
    <cfRule type="containsText" dxfId="8482" priority="2693" operator="containsText" text="정규교과">
      <formula>NOT(ISERROR(SEARCH(("정규교과"),(F298))))</formula>
    </cfRule>
    <cfRule type="containsText" dxfId="8481" priority="2692" operator="containsText" text="프로젝트">
      <formula>NOT(ISERROR(SEARCH(("프로젝트"),(F298))))</formula>
    </cfRule>
    <cfRule type="containsText" dxfId="8480" priority="2694" operator="containsText" text="기타">
      <formula>NOT(ISERROR(SEARCH(("기타"),(F298))))</formula>
    </cfRule>
  </conditionalFormatting>
  <conditionalFormatting sqref="F302:H302">
    <cfRule type="containsText" dxfId="8479" priority="2690" operator="containsText" text="기타">
      <formula>NOT(ISERROR(SEARCH(("기타"),(F302))))</formula>
    </cfRule>
    <cfRule type="containsText" dxfId="8478" priority="2689" operator="containsText" text="정규교과">
      <formula>NOT(ISERROR(SEARCH(("정규교과"),(F302))))</formula>
    </cfRule>
    <cfRule type="containsText" dxfId="8477" priority="2688" operator="containsText" text="프로젝트">
      <formula>NOT(ISERROR(SEARCH(("프로젝트"),(F302))))</formula>
    </cfRule>
    <cfRule type="containsText" dxfId="8476" priority="2687" operator="containsText" text="휴강">
      <formula>NOT(ISERROR(SEARCH(("휴강"),(F302))))</formula>
    </cfRule>
  </conditionalFormatting>
  <conditionalFormatting sqref="F306:H306">
    <cfRule type="containsText" dxfId="8475" priority="2683" operator="containsText" text="휴강">
      <formula>NOT(ISERROR(SEARCH(("휴강"),(F306))))</formula>
    </cfRule>
    <cfRule type="containsText" dxfId="8474" priority="2685" operator="containsText" text="정규교과">
      <formula>NOT(ISERROR(SEARCH(("정규교과"),(F306))))</formula>
    </cfRule>
    <cfRule type="containsText" dxfId="8473" priority="2684" operator="containsText" text="프로젝트">
      <formula>NOT(ISERROR(SEARCH(("프로젝트"),(F306))))</formula>
    </cfRule>
    <cfRule type="containsText" dxfId="8472" priority="2686" operator="containsText" text="기타">
      <formula>NOT(ISERROR(SEARCH(("기타"),(F306))))</formula>
    </cfRule>
  </conditionalFormatting>
  <conditionalFormatting sqref="F310:H310">
    <cfRule type="containsText" dxfId="8471" priority="2680" operator="containsText" text="프로젝트">
      <formula>NOT(ISERROR(SEARCH(("프로젝트"),(F310))))</formula>
    </cfRule>
    <cfRule type="containsText" dxfId="8470" priority="2681" operator="containsText" text="정규교과">
      <formula>NOT(ISERROR(SEARCH(("정규교과"),(F310))))</formula>
    </cfRule>
    <cfRule type="containsText" dxfId="8469" priority="2682" operator="containsText" text="기타">
      <formula>NOT(ISERROR(SEARCH(("기타"),(F310))))</formula>
    </cfRule>
    <cfRule type="containsText" dxfId="8468" priority="2679" operator="containsText" text="휴강">
      <formula>NOT(ISERROR(SEARCH(("휴강"),(F310))))</formula>
    </cfRule>
  </conditionalFormatting>
  <conditionalFormatting sqref="F314:H314">
    <cfRule type="containsText" dxfId="8467" priority="2675" operator="containsText" text="휴강">
      <formula>NOT(ISERROR(SEARCH(("휴강"),(F314))))</formula>
    </cfRule>
    <cfRule type="containsText" dxfId="8466" priority="2678" operator="containsText" text="기타">
      <formula>NOT(ISERROR(SEARCH(("기타"),(F314))))</formula>
    </cfRule>
    <cfRule type="containsText" dxfId="8465" priority="2677" operator="containsText" text="정규교과">
      <formula>NOT(ISERROR(SEARCH(("정규교과"),(F314))))</formula>
    </cfRule>
    <cfRule type="containsText" dxfId="8464" priority="2676" operator="containsText" text="프로젝트">
      <formula>NOT(ISERROR(SEARCH(("프로젝트"),(F314))))</formula>
    </cfRule>
  </conditionalFormatting>
  <conditionalFormatting sqref="F48:I48">
    <cfRule type="containsText" dxfId="8463" priority="20335" operator="containsText" text="프로젝트">
      <formula>NOT(ISERROR(SEARCH(("프로젝트"),(F48))))</formula>
    </cfRule>
    <cfRule type="containsText" dxfId="8462" priority="20336" operator="containsText" text="정규교과">
      <formula>NOT(ISERROR(SEARCH(("정규교과"),(F48))))</formula>
    </cfRule>
    <cfRule type="containsText" dxfId="8461" priority="20337" operator="containsText" text="기타">
      <formula>NOT(ISERROR(SEARCH(("기타"),(F48))))</formula>
    </cfRule>
  </conditionalFormatting>
  <conditionalFormatting sqref="F53:I53">
    <cfRule type="containsText" dxfId="8460" priority="20344" operator="containsText" text="프로젝트">
      <formula>NOT(ISERROR(SEARCH(("프로젝트"),(F53))))</formula>
    </cfRule>
    <cfRule type="containsText" dxfId="8459" priority="20346" operator="containsText" text="기타">
      <formula>NOT(ISERROR(SEARCH(("기타"),(F53))))</formula>
    </cfRule>
    <cfRule type="containsText" dxfId="8458" priority="20345" operator="containsText" text="정규교과">
      <formula>NOT(ISERROR(SEARCH(("정규교과"),(F53))))</formula>
    </cfRule>
  </conditionalFormatting>
  <conditionalFormatting sqref="F57:I57">
    <cfRule type="containsText" dxfId="8457" priority="20356" operator="containsText" text="프로젝트">
      <formula>NOT(ISERROR(SEARCH(("프로젝트"),(F57))))</formula>
    </cfRule>
    <cfRule type="containsText" dxfId="8456" priority="20357" operator="containsText" text="정규교과">
      <formula>NOT(ISERROR(SEARCH(("정규교과"),(F57))))</formula>
    </cfRule>
    <cfRule type="containsText" dxfId="8455" priority="20358" operator="containsText" text="기타">
      <formula>NOT(ISERROR(SEARCH(("기타"),(F57))))</formula>
    </cfRule>
  </conditionalFormatting>
  <conditionalFormatting sqref="F61:I61">
    <cfRule type="containsText" dxfId="8454" priority="20368" operator="containsText" text="프로젝트">
      <formula>NOT(ISERROR(SEARCH(("프로젝트"),(F61))))</formula>
    </cfRule>
    <cfRule type="containsText" dxfId="8453" priority="20369" operator="containsText" text="정규교과">
      <formula>NOT(ISERROR(SEARCH(("정규교과"),(F61))))</formula>
    </cfRule>
    <cfRule type="containsText" dxfId="8452" priority="20370" operator="containsText" text="기타">
      <formula>NOT(ISERROR(SEARCH(("기타"),(F61))))</formula>
    </cfRule>
  </conditionalFormatting>
  <conditionalFormatting sqref="F65:I65">
    <cfRule type="containsText" dxfId="8451" priority="20380" operator="containsText" text="프로젝트">
      <formula>NOT(ISERROR(SEARCH(("프로젝트"),(F65))))</formula>
    </cfRule>
    <cfRule type="containsText" dxfId="8450" priority="20381" operator="containsText" text="정규교과">
      <formula>NOT(ISERROR(SEARCH(("정규교과"),(F65))))</formula>
    </cfRule>
    <cfRule type="containsText" dxfId="8449" priority="20382" operator="containsText" text="기타">
      <formula>NOT(ISERROR(SEARCH(("기타"),(F65))))</formula>
    </cfRule>
  </conditionalFormatting>
  <conditionalFormatting sqref="F69:I69">
    <cfRule type="containsText" dxfId="8448" priority="20392" operator="containsText" text="프로젝트">
      <formula>NOT(ISERROR(SEARCH(("프로젝트"),(F69))))</formula>
    </cfRule>
    <cfRule type="containsText" dxfId="8447" priority="20393" operator="containsText" text="정규교과">
      <formula>NOT(ISERROR(SEARCH(("정규교과"),(F69))))</formula>
    </cfRule>
    <cfRule type="containsText" dxfId="8446" priority="20394" operator="containsText" text="기타">
      <formula>NOT(ISERROR(SEARCH(("기타"),(F69))))</formula>
    </cfRule>
  </conditionalFormatting>
  <conditionalFormatting sqref="F75:I75">
    <cfRule type="containsText" dxfId="8445" priority="9921" operator="containsText" text="프로젝트">
      <formula>NOT(ISERROR(SEARCH(("프로젝트"),(F75))))</formula>
    </cfRule>
  </conditionalFormatting>
  <conditionalFormatting sqref="F79:I79">
    <cfRule type="containsText" dxfId="8444" priority="9817" operator="containsText" text="프로젝트">
      <formula>NOT(ISERROR(SEARCH(("프로젝트"),(F79))))</formula>
    </cfRule>
  </conditionalFormatting>
  <conditionalFormatting sqref="F83:I83">
    <cfRule type="containsText" dxfId="8443" priority="9713" operator="containsText" text="프로젝트">
      <formula>NOT(ISERROR(SEARCH(("프로젝트"),(F83))))</formula>
    </cfRule>
  </conditionalFormatting>
  <conditionalFormatting sqref="F88:I88">
    <cfRule type="containsText" dxfId="8442" priority="9609" operator="containsText" text="프로젝트">
      <formula>NOT(ISERROR(SEARCH(("프로젝트"),(F88))))</formula>
    </cfRule>
  </conditionalFormatting>
  <conditionalFormatting sqref="F92:I92">
    <cfRule type="containsText" dxfId="8441" priority="9505" operator="containsText" text="프로젝트">
      <formula>NOT(ISERROR(SEARCH(("프로젝트"),(F92))))</formula>
    </cfRule>
  </conditionalFormatting>
  <conditionalFormatting sqref="F96:I96">
    <cfRule type="containsText" dxfId="8440" priority="9401" operator="containsText" text="프로젝트">
      <formula>NOT(ISERROR(SEARCH(("프로젝트"),(F96))))</formula>
    </cfRule>
  </conditionalFormatting>
  <conditionalFormatting sqref="F285:I285">
    <cfRule type="containsText" dxfId="8439" priority="2703" operator="containsText" text="휴강">
      <formula>NOT(ISERROR(SEARCH(("휴강"),(F285))))</formula>
    </cfRule>
    <cfRule type="containsText" dxfId="8438" priority="2704" operator="containsText" text="프로젝트">
      <formula>NOT(ISERROR(SEARCH(("프로젝트"),(F285))))</formula>
    </cfRule>
    <cfRule type="containsText" dxfId="8437" priority="2705" operator="containsText" text="정규교과">
      <formula>NOT(ISERROR(SEARCH(("정규교과"),(F285))))</formula>
    </cfRule>
    <cfRule type="containsText" dxfId="8436" priority="2706" operator="containsText" text="기타">
      <formula>NOT(ISERROR(SEARCH(("기타"),(F285))))</formula>
    </cfRule>
  </conditionalFormatting>
  <conditionalFormatting sqref="F337:M337">
    <cfRule type="containsText" dxfId="8435" priority="14464" operator="containsText" text="정규교과">
      <formula>NOT(ISERROR(SEARCH(("정규교과"),(F337))))</formula>
    </cfRule>
    <cfRule type="containsText" dxfId="8434" priority="14465" operator="containsText" text="기타">
      <formula>NOT(ISERROR(SEARCH(("기타"),(F337))))</formula>
    </cfRule>
    <cfRule type="containsText" dxfId="8433" priority="14466" operator="containsText" text="프로젝트">
      <formula>NOT(ISERROR(SEARCH(("프로젝트"),(F337))))</formula>
    </cfRule>
    <cfRule type="containsText" dxfId="8432" priority="14467" operator="containsText" text="정규교과">
      <formula>NOT(ISERROR(SEARCH(("정규교과"),(F337))))</formula>
    </cfRule>
    <cfRule type="containsText" dxfId="8431" priority="14468" operator="containsText" text="기타">
      <formula>NOT(ISERROR(SEARCH(("기타"),(F337))))</formula>
    </cfRule>
    <cfRule type="containsText" dxfId="8430" priority="14457" operator="containsText" text="프로젝트">
      <formula>NOT(ISERROR(SEARCH(("프로젝트"),(F337))))</formula>
    </cfRule>
    <cfRule type="containsText" dxfId="8429" priority="14458" operator="containsText" text="정규교과">
      <formula>NOT(ISERROR(SEARCH(("정규교과"),(F337))))</formula>
    </cfRule>
    <cfRule type="containsText" dxfId="8428" priority="14459" operator="containsText" text="기타">
      <formula>NOT(ISERROR(SEARCH(("기타"),(F337))))</formula>
    </cfRule>
    <cfRule type="containsText" dxfId="8427" priority="14460" operator="containsText" text="프로젝트">
      <formula>NOT(ISERROR(SEARCH(("프로젝트"),(F337))))</formula>
    </cfRule>
    <cfRule type="containsText" dxfId="8426" priority="14461" operator="containsText" text="정규교과">
      <formula>NOT(ISERROR(SEARCH(("정규교과"),(F337))))</formula>
    </cfRule>
    <cfRule type="containsText" dxfId="8425" priority="14462" operator="containsText" text="기타">
      <formula>NOT(ISERROR(SEARCH(("기타"),(F337))))</formula>
    </cfRule>
    <cfRule type="containsText" dxfId="8424" priority="14463" operator="containsText" text="프로젝트">
      <formula>NOT(ISERROR(SEARCH(("프로젝트"),(F337))))</formula>
    </cfRule>
  </conditionalFormatting>
  <conditionalFormatting sqref="F341:M341">
    <cfRule type="containsText" dxfId="8423" priority="14477" operator="containsText" text="기타">
      <formula>NOT(ISERROR(SEARCH(("기타"),(F341))))</formula>
    </cfRule>
    <cfRule type="containsText" dxfId="8422" priority="14478" operator="containsText" text="프로젝트">
      <formula>NOT(ISERROR(SEARCH(("프로젝트"),(F341))))</formula>
    </cfRule>
    <cfRule type="containsText" dxfId="8421" priority="14479" operator="containsText" text="정규교과">
      <formula>NOT(ISERROR(SEARCH(("정규교과"),(F341))))</formula>
    </cfRule>
    <cfRule type="containsText" dxfId="8420" priority="14480" operator="containsText" text="기타">
      <formula>NOT(ISERROR(SEARCH(("기타"),(F341))))</formula>
    </cfRule>
    <cfRule type="containsText" dxfId="8419" priority="14469" operator="containsText" text="프로젝트">
      <formula>NOT(ISERROR(SEARCH(("프로젝트"),(F341))))</formula>
    </cfRule>
    <cfRule type="containsText" dxfId="8418" priority="14472" operator="containsText" text="프로젝트">
      <formula>NOT(ISERROR(SEARCH(("프로젝트"),(F341))))</formula>
    </cfRule>
    <cfRule type="containsText" dxfId="8417" priority="14475" operator="containsText" text="프로젝트">
      <formula>NOT(ISERROR(SEARCH(("프로젝트"),(F341))))</formula>
    </cfRule>
    <cfRule type="containsText" dxfId="8416" priority="14473" operator="containsText" text="정규교과">
      <formula>NOT(ISERROR(SEARCH(("정규교과"),(F341))))</formula>
    </cfRule>
    <cfRule type="containsText" dxfId="8415" priority="14471" operator="containsText" text="기타">
      <formula>NOT(ISERROR(SEARCH(("기타"),(F341))))</formula>
    </cfRule>
    <cfRule type="containsText" dxfId="8414" priority="14474" operator="containsText" text="기타">
      <formula>NOT(ISERROR(SEARCH(("기타"),(F341))))</formula>
    </cfRule>
    <cfRule type="containsText" dxfId="8413" priority="14470" operator="containsText" text="정규교과">
      <formula>NOT(ISERROR(SEARCH(("정규교과"),(F341))))</formula>
    </cfRule>
    <cfRule type="containsText" dxfId="8412" priority="14476" operator="containsText" text="정규교과">
      <formula>NOT(ISERROR(SEARCH(("정규교과"),(F341))))</formula>
    </cfRule>
  </conditionalFormatting>
  <conditionalFormatting sqref="F345:M345">
    <cfRule type="containsText" dxfId="8411" priority="14482" operator="containsText" text="정규교과">
      <formula>NOT(ISERROR(SEARCH(("정규교과"),(F345))))</formula>
    </cfRule>
    <cfRule type="containsText" dxfId="8410" priority="14484" operator="containsText" text="프로젝트">
      <formula>NOT(ISERROR(SEARCH(("프로젝트"),(F345))))</formula>
    </cfRule>
    <cfRule type="containsText" dxfId="8409" priority="14485" operator="containsText" text="정규교과">
      <formula>NOT(ISERROR(SEARCH(("정규교과"),(F345))))</formula>
    </cfRule>
    <cfRule type="containsText" dxfId="8408" priority="14487" operator="containsText" text="프로젝트">
      <formula>NOT(ISERROR(SEARCH(("프로젝트"),(F345))))</formula>
    </cfRule>
    <cfRule type="containsText" dxfId="8407" priority="14488" operator="containsText" text="정규교과">
      <formula>NOT(ISERROR(SEARCH(("정규교과"),(F345))))</formula>
    </cfRule>
    <cfRule type="containsText" dxfId="8406" priority="14489" operator="containsText" text="기타">
      <formula>NOT(ISERROR(SEARCH(("기타"),(F345))))</formula>
    </cfRule>
    <cfRule type="containsText" dxfId="8405" priority="14486" operator="containsText" text="기타">
      <formula>NOT(ISERROR(SEARCH(("기타"),(F345))))</formula>
    </cfRule>
    <cfRule type="containsText" dxfId="8404" priority="14483" operator="containsText" text="기타">
      <formula>NOT(ISERROR(SEARCH(("기타"),(F345))))</formula>
    </cfRule>
    <cfRule type="containsText" dxfId="8403" priority="14492" operator="containsText" text="기타">
      <formula>NOT(ISERROR(SEARCH(("기타"),(F345))))</formula>
    </cfRule>
    <cfRule type="containsText" dxfId="8402" priority="14491" operator="containsText" text="정규교과">
      <formula>NOT(ISERROR(SEARCH(("정규교과"),(F345))))</formula>
    </cfRule>
    <cfRule type="containsText" dxfId="8401" priority="14490" operator="containsText" text="프로젝트">
      <formula>NOT(ISERROR(SEARCH(("프로젝트"),(F345))))</formula>
    </cfRule>
    <cfRule type="containsText" dxfId="8400" priority="14481" operator="containsText" text="프로젝트">
      <formula>NOT(ISERROR(SEARCH(("프로젝트"),(F345))))</formula>
    </cfRule>
  </conditionalFormatting>
  <conditionalFormatting sqref="F349:M349">
    <cfRule type="containsText" dxfId="8399" priority="14493" operator="containsText" text="프로젝트">
      <formula>NOT(ISERROR(SEARCH(("프로젝트"),(F349))))</formula>
    </cfRule>
    <cfRule type="containsText" dxfId="8398" priority="14496" operator="containsText" text="프로젝트">
      <formula>NOT(ISERROR(SEARCH(("프로젝트"),(F349))))</formula>
    </cfRule>
    <cfRule type="containsText" dxfId="8397" priority="14495" operator="containsText" text="기타">
      <formula>NOT(ISERROR(SEARCH(("기타"),(F349))))</formula>
    </cfRule>
    <cfRule type="containsText" dxfId="8396" priority="14499" operator="containsText" text="프로젝트">
      <formula>NOT(ISERROR(SEARCH(("프로젝트"),(F349))))</formula>
    </cfRule>
    <cfRule type="containsText" dxfId="8395" priority="14504" operator="containsText" text="기타">
      <formula>NOT(ISERROR(SEARCH(("기타"),(F349))))</formula>
    </cfRule>
    <cfRule type="containsText" dxfId="8394" priority="14503" operator="containsText" text="정규교과">
      <formula>NOT(ISERROR(SEARCH(("정규교과"),(F349))))</formula>
    </cfRule>
    <cfRule type="containsText" dxfId="8393" priority="14502" operator="containsText" text="프로젝트">
      <formula>NOT(ISERROR(SEARCH(("프로젝트"),(F349))))</formula>
    </cfRule>
    <cfRule type="containsText" dxfId="8392" priority="14498" operator="containsText" text="기타">
      <formula>NOT(ISERROR(SEARCH(("기타"),(F349))))</formula>
    </cfRule>
    <cfRule type="containsText" dxfId="8391" priority="14500" operator="containsText" text="정규교과">
      <formula>NOT(ISERROR(SEARCH(("정규교과"),(F349))))</formula>
    </cfRule>
    <cfRule type="containsText" dxfId="8390" priority="14501" operator="containsText" text="기타">
      <formula>NOT(ISERROR(SEARCH(("기타"),(F349))))</formula>
    </cfRule>
    <cfRule type="containsText" dxfId="8389" priority="14494" operator="containsText" text="정규교과">
      <formula>NOT(ISERROR(SEARCH(("정규교과"),(F349))))</formula>
    </cfRule>
    <cfRule type="containsText" dxfId="8388" priority="14497" operator="containsText" text="정규교과">
      <formula>NOT(ISERROR(SEARCH(("정규교과"),(F349))))</formula>
    </cfRule>
  </conditionalFormatting>
  <conditionalFormatting sqref="G40">
    <cfRule type="containsText" dxfId="8387" priority="13716" operator="containsText" text="기타">
      <formula>NOT(ISERROR(SEARCH(("기타"),(G40))))</formula>
    </cfRule>
    <cfRule type="containsText" dxfId="8386" priority="13715" operator="containsText" text="정규교과">
      <formula>NOT(ISERROR(SEARCH(("정규교과"),(G40))))</formula>
    </cfRule>
    <cfRule type="containsText" dxfId="8385" priority="13713" operator="containsText" text="기타">
      <formula>NOT(ISERROR(SEARCH(("기타"),(G40))))</formula>
    </cfRule>
    <cfRule type="containsText" dxfId="8384" priority="13712" operator="containsText" text="정규교과">
      <formula>NOT(ISERROR(SEARCH(("정규교과"),(G40))))</formula>
    </cfRule>
    <cfRule type="containsText" dxfId="8383" priority="13711" operator="containsText" text="프로젝트">
      <formula>NOT(ISERROR(SEARCH(("프로젝트"),(G40))))</formula>
    </cfRule>
    <cfRule type="containsText" dxfId="8382" priority="13710" operator="containsText" text="기타">
      <formula>NOT(ISERROR(SEARCH(("기타"),(G40))))</formula>
    </cfRule>
    <cfRule type="containsText" dxfId="8381" priority="13709" operator="containsText" text="정규교과">
      <formula>NOT(ISERROR(SEARCH(("정규교과"),(G40))))</formula>
    </cfRule>
    <cfRule type="containsText" dxfId="8380" priority="13708" operator="containsText" text="프로젝트">
      <formula>NOT(ISERROR(SEARCH(("프로젝트"),(G40))))</formula>
    </cfRule>
    <cfRule type="containsText" dxfId="8379" priority="13707" operator="containsText" text="기타">
      <formula>NOT(ISERROR(SEARCH(("기타"),(G40))))</formula>
    </cfRule>
    <cfRule type="containsText" dxfId="8378" priority="13719" operator="containsText" text="기타">
      <formula>NOT(ISERROR(SEARCH(("기타"),(G40))))</formula>
    </cfRule>
    <cfRule type="containsText" dxfId="8377" priority="13706" operator="containsText" text="정규교과">
      <formula>NOT(ISERROR(SEARCH(("정규교과"),(G40))))</formula>
    </cfRule>
    <cfRule type="containsText" dxfId="8376" priority="13705" operator="containsText" text="프로젝트">
      <formula>NOT(ISERROR(SEARCH(("프로젝트"),(G40))))</formula>
    </cfRule>
    <cfRule type="containsText" dxfId="8375" priority="13704" operator="containsText" text="기타">
      <formula>NOT(ISERROR(SEARCH(("기타"),(G40))))</formula>
    </cfRule>
    <cfRule type="containsText" dxfId="8374" priority="13703" operator="containsText" text="정규교과">
      <formula>NOT(ISERROR(SEARCH(("정규교과"),(G40))))</formula>
    </cfRule>
    <cfRule type="containsText" dxfId="8373" priority="13702" operator="containsText" text="프로젝트">
      <formula>NOT(ISERROR(SEARCH(("프로젝트"),(G40))))</formula>
    </cfRule>
    <cfRule type="containsText" dxfId="8372" priority="13701" operator="containsText" text="기타">
      <formula>NOT(ISERROR(SEARCH(("기타"),(G40))))</formula>
    </cfRule>
    <cfRule type="containsText" dxfId="8371" priority="13700" operator="containsText" text="정규교과">
      <formula>NOT(ISERROR(SEARCH(("정규교과"),(G40))))</formula>
    </cfRule>
    <cfRule type="containsText" dxfId="8370" priority="13699" operator="containsText" text="프로젝트">
      <formula>NOT(ISERROR(SEARCH(("프로젝트"),(G40))))</formula>
    </cfRule>
    <cfRule type="containsText" dxfId="8369" priority="13698" operator="containsText" text="기타">
      <formula>NOT(ISERROR(SEARCH(("기타"),(G40))))</formula>
    </cfRule>
    <cfRule type="containsText" dxfId="8368" priority="13697" operator="containsText" text="정규교과">
      <formula>NOT(ISERROR(SEARCH(("정규교과"),(G40))))</formula>
    </cfRule>
    <cfRule type="containsText" dxfId="8367" priority="13696" operator="containsText" text="프로젝트">
      <formula>NOT(ISERROR(SEARCH(("프로젝트"),(G40))))</formula>
    </cfRule>
    <cfRule type="containsText" dxfId="8366" priority="13695" operator="containsText" text="기타">
      <formula>NOT(ISERROR(SEARCH(("기타"),(G40))))</formula>
    </cfRule>
    <cfRule type="containsText" dxfId="8365" priority="13694" operator="containsText" text="정규교과">
      <formula>NOT(ISERROR(SEARCH(("정규교과"),(G40))))</formula>
    </cfRule>
    <cfRule type="containsText" dxfId="8364" priority="13693" operator="containsText" text="프로젝트">
      <formula>NOT(ISERROR(SEARCH(("프로젝트"),(G40))))</formula>
    </cfRule>
    <cfRule type="containsText" dxfId="8363" priority="13714" operator="containsText" text="프로젝트">
      <formula>NOT(ISERROR(SEARCH(("프로젝트"),(G40))))</formula>
    </cfRule>
    <cfRule type="containsText" dxfId="8362" priority="13688" operator="containsText" text="정규교과">
      <formula>NOT(ISERROR(SEARCH(("정규교과"),(G40))))</formula>
    </cfRule>
    <cfRule type="containsText" dxfId="8361" priority="13689" operator="containsText" text="기타">
      <formula>NOT(ISERROR(SEARCH(("기타"),(G40))))</formula>
    </cfRule>
    <cfRule type="containsText" dxfId="8360" priority="13690" operator="containsText" text="프로젝트">
      <formula>NOT(ISERROR(SEARCH(("프로젝트"),(G40))))</formula>
    </cfRule>
    <cfRule type="containsText" dxfId="8359" priority="13691" operator="containsText" text="정규교과">
      <formula>NOT(ISERROR(SEARCH(("정규교과"),(G40))))</formula>
    </cfRule>
    <cfRule type="containsText" dxfId="8358" priority="13692" operator="containsText" text="기타">
      <formula>NOT(ISERROR(SEARCH(("기타"),(G40))))</formula>
    </cfRule>
    <cfRule type="containsText" dxfId="8357" priority="13717" operator="containsText" text="프로젝트">
      <formula>NOT(ISERROR(SEARCH(("프로젝트"),(G40))))</formula>
    </cfRule>
    <cfRule type="containsText" dxfId="8356" priority="13718" operator="containsText" text="정규교과">
      <formula>NOT(ISERROR(SEARCH(("정규교과"),(G40))))</formula>
    </cfRule>
    <cfRule type="containsText" dxfId="8355" priority="13720" operator="containsText" text="프로젝트">
      <formula>NOT(ISERROR(SEARCH(("프로젝트"),(G40))))</formula>
    </cfRule>
    <cfRule type="containsText" dxfId="8354" priority="13721" operator="containsText" text="정규교과">
      <formula>NOT(ISERROR(SEARCH(("정규교과"),(G40))))</formula>
    </cfRule>
    <cfRule type="containsText" dxfId="8353" priority="13722" operator="containsText" text="기타">
      <formula>NOT(ISERROR(SEARCH(("기타"),(G40))))</formula>
    </cfRule>
    <cfRule type="containsText" dxfId="8352" priority="13723" operator="containsText" text="프로젝트">
      <formula>NOT(ISERROR(SEARCH(("프로젝트"),(G40))))</formula>
    </cfRule>
    <cfRule type="containsText" dxfId="8351" priority="13724" operator="containsText" text="정규교과">
      <formula>NOT(ISERROR(SEARCH(("정규교과"),(G40))))</formula>
    </cfRule>
    <cfRule type="containsText" dxfId="8350" priority="13725" operator="containsText" text="기타">
      <formula>NOT(ISERROR(SEARCH(("기타"),(G40))))</formula>
    </cfRule>
    <cfRule type="containsText" dxfId="8349" priority="13726" operator="containsText" text="프로젝트">
      <formula>NOT(ISERROR(SEARCH(("프로젝트"),(G40))))</formula>
    </cfRule>
    <cfRule type="containsText" dxfId="8348" priority="13727" operator="containsText" text="정규교과">
      <formula>NOT(ISERROR(SEARCH(("정규교과"),(G40))))</formula>
    </cfRule>
    <cfRule type="containsText" dxfId="8347" priority="13728" operator="containsText" text="기타">
      <formula>NOT(ISERROR(SEARCH(("기타"),(G40))))</formula>
    </cfRule>
    <cfRule type="containsText" dxfId="8346" priority="13729" operator="containsText" text="프로젝트">
      <formula>NOT(ISERROR(SEARCH(("프로젝트"),(G40))))</formula>
    </cfRule>
    <cfRule type="containsText" dxfId="8345" priority="13730" operator="containsText" text="정규교과">
      <formula>NOT(ISERROR(SEARCH(("정규교과"),(G40))))</formula>
    </cfRule>
    <cfRule type="containsText" dxfId="8344" priority="13731" operator="containsText" text="기타">
      <formula>NOT(ISERROR(SEARCH(("기타"),(G40))))</formula>
    </cfRule>
    <cfRule type="containsText" dxfId="8343" priority="13733" operator="containsText" text="정규교과">
      <formula>NOT(ISERROR(SEARCH(("정규교과"),(G40))))</formula>
    </cfRule>
    <cfRule type="containsText" dxfId="8342" priority="13734" operator="containsText" text="기타">
      <formula>NOT(ISERROR(SEARCH(("기타"),(G40))))</formula>
    </cfRule>
    <cfRule type="containsText" dxfId="8341" priority="13669" operator="containsText" text="프로젝트">
      <formula>NOT(ISERROR(SEARCH(("프로젝트"),(G40))))</formula>
    </cfRule>
    <cfRule type="containsText" dxfId="8340" priority="13670" operator="containsText" text="정규교과">
      <formula>NOT(ISERROR(SEARCH(("정규교과"),(G40))))</formula>
    </cfRule>
    <cfRule type="containsText" dxfId="8339" priority="13671" operator="containsText" text="기타">
      <formula>NOT(ISERROR(SEARCH(("기타"),(G40))))</formula>
    </cfRule>
    <cfRule type="containsText" dxfId="8338" priority="13672" operator="containsText" text="프로젝트">
      <formula>NOT(ISERROR(SEARCH(("프로젝트"),(G40))))</formula>
    </cfRule>
    <cfRule type="containsText" dxfId="8337" priority="13673" operator="containsText" text="정규교과">
      <formula>NOT(ISERROR(SEARCH(("정규교과"),(G40))))</formula>
    </cfRule>
    <cfRule type="containsText" dxfId="8336" priority="13674" operator="containsText" text="기타">
      <formula>NOT(ISERROR(SEARCH(("기타"),(G40))))</formula>
    </cfRule>
    <cfRule type="containsText" dxfId="8335" priority="13675" operator="containsText" text="프로젝트">
      <formula>NOT(ISERROR(SEARCH(("프로젝트"),(G40))))</formula>
    </cfRule>
    <cfRule type="containsText" dxfId="8334" priority="13676" operator="containsText" text="정규교과">
      <formula>NOT(ISERROR(SEARCH(("정규교과"),(G40))))</formula>
    </cfRule>
    <cfRule type="containsText" dxfId="8333" priority="13677" operator="containsText" text="기타">
      <formula>NOT(ISERROR(SEARCH(("기타"),(G40))))</formula>
    </cfRule>
    <cfRule type="containsText" dxfId="8332" priority="13678" operator="containsText" text="프로젝트">
      <formula>NOT(ISERROR(SEARCH(("프로젝트"),(G40))))</formula>
    </cfRule>
    <cfRule type="containsText" dxfId="8331" priority="13679" operator="containsText" text="정규교과">
      <formula>NOT(ISERROR(SEARCH(("정규교과"),(G40))))</formula>
    </cfRule>
    <cfRule type="containsText" dxfId="8330" priority="13680" operator="containsText" text="기타">
      <formula>NOT(ISERROR(SEARCH(("기타"),(G40))))</formula>
    </cfRule>
    <cfRule type="containsText" dxfId="8329" priority="13681" operator="containsText" text="프로젝트">
      <formula>NOT(ISERROR(SEARCH(("프로젝트"),(G40))))</formula>
    </cfRule>
    <cfRule type="containsText" dxfId="8328" priority="13682" operator="containsText" text="정규교과">
      <formula>NOT(ISERROR(SEARCH(("정규교과"),(G40))))</formula>
    </cfRule>
    <cfRule type="containsText" dxfId="8327" priority="13683" operator="containsText" text="기타">
      <formula>NOT(ISERROR(SEARCH(("기타"),(G40))))</formula>
    </cfRule>
    <cfRule type="containsText" dxfId="8326" priority="13684" operator="containsText" text="프로젝트">
      <formula>NOT(ISERROR(SEARCH(("프로젝트"),(G40))))</formula>
    </cfRule>
    <cfRule type="containsText" dxfId="8325" priority="13685" operator="containsText" text="정규교과">
      <formula>NOT(ISERROR(SEARCH(("정규교과"),(G40))))</formula>
    </cfRule>
    <cfRule type="containsText" dxfId="8324" priority="13686" operator="containsText" text="기타">
      <formula>NOT(ISERROR(SEARCH(("기타"),(G40))))</formula>
    </cfRule>
    <cfRule type="containsText" dxfId="8323" priority="13687" operator="containsText" text="프로젝트">
      <formula>NOT(ISERROR(SEARCH(("프로젝트"),(G40))))</formula>
    </cfRule>
  </conditionalFormatting>
  <conditionalFormatting sqref="G44">
    <cfRule type="containsText" dxfId="8322" priority="13495" operator="containsText" text="프로젝트">
      <formula>NOT(ISERROR(SEARCH(("프로젝트"),(G44))))</formula>
    </cfRule>
    <cfRule type="containsText" dxfId="8321" priority="13493" operator="containsText" text="정규교과">
      <formula>NOT(ISERROR(SEARCH(("정규교과"),(G44))))</formula>
    </cfRule>
    <cfRule type="containsText" dxfId="8320" priority="13492" operator="containsText" text="프로젝트">
      <formula>NOT(ISERROR(SEARCH(("프로젝트"),(G44))))</formula>
    </cfRule>
    <cfRule type="containsText" dxfId="8319" priority="13491" operator="containsText" text="기타">
      <formula>NOT(ISERROR(SEARCH(("기타"),(G44))))</formula>
    </cfRule>
    <cfRule type="containsText" dxfId="8318" priority="13490" operator="containsText" text="정규교과">
      <formula>NOT(ISERROR(SEARCH(("정규교과"),(G44))))</formula>
    </cfRule>
    <cfRule type="containsText" dxfId="8317" priority="13489" operator="containsText" text="프로젝트">
      <formula>NOT(ISERROR(SEARCH(("프로젝트"),(G44))))</formula>
    </cfRule>
    <cfRule type="containsText" dxfId="8316" priority="13488" operator="containsText" text="기타">
      <formula>NOT(ISERROR(SEARCH(("기타"),(G44))))</formula>
    </cfRule>
    <cfRule type="containsText" dxfId="8315" priority="13487" operator="containsText" text="정규교과">
      <formula>NOT(ISERROR(SEARCH(("정규교과"),(G44))))</formula>
    </cfRule>
    <cfRule type="containsText" dxfId="8314" priority="13518" operator="containsText" text="기타">
      <formula>NOT(ISERROR(SEARCH(("기타"),(G44))))</formula>
    </cfRule>
    <cfRule type="containsText" dxfId="8313" priority="13519" operator="containsText" text="프로젝트">
      <formula>NOT(ISERROR(SEARCH(("프로젝트"),(G44))))</formula>
    </cfRule>
    <cfRule type="containsText" dxfId="8312" priority="13520" operator="containsText" text="정규교과">
      <formula>NOT(ISERROR(SEARCH(("정규교과"),(G44))))</formula>
    </cfRule>
    <cfRule type="containsText" dxfId="8311" priority="13521" operator="containsText" text="기타">
      <formula>NOT(ISERROR(SEARCH(("기타"),(G44))))</formula>
    </cfRule>
    <cfRule type="containsText" dxfId="8310" priority="13522" operator="containsText" text="프로젝트">
      <formula>NOT(ISERROR(SEARCH(("프로젝트"),(G44))))</formula>
    </cfRule>
    <cfRule type="containsText" dxfId="8309" priority="13523" operator="containsText" text="정규교과">
      <formula>NOT(ISERROR(SEARCH(("정규교과"),(G44))))</formula>
    </cfRule>
    <cfRule type="containsText" dxfId="8308" priority="13524" operator="containsText" text="기타">
      <formula>NOT(ISERROR(SEARCH(("기타"),(G44))))</formula>
    </cfRule>
    <cfRule type="containsText" dxfId="8307" priority="13526" operator="containsText" text="정규교과">
      <formula>NOT(ISERROR(SEARCH(("정규교과"),(G44))))</formula>
    </cfRule>
    <cfRule type="containsText" dxfId="8306" priority="13510" operator="containsText" text="프로젝트">
      <formula>NOT(ISERROR(SEARCH(("프로젝트"),(G44))))</formula>
    </cfRule>
    <cfRule type="containsText" dxfId="8305" priority="13527" operator="containsText" text="기타">
      <formula>NOT(ISERROR(SEARCH(("기타"),(G44))))</formula>
    </cfRule>
    <cfRule type="containsText" dxfId="8304" priority="13486" operator="containsText" text="프로젝트">
      <formula>NOT(ISERROR(SEARCH(("프로젝트"),(G44))))</formula>
    </cfRule>
    <cfRule type="containsText" dxfId="8303" priority="13484" operator="containsText" text="정규교과">
      <formula>NOT(ISERROR(SEARCH(("정규교과"),(G44))))</formula>
    </cfRule>
    <cfRule type="containsText" dxfId="8302" priority="13509" operator="containsText" text="기타">
      <formula>NOT(ISERROR(SEARCH(("기타"),(G44))))</formula>
    </cfRule>
    <cfRule type="containsText" dxfId="8301" priority="13508" operator="containsText" text="정규교과">
      <formula>NOT(ISERROR(SEARCH(("정규교과"),(G44))))</formula>
    </cfRule>
    <cfRule type="containsText" dxfId="8300" priority="13505" operator="containsText" text="정규교과">
      <formula>NOT(ISERROR(SEARCH(("정규교과"),(G44))))</formula>
    </cfRule>
    <cfRule type="containsText" dxfId="8299" priority="13504" operator="containsText" text="프로젝트">
      <formula>NOT(ISERROR(SEARCH(("프로젝트"),(G44))))</formula>
    </cfRule>
    <cfRule type="containsText" dxfId="8298" priority="13503" operator="containsText" text="기타">
      <formula>NOT(ISERROR(SEARCH(("기타"),(G44))))</formula>
    </cfRule>
    <cfRule type="containsText" dxfId="8297" priority="13502" operator="containsText" text="정규교과">
      <formula>NOT(ISERROR(SEARCH(("정규교과"),(G44))))</formula>
    </cfRule>
    <cfRule type="containsText" dxfId="8296" priority="13501" operator="containsText" text="프로젝트">
      <formula>NOT(ISERROR(SEARCH(("프로젝트"),(G44))))</formula>
    </cfRule>
    <cfRule type="containsText" dxfId="8295" priority="13500" operator="containsText" text="기타">
      <formula>NOT(ISERROR(SEARCH(("기타"),(G44))))</formula>
    </cfRule>
    <cfRule type="containsText" dxfId="8294" priority="13499" operator="containsText" text="정규교과">
      <formula>NOT(ISERROR(SEARCH(("정규교과"),(G44))))</formula>
    </cfRule>
    <cfRule type="containsText" dxfId="8293" priority="13498" operator="containsText" text="프로젝트">
      <formula>NOT(ISERROR(SEARCH(("프로젝트"),(G44))))</formula>
    </cfRule>
    <cfRule type="containsText" dxfId="8292" priority="13497" operator="containsText" text="기타">
      <formula>NOT(ISERROR(SEARCH(("기타"),(G44))))</formula>
    </cfRule>
    <cfRule type="containsText" dxfId="8291" priority="13496" operator="containsText" text="정규교과">
      <formula>NOT(ISERROR(SEARCH(("정규교과"),(G44))))</formula>
    </cfRule>
    <cfRule type="containsText" dxfId="8290" priority="13485" operator="containsText" text="기타">
      <formula>NOT(ISERROR(SEARCH(("기타"),(G44))))</formula>
    </cfRule>
    <cfRule type="containsText" dxfId="8289" priority="13494" operator="containsText" text="기타">
      <formula>NOT(ISERROR(SEARCH(("기타"),(G44))))</formula>
    </cfRule>
    <cfRule type="containsText" dxfId="8288" priority="13511" operator="containsText" text="정규교과">
      <formula>NOT(ISERROR(SEARCH(("정규교과"),(G44))))</formula>
    </cfRule>
    <cfRule type="containsText" dxfId="8287" priority="13512" operator="containsText" text="기타">
      <formula>NOT(ISERROR(SEARCH(("기타"),(G44))))</formula>
    </cfRule>
    <cfRule type="containsText" dxfId="8286" priority="13513" operator="containsText" text="프로젝트">
      <formula>NOT(ISERROR(SEARCH(("프로젝트"),(G44))))</formula>
    </cfRule>
    <cfRule type="containsText" dxfId="8285" priority="13514" operator="containsText" text="정규교과">
      <formula>NOT(ISERROR(SEARCH(("정규교과"),(G44))))</formula>
    </cfRule>
    <cfRule type="containsText" dxfId="8284" priority="13515" operator="containsText" text="기타">
      <formula>NOT(ISERROR(SEARCH(("기타"),(G44))))</formula>
    </cfRule>
    <cfRule type="containsText" dxfId="8283" priority="13516" operator="containsText" text="프로젝트">
      <formula>NOT(ISERROR(SEARCH(("프로젝트"),(G44))))</formula>
    </cfRule>
    <cfRule type="containsText" dxfId="8282" priority="13517" operator="containsText" text="정규교과">
      <formula>NOT(ISERROR(SEARCH(("정규교과"),(G44))))</formula>
    </cfRule>
    <cfRule type="containsText" dxfId="8281" priority="13483" operator="containsText" text="프로젝트">
      <formula>NOT(ISERROR(SEARCH(("프로젝트"),(G44))))</formula>
    </cfRule>
    <cfRule type="containsText" dxfId="8280" priority="13482" operator="containsText" text="기타">
      <formula>NOT(ISERROR(SEARCH(("기타"),(G44))))</formula>
    </cfRule>
    <cfRule type="containsText" dxfId="8279" priority="13481" operator="containsText" text="정규교과">
      <formula>NOT(ISERROR(SEARCH(("정규교과"),(G44))))</formula>
    </cfRule>
    <cfRule type="containsText" dxfId="8278" priority="13480" operator="containsText" text="프로젝트">
      <formula>NOT(ISERROR(SEARCH(("프로젝트"),(G44))))</formula>
    </cfRule>
    <cfRule type="containsText" dxfId="8277" priority="13479" operator="containsText" text="기타">
      <formula>NOT(ISERROR(SEARCH(("기타"),(G44))))</formula>
    </cfRule>
    <cfRule type="containsText" dxfId="8276" priority="13506" operator="containsText" text="기타">
      <formula>NOT(ISERROR(SEARCH(("기타"),(G44))))</formula>
    </cfRule>
    <cfRule type="containsText" dxfId="8275" priority="13507" operator="containsText" text="프로젝트">
      <formula>NOT(ISERROR(SEARCH(("프로젝트"),(G44))))</formula>
    </cfRule>
    <cfRule type="containsText" dxfId="8274" priority="13478" operator="containsText" text="정규교과">
      <formula>NOT(ISERROR(SEARCH(("정규교과"),(G44))))</formula>
    </cfRule>
    <cfRule type="containsText" dxfId="8273" priority="13477" operator="containsText" text="프로젝트">
      <formula>NOT(ISERROR(SEARCH(("프로젝트"),(G44))))</formula>
    </cfRule>
    <cfRule type="containsText" dxfId="8272" priority="13476" operator="containsText" text="기타">
      <formula>NOT(ISERROR(SEARCH(("기타"),(G44))))</formula>
    </cfRule>
    <cfRule type="containsText" dxfId="8271" priority="13475" operator="containsText" text="정규교과">
      <formula>NOT(ISERROR(SEARCH(("정규교과"),(G44))))</formula>
    </cfRule>
    <cfRule type="containsText" dxfId="8270" priority="13474" operator="containsText" text="프로젝트">
      <formula>NOT(ISERROR(SEARCH(("프로젝트"),(G44))))</formula>
    </cfRule>
    <cfRule type="containsText" dxfId="8269" priority="13473" operator="containsText" text="기타">
      <formula>NOT(ISERROR(SEARCH(("기타"),(G44))))</formula>
    </cfRule>
    <cfRule type="containsText" dxfId="8268" priority="13472" operator="containsText" text="정규교과">
      <formula>NOT(ISERROR(SEARCH(("정규교과"),(G44))))</formula>
    </cfRule>
    <cfRule type="containsText" dxfId="8267" priority="13471" operator="containsText" text="프로젝트">
      <formula>NOT(ISERROR(SEARCH(("프로젝트"),(G44))))</formula>
    </cfRule>
    <cfRule type="containsText" dxfId="8266" priority="13470" operator="containsText" text="기타">
      <formula>NOT(ISERROR(SEARCH(("기타"),(G44))))</formula>
    </cfRule>
    <cfRule type="containsText" dxfId="8265" priority="13469" operator="containsText" text="정규교과">
      <formula>NOT(ISERROR(SEARCH(("정규교과"),(G44))))</formula>
    </cfRule>
    <cfRule type="containsText" dxfId="8264" priority="13468" operator="containsText" text="프로젝트">
      <formula>NOT(ISERROR(SEARCH(("프로젝트"),(G44))))</formula>
    </cfRule>
    <cfRule type="containsText" dxfId="8263" priority="13467" operator="containsText" text="기타">
      <formula>NOT(ISERROR(SEARCH(("기타"),(G44))))</formula>
    </cfRule>
    <cfRule type="containsText" dxfId="8262" priority="13466" operator="containsText" text="정규교과">
      <formula>NOT(ISERROR(SEARCH(("정규교과"),(G44))))</formula>
    </cfRule>
    <cfRule type="containsText" dxfId="8261" priority="13465" operator="containsText" text="프로젝트">
      <formula>NOT(ISERROR(SEARCH(("프로젝트"),(G44))))</formula>
    </cfRule>
    <cfRule type="containsText" dxfId="8260" priority="13464" operator="containsText" text="기타">
      <formula>NOT(ISERROR(SEARCH(("기타"),(G44))))</formula>
    </cfRule>
    <cfRule type="containsText" dxfId="8259" priority="13463" operator="containsText" text="정규교과">
      <formula>NOT(ISERROR(SEARCH(("정규교과"),(G44))))</formula>
    </cfRule>
    <cfRule type="containsText" dxfId="8258" priority="13462" operator="containsText" text="프로젝트">
      <formula>NOT(ISERROR(SEARCH(("프로젝트"),(G44))))</formula>
    </cfRule>
  </conditionalFormatting>
  <conditionalFormatting sqref="G48">
    <cfRule type="containsText" dxfId="8257" priority="13302" operator="containsText" text="기타">
      <formula>NOT(ISERROR(SEARCH(("기타"),(G48))))</formula>
    </cfRule>
    <cfRule type="containsText" dxfId="8256" priority="13297" operator="containsText" text="프로젝트">
      <formula>NOT(ISERROR(SEARCH(("프로젝트"),(G48))))</formula>
    </cfRule>
    <cfRule type="containsText" dxfId="8255" priority="13298" operator="containsText" text="정규교과">
      <formula>NOT(ISERROR(SEARCH(("정규교과"),(G48))))</formula>
    </cfRule>
    <cfRule type="containsText" dxfId="8254" priority="13299" operator="containsText" text="기타">
      <formula>NOT(ISERROR(SEARCH(("기타"),(G48))))</formula>
    </cfRule>
    <cfRule type="containsText" dxfId="8253" priority="13285" operator="containsText" text="프로젝트">
      <formula>NOT(ISERROR(SEARCH(("프로젝트"),(G48))))</formula>
    </cfRule>
    <cfRule type="containsText" dxfId="8252" priority="13284" operator="containsText" text="기타">
      <formula>NOT(ISERROR(SEARCH(("기타"),(G48))))</formula>
    </cfRule>
    <cfRule type="containsText" dxfId="8251" priority="13300" operator="containsText" text="프로젝트">
      <formula>NOT(ISERROR(SEARCH(("프로젝트"),(G48))))</formula>
    </cfRule>
    <cfRule type="containsText" dxfId="8250" priority="13283" operator="containsText" text="정규교과">
      <formula>NOT(ISERROR(SEARCH(("정규교과"),(G48))))</formula>
    </cfRule>
    <cfRule type="containsText" dxfId="8249" priority="13282" operator="containsText" text="프로젝트">
      <formula>NOT(ISERROR(SEARCH(("프로젝트"),(G48))))</formula>
    </cfRule>
    <cfRule type="containsText" dxfId="8248" priority="13281" operator="containsText" text="기타">
      <formula>NOT(ISERROR(SEARCH(("기타"),(G48))))</formula>
    </cfRule>
    <cfRule type="containsText" dxfId="8247" priority="13280" operator="containsText" text="정규교과">
      <formula>NOT(ISERROR(SEARCH(("정규교과"),(G48))))</formula>
    </cfRule>
    <cfRule type="containsText" dxfId="8246" priority="13279" operator="containsText" text="프로젝트">
      <formula>NOT(ISERROR(SEARCH(("프로젝트"),(G48))))</formula>
    </cfRule>
    <cfRule type="containsText" dxfId="8245" priority="13278" operator="containsText" text="기타">
      <formula>NOT(ISERROR(SEARCH(("기타"),(G48))))</formula>
    </cfRule>
    <cfRule type="containsText" dxfId="8244" priority="13277" operator="containsText" text="정규교과">
      <formula>NOT(ISERROR(SEARCH(("정규교과"),(G48))))</formula>
    </cfRule>
    <cfRule type="containsText" dxfId="8243" priority="13276" operator="containsText" text="프로젝트">
      <formula>NOT(ISERROR(SEARCH(("프로젝트"),(G48))))</formula>
    </cfRule>
    <cfRule type="containsText" dxfId="8242" priority="13301" operator="containsText" text="정규교과">
      <formula>NOT(ISERROR(SEARCH(("정규교과"),(G48))))</formula>
    </cfRule>
    <cfRule type="containsText" dxfId="8241" priority="13273" operator="containsText" text="프로젝트">
      <formula>NOT(ISERROR(SEARCH(("프로젝트"),(G48))))</formula>
    </cfRule>
    <cfRule type="containsText" dxfId="8240" priority="13303" operator="containsText" text="프로젝트">
      <formula>NOT(ISERROR(SEARCH(("프로젝트"),(G48))))</formula>
    </cfRule>
    <cfRule type="containsText" dxfId="8239" priority="13275" operator="containsText" text="기타">
      <formula>NOT(ISERROR(SEARCH(("기타"),(G48))))</formula>
    </cfRule>
    <cfRule type="containsText" dxfId="8238" priority="13274" operator="containsText" text="정규교과">
      <formula>NOT(ISERROR(SEARCH(("정규교과"),(G48))))</formula>
    </cfRule>
    <cfRule type="containsText" dxfId="8237" priority="13304" operator="containsText" text="정규교과">
      <formula>NOT(ISERROR(SEARCH(("정규교과"),(G48))))</formula>
    </cfRule>
    <cfRule type="containsText" dxfId="8236" priority="13305" operator="containsText" text="기타">
      <formula>NOT(ISERROR(SEARCH(("기타"),(G48))))</formula>
    </cfRule>
    <cfRule type="containsText" dxfId="8235" priority="13306" operator="containsText" text="프로젝트">
      <formula>NOT(ISERROR(SEARCH(("프로젝트"),(G48))))</formula>
    </cfRule>
    <cfRule type="containsText" dxfId="8234" priority="13307" operator="containsText" text="정규교과">
      <formula>NOT(ISERROR(SEARCH(("정규교과"),(G48))))</formula>
    </cfRule>
    <cfRule type="containsText" dxfId="8233" priority="13308" operator="containsText" text="기타">
      <formula>NOT(ISERROR(SEARCH(("기타"),(G48))))</formula>
    </cfRule>
    <cfRule type="containsText" dxfId="8232" priority="13309" operator="containsText" text="프로젝트">
      <formula>NOT(ISERROR(SEARCH(("프로젝트"),(G48))))</formula>
    </cfRule>
    <cfRule type="containsText" dxfId="8231" priority="13272" operator="containsText" text="기타">
      <formula>NOT(ISERROR(SEARCH(("기타"),(G48))))</formula>
    </cfRule>
    <cfRule type="containsText" dxfId="8230" priority="13310" operator="containsText" text="정규교과">
      <formula>NOT(ISERROR(SEARCH(("정규교과"),(G48))))</formula>
    </cfRule>
    <cfRule type="containsText" dxfId="8229" priority="13311" operator="containsText" text="기타">
      <formula>NOT(ISERROR(SEARCH(("기타"),(G48))))</formula>
    </cfRule>
    <cfRule type="containsText" dxfId="8228" priority="13313" operator="containsText" text="정규교과">
      <formula>NOT(ISERROR(SEARCH(("정규교과"),(G48))))</formula>
    </cfRule>
    <cfRule type="containsText" dxfId="8227" priority="13314" operator="containsText" text="기타">
      <formula>NOT(ISERROR(SEARCH(("기타"),(G48))))</formula>
    </cfRule>
    <cfRule type="containsText" dxfId="8226" priority="13315" operator="containsText" text="프로젝트">
      <formula>NOT(ISERROR(SEARCH(("프로젝트"),(G48))))</formula>
    </cfRule>
    <cfRule type="containsText" dxfId="8225" priority="13256" operator="containsText" text="정규교과">
      <formula>NOT(ISERROR(SEARCH(("정규교과"),(G48))))</formula>
    </cfRule>
    <cfRule type="containsText" dxfId="8224" priority="13255" operator="containsText" text="프로젝트">
      <formula>NOT(ISERROR(SEARCH(("프로젝트"),(G48))))</formula>
    </cfRule>
    <cfRule type="containsText" dxfId="8223" priority="13312" operator="containsText" text="프로젝트">
      <formula>NOT(ISERROR(SEARCH(("프로젝트"),(G48))))</formula>
    </cfRule>
    <cfRule type="containsText" dxfId="8222" priority="13294" operator="containsText" text="프로젝트">
      <formula>NOT(ISERROR(SEARCH(("프로젝트"),(G48))))</formula>
    </cfRule>
    <cfRule type="containsText" dxfId="8221" priority="13293" operator="containsText" text="기타">
      <formula>NOT(ISERROR(SEARCH(("기타"),(G48))))</formula>
    </cfRule>
    <cfRule type="containsText" dxfId="8220" priority="13292" operator="containsText" text="정규교과">
      <formula>NOT(ISERROR(SEARCH(("정규교과"),(G48))))</formula>
    </cfRule>
    <cfRule type="containsText" dxfId="8219" priority="13290" operator="containsText" text="기타">
      <formula>NOT(ISERROR(SEARCH(("기타"),(G48))))</formula>
    </cfRule>
    <cfRule type="containsText" dxfId="8218" priority="13289" operator="containsText" text="정규교과">
      <formula>NOT(ISERROR(SEARCH(("정규교과"),(G48))))</formula>
    </cfRule>
    <cfRule type="containsText" dxfId="8217" priority="13295" operator="containsText" text="정규교과">
      <formula>NOT(ISERROR(SEARCH(("정규교과"),(G48))))</formula>
    </cfRule>
    <cfRule type="containsText" dxfId="8216" priority="13288" operator="containsText" text="프로젝트">
      <formula>NOT(ISERROR(SEARCH(("프로젝트"),(G48))))</formula>
    </cfRule>
    <cfRule type="containsText" dxfId="8215" priority="13287" operator="containsText" text="기타">
      <formula>NOT(ISERROR(SEARCH(("기타"),(G48))))</formula>
    </cfRule>
    <cfRule type="containsText" dxfId="8214" priority="13286" operator="containsText" text="정규교과">
      <formula>NOT(ISERROR(SEARCH(("정규교과"),(G48))))</formula>
    </cfRule>
    <cfRule type="containsText" dxfId="8213" priority="13296" operator="containsText" text="기타">
      <formula>NOT(ISERROR(SEARCH(("기타"),(G48))))</formula>
    </cfRule>
    <cfRule type="containsText" dxfId="8212" priority="13320" operator="containsText" text="기타">
      <formula>NOT(ISERROR(SEARCH(("기타"),(G48))))</formula>
    </cfRule>
    <cfRule type="containsText" dxfId="8211" priority="13271" operator="containsText" text="정규교과">
      <formula>NOT(ISERROR(SEARCH(("정규교과"),(G48))))</formula>
    </cfRule>
    <cfRule type="containsText" dxfId="8210" priority="13270" operator="containsText" text="프로젝트">
      <formula>NOT(ISERROR(SEARCH(("프로젝트"),(G48))))</formula>
    </cfRule>
    <cfRule type="containsText" dxfId="8209" priority="13269" operator="containsText" text="기타">
      <formula>NOT(ISERROR(SEARCH(("기타"),(G48))))</formula>
    </cfRule>
    <cfRule type="containsText" dxfId="8208" priority="13268" operator="containsText" text="정규교과">
      <formula>NOT(ISERROR(SEARCH(("정규교과"),(G48))))</formula>
    </cfRule>
    <cfRule type="containsText" dxfId="8207" priority="13267" operator="containsText" text="프로젝트">
      <formula>NOT(ISERROR(SEARCH(("프로젝트"),(G48))))</formula>
    </cfRule>
    <cfRule type="containsText" dxfId="8206" priority="13266" operator="containsText" text="기타">
      <formula>NOT(ISERROR(SEARCH(("기타"),(G48))))</formula>
    </cfRule>
    <cfRule type="containsText" dxfId="8205" priority="13265" operator="containsText" text="정규교과">
      <formula>NOT(ISERROR(SEARCH(("정규교과"),(G48))))</formula>
    </cfRule>
    <cfRule type="containsText" dxfId="8204" priority="13264" operator="containsText" text="프로젝트">
      <formula>NOT(ISERROR(SEARCH(("프로젝트"),(G48))))</formula>
    </cfRule>
    <cfRule type="containsText" dxfId="8203" priority="13263" operator="containsText" text="기타">
      <formula>NOT(ISERROR(SEARCH(("기타"),(G48))))</formula>
    </cfRule>
    <cfRule type="containsText" dxfId="8202" priority="13262" operator="containsText" text="정규교과">
      <formula>NOT(ISERROR(SEARCH(("정규교과"),(G48))))</formula>
    </cfRule>
    <cfRule type="containsText" dxfId="8201" priority="13261" operator="containsText" text="프로젝트">
      <formula>NOT(ISERROR(SEARCH(("프로젝트"),(G48))))</formula>
    </cfRule>
    <cfRule type="containsText" dxfId="8200" priority="13260" operator="containsText" text="기타">
      <formula>NOT(ISERROR(SEARCH(("기타"),(G48))))</formula>
    </cfRule>
    <cfRule type="containsText" dxfId="8199" priority="13319" operator="containsText" text="정규교과">
      <formula>NOT(ISERROR(SEARCH(("정규교과"),(G48))))</formula>
    </cfRule>
    <cfRule type="containsText" dxfId="8198" priority="13317" operator="containsText" text="기타">
      <formula>NOT(ISERROR(SEARCH(("기타"),(G48))))</formula>
    </cfRule>
    <cfRule type="containsText" dxfId="8197" priority="13316" operator="containsText" text="정규교과">
      <formula>NOT(ISERROR(SEARCH(("정규교과"),(G48))))</formula>
    </cfRule>
    <cfRule type="containsText" dxfId="8196" priority="13259" operator="containsText" text="정규교과">
      <formula>NOT(ISERROR(SEARCH(("정규교과"),(G48))))</formula>
    </cfRule>
    <cfRule type="containsText" dxfId="8195" priority="13258" operator="containsText" text="프로젝트">
      <formula>NOT(ISERROR(SEARCH(("프로젝트"),(G48))))</formula>
    </cfRule>
    <cfRule type="containsText" dxfId="8194" priority="13257" operator="containsText" text="기타">
      <formula>NOT(ISERROR(SEARCH(("기타"),(G48))))</formula>
    </cfRule>
    <cfRule type="containsText" dxfId="8193" priority="13291" operator="containsText" text="프로젝트">
      <formula>NOT(ISERROR(SEARCH(("프로젝트"),(G48))))</formula>
    </cfRule>
  </conditionalFormatting>
  <conditionalFormatting sqref="G53">
    <cfRule type="containsText" dxfId="8192" priority="13093" operator="containsText" text="프로젝트">
      <formula>NOT(ISERROR(SEARCH(("프로젝트"),(G53))))</formula>
    </cfRule>
    <cfRule type="containsText" dxfId="8191" priority="13092" operator="containsText" text="기타">
      <formula>NOT(ISERROR(SEARCH(("기타"),(G53))))</formula>
    </cfRule>
    <cfRule type="containsText" dxfId="8190" priority="13091" operator="containsText" text="정규교과">
      <formula>NOT(ISERROR(SEARCH(("정규교과"),(G53))))</formula>
    </cfRule>
    <cfRule type="containsText" dxfId="8189" priority="13090" operator="containsText" text="프로젝트">
      <formula>NOT(ISERROR(SEARCH(("프로젝트"),(G53))))</formula>
    </cfRule>
    <cfRule type="containsText" dxfId="8188" priority="13089" operator="containsText" text="기타">
      <formula>NOT(ISERROR(SEARCH(("기타"),(G53))))</formula>
    </cfRule>
    <cfRule type="containsText" dxfId="8187" priority="13088" operator="containsText" text="정규교과">
      <formula>NOT(ISERROR(SEARCH(("정규교과"),(G53))))</formula>
    </cfRule>
    <cfRule type="containsText" dxfId="8186" priority="13087" operator="containsText" text="프로젝트">
      <formula>NOT(ISERROR(SEARCH(("프로젝트"),(G53))))</formula>
    </cfRule>
    <cfRule type="containsText" dxfId="8185" priority="13086" operator="containsText" text="기타">
      <formula>NOT(ISERROR(SEARCH(("기타"),(G53))))</formula>
    </cfRule>
    <cfRule type="containsText" dxfId="8184" priority="13085" operator="containsText" text="정규교과">
      <formula>NOT(ISERROR(SEARCH(("정규교과"),(G53))))</formula>
    </cfRule>
    <cfRule type="containsText" dxfId="8183" priority="13084" operator="containsText" text="프로젝트">
      <formula>NOT(ISERROR(SEARCH(("프로젝트"),(G53))))</formula>
    </cfRule>
    <cfRule type="containsText" dxfId="8182" priority="13083" operator="containsText" text="기타">
      <formula>NOT(ISERROR(SEARCH(("기타"),(G53))))</formula>
    </cfRule>
    <cfRule type="containsText" dxfId="8181" priority="13082" operator="containsText" text="정규교과">
      <formula>NOT(ISERROR(SEARCH(("정규교과"),(G53))))</formula>
    </cfRule>
    <cfRule type="containsText" dxfId="8180" priority="13081" operator="containsText" text="프로젝트">
      <formula>NOT(ISERROR(SEARCH(("프로젝트"),(G53))))</formula>
    </cfRule>
    <cfRule type="containsText" dxfId="8179" priority="13080" operator="containsText" text="기타">
      <formula>NOT(ISERROR(SEARCH(("기타"),(G53))))</formula>
    </cfRule>
    <cfRule type="containsText" dxfId="8178" priority="13079" operator="containsText" text="정규교과">
      <formula>NOT(ISERROR(SEARCH(("정규교과"),(G53))))</formula>
    </cfRule>
    <cfRule type="containsText" dxfId="8177" priority="13078" operator="containsText" text="프로젝트">
      <formula>NOT(ISERROR(SEARCH(("프로젝트"),(G53))))</formula>
    </cfRule>
    <cfRule type="containsText" dxfId="8176" priority="13077" operator="containsText" text="기타">
      <formula>NOT(ISERROR(SEARCH(("기타"),(G53))))</formula>
    </cfRule>
    <cfRule type="containsText" dxfId="8175" priority="13076" operator="containsText" text="정규교과">
      <formula>NOT(ISERROR(SEARCH(("정규교과"),(G53))))</formula>
    </cfRule>
    <cfRule type="containsText" dxfId="8174" priority="13075" operator="containsText" text="프로젝트">
      <formula>NOT(ISERROR(SEARCH(("프로젝트"),(G53))))</formula>
    </cfRule>
    <cfRule type="containsText" dxfId="8173" priority="13074" operator="containsText" text="기타">
      <formula>NOT(ISERROR(SEARCH(("기타"),(G53))))</formula>
    </cfRule>
    <cfRule type="containsText" dxfId="8172" priority="13073" operator="containsText" text="정규교과">
      <formula>NOT(ISERROR(SEARCH(("정규교과"),(G53))))</formula>
    </cfRule>
    <cfRule type="containsText" dxfId="8171" priority="13072" operator="containsText" text="프로젝트">
      <formula>NOT(ISERROR(SEARCH(("프로젝트"),(G53))))</formula>
    </cfRule>
    <cfRule type="containsText" dxfId="8170" priority="13071" operator="containsText" text="기타">
      <formula>NOT(ISERROR(SEARCH(("기타"),(G53))))</formula>
    </cfRule>
    <cfRule type="containsText" dxfId="8169" priority="13070" operator="containsText" text="정규교과">
      <formula>NOT(ISERROR(SEARCH(("정규교과"),(G53))))</formula>
    </cfRule>
    <cfRule type="containsText" dxfId="8168" priority="13069" operator="containsText" text="프로젝트">
      <formula>NOT(ISERROR(SEARCH(("프로젝트"),(G53))))</formula>
    </cfRule>
    <cfRule type="containsText" dxfId="8167" priority="13068" operator="containsText" text="기타">
      <formula>NOT(ISERROR(SEARCH(("기타"),(G53))))</formula>
    </cfRule>
    <cfRule type="containsText" dxfId="8166" priority="13067" operator="containsText" text="정규교과">
      <formula>NOT(ISERROR(SEARCH(("정규교과"),(G53))))</formula>
    </cfRule>
    <cfRule type="containsText" dxfId="8165" priority="13066" operator="containsText" text="프로젝트">
      <formula>NOT(ISERROR(SEARCH(("프로젝트"),(G53))))</formula>
    </cfRule>
    <cfRule type="containsText" dxfId="8164" priority="13065" operator="containsText" text="기타">
      <formula>NOT(ISERROR(SEARCH(("기타"),(G53))))</formula>
    </cfRule>
    <cfRule type="containsText" dxfId="8163" priority="13064" operator="containsText" text="정규교과">
      <formula>NOT(ISERROR(SEARCH(("정규교과"),(G53))))</formula>
    </cfRule>
    <cfRule type="containsText" dxfId="8162" priority="13063" operator="containsText" text="프로젝트">
      <formula>NOT(ISERROR(SEARCH(("프로젝트"),(G53))))</formula>
    </cfRule>
    <cfRule type="containsText" dxfId="8161" priority="13062" operator="containsText" text="기타">
      <formula>NOT(ISERROR(SEARCH(("기타"),(G53))))</formula>
    </cfRule>
    <cfRule type="containsText" dxfId="8160" priority="13061" operator="containsText" text="정규교과">
      <formula>NOT(ISERROR(SEARCH(("정규교과"),(G53))))</formula>
    </cfRule>
    <cfRule type="containsText" dxfId="8159" priority="13060" operator="containsText" text="프로젝트">
      <formula>NOT(ISERROR(SEARCH(("프로젝트"),(G53))))</formula>
    </cfRule>
    <cfRule type="containsText" dxfId="8158" priority="13059" operator="containsText" text="기타">
      <formula>NOT(ISERROR(SEARCH(("기타"),(G53))))</formula>
    </cfRule>
    <cfRule type="containsText" dxfId="8157" priority="13058" operator="containsText" text="정규교과">
      <formula>NOT(ISERROR(SEARCH(("정규교과"),(G53))))</formula>
    </cfRule>
    <cfRule type="containsText" dxfId="8156" priority="13057" operator="containsText" text="프로젝트">
      <formula>NOT(ISERROR(SEARCH(("프로젝트"),(G53))))</formula>
    </cfRule>
    <cfRule type="containsText" dxfId="8155" priority="13056" operator="containsText" text="기타">
      <formula>NOT(ISERROR(SEARCH(("기타"),(G53))))</formula>
    </cfRule>
    <cfRule type="containsText" dxfId="8154" priority="13055" operator="containsText" text="정규교과">
      <formula>NOT(ISERROR(SEARCH(("정규교과"),(G53))))</formula>
    </cfRule>
    <cfRule type="containsText" dxfId="8153" priority="13054" operator="containsText" text="프로젝트">
      <formula>NOT(ISERROR(SEARCH(("프로젝트"),(G53))))</formula>
    </cfRule>
    <cfRule type="containsText" dxfId="8152" priority="13053" operator="containsText" text="기타">
      <formula>NOT(ISERROR(SEARCH(("기타"),(G53))))</formula>
    </cfRule>
    <cfRule type="containsText" dxfId="8151" priority="13052" operator="containsText" text="정규교과">
      <formula>NOT(ISERROR(SEARCH(("정규교과"),(G53))))</formula>
    </cfRule>
    <cfRule type="containsText" dxfId="8150" priority="13051" operator="containsText" text="프로젝트">
      <formula>NOT(ISERROR(SEARCH(("프로젝트"),(G53))))</formula>
    </cfRule>
    <cfRule type="containsText" dxfId="8149" priority="13049" operator="containsText" text="정규교과">
      <formula>NOT(ISERROR(SEARCH(("정규교과"),(G53))))</formula>
    </cfRule>
    <cfRule type="containsText" dxfId="8148" priority="13048" operator="containsText" text="프로젝트">
      <formula>NOT(ISERROR(SEARCH(("프로젝트"),(G53))))</formula>
    </cfRule>
    <cfRule type="containsText" dxfId="8147" priority="13100" operator="containsText" text="정규교과">
      <formula>NOT(ISERROR(SEARCH(("정규교과"),(G53))))</formula>
    </cfRule>
    <cfRule type="containsText" dxfId="8146" priority="13113" operator="containsText" text="기타">
      <formula>NOT(ISERROR(SEARCH(("기타"),(G53))))</formula>
    </cfRule>
    <cfRule type="containsText" dxfId="8145" priority="13112" operator="containsText" text="정규교과">
      <formula>NOT(ISERROR(SEARCH(("정규교과"),(G53))))</formula>
    </cfRule>
    <cfRule type="containsText" dxfId="8144" priority="13110" operator="containsText" text="기타">
      <formula>NOT(ISERROR(SEARCH(("기타"),(G53))))</formula>
    </cfRule>
    <cfRule type="containsText" dxfId="8143" priority="13109" operator="containsText" text="정규교과">
      <formula>NOT(ISERROR(SEARCH(("정규교과"),(G53))))</formula>
    </cfRule>
    <cfRule type="containsText" dxfId="8142" priority="13108" operator="containsText" text="프로젝트">
      <formula>NOT(ISERROR(SEARCH(("프로젝트"),(G53))))</formula>
    </cfRule>
    <cfRule type="containsText" dxfId="8141" priority="13107" operator="containsText" text="기타">
      <formula>NOT(ISERROR(SEARCH(("기타"),(G53))))</formula>
    </cfRule>
    <cfRule type="containsText" dxfId="8140" priority="13106" operator="containsText" text="정규교과">
      <formula>NOT(ISERROR(SEARCH(("정규교과"),(G53))))</formula>
    </cfRule>
    <cfRule type="containsText" dxfId="8139" priority="13105" operator="containsText" text="프로젝트">
      <formula>NOT(ISERROR(SEARCH(("프로젝트"),(G53))))</formula>
    </cfRule>
    <cfRule type="containsText" dxfId="8138" priority="13050" operator="containsText" text="기타">
      <formula>NOT(ISERROR(SEARCH(("기타"),(G53))))</formula>
    </cfRule>
    <cfRule type="containsText" dxfId="8137" priority="13104" operator="containsText" text="기타">
      <formula>NOT(ISERROR(SEARCH(("기타"),(G53))))</formula>
    </cfRule>
    <cfRule type="containsText" dxfId="8136" priority="13103" operator="containsText" text="정규교과">
      <formula>NOT(ISERROR(SEARCH(("정규교과"),(G53))))</formula>
    </cfRule>
    <cfRule type="containsText" dxfId="8135" priority="13102" operator="containsText" text="프로젝트">
      <formula>NOT(ISERROR(SEARCH(("프로젝트"),(G53))))</formula>
    </cfRule>
    <cfRule type="containsText" dxfId="8134" priority="13101" operator="containsText" text="기타">
      <formula>NOT(ISERROR(SEARCH(("기타"),(G53))))</formula>
    </cfRule>
    <cfRule type="containsText" dxfId="8133" priority="13099" operator="containsText" text="프로젝트">
      <formula>NOT(ISERROR(SEARCH(("프로젝트"),(G53))))</formula>
    </cfRule>
    <cfRule type="containsText" dxfId="8132" priority="13098" operator="containsText" text="기타">
      <formula>NOT(ISERROR(SEARCH(("기타"),(G53))))</formula>
    </cfRule>
    <cfRule type="containsText" dxfId="8131" priority="13097" operator="containsText" text="정규교과">
      <formula>NOT(ISERROR(SEARCH(("정규교과"),(G53))))</formula>
    </cfRule>
    <cfRule type="containsText" dxfId="8130" priority="13096" operator="containsText" text="프로젝트">
      <formula>NOT(ISERROR(SEARCH(("프로젝트"),(G53))))</formula>
    </cfRule>
    <cfRule type="containsText" dxfId="8129" priority="13095" operator="containsText" text="기타">
      <formula>NOT(ISERROR(SEARCH(("기타"),(G53))))</formula>
    </cfRule>
    <cfRule type="containsText" dxfId="8128" priority="13094" operator="containsText" text="정규교과">
      <formula>NOT(ISERROR(SEARCH(("정규교과"),(G53))))</formula>
    </cfRule>
  </conditionalFormatting>
  <conditionalFormatting sqref="G57">
    <cfRule type="containsText" dxfId="8127" priority="12877" operator="containsText" text="프로젝트">
      <formula>NOT(ISERROR(SEARCH(("프로젝트"),(G57))))</formula>
    </cfRule>
    <cfRule type="containsText" dxfId="8126" priority="12900" operator="containsText" text="기타">
      <formula>NOT(ISERROR(SEARCH(("기타"),(G57))))</formula>
    </cfRule>
    <cfRule type="containsText" dxfId="8125" priority="12879" operator="containsText" text="기타">
      <formula>NOT(ISERROR(SEARCH(("기타"),(G57))))</formula>
    </cfRule>
    <cfRule type="containsText" dxfId="8124" priority="12880" operator="containsText" text="프로젝트">
      <formula>NOT(ISERROR(SEARCH(("프로젝트"),(G57))))</formula>
    </cfRule>
    <cfRule type="containsText" dxfId="8123" priority="12881" operator="containsText" text="정규교과">
      <formula>NOT(ISERROR(SEARCH(("정규교과"),(G57))))</formula>
    </cfRule>
    <cfRule type="containsText" dxfId="8122" priority="12882" operator="containsText" text="기타">
      <formula>NOT(ISERROR(SEARCH(("기타"),(G57))))</formula>
    </cfRule>
    <cfRule type="containsText" dxfId="8121" priority="12883" operator="containsText" text="프로젝트">
      <formula>NOT(ISERROR(SEARCH(("프로젝트"),(G57))))</formula>
    </cfRule>
    <cfRule type="containsText" dxfId="8120" priority="12884" operator="containsText" text="정규교과">
      <formula>NOT(ISERROR(SEARCH(("정규교과"),(G57))))</formula>
    </cfRule>
    <cfRule type="containsText" dxfId="8119" priority="12885" operator="containsText" text="기타">
      <formula>NOT(ISERROR(SEARCH(("기타"),(G57))))</formula>
    </cfRule>
    <cfRule type="containsText" dxfId="8118" priority="12886" operator="containsText" text="프로젝트">
      <formula>NOT(ISERROR(SEARCH(("프로젝트"),(G57))))</formula>
    </cfRule>
    <cfRule type="containsText" dxfId="8117" priority="12887" operator="containsText" text="정규교과">
      <formula>NOT(ISERROR(SEARCH(("정규교과"),(G57))))</formula>
    </cfRule>
    <cfRule type="containsText" dxfId="8116" priority="12888" operator="containsText" text="기타">
      <formula>NOT(ISERROR(SEARCH(("기타"),(G57))))</formula>
    </cfRule>
    <cfRule type="containsText" dxfId="8115" priority="12889" operator="containsText" text="프로젝트">
      <formula>NOT(ISERROR(SEARCH(("프로젝트"),(G57))))</formula>
    </cfRule>
    <cfRule type="containsText" dxfId="8114" priority="12878" operator="containsText" text="정규교과">
      <formula>NOT(ISERROR(SEARCH(("정규교과"),(G57))))</formula>
    </cfRule>
    <cfRule type="containsText" dxfId="8113" priority="12846" operator="containsText" text="기타">
      <formula>NOT(ISERROR(SEARCH(("기타"),(G57))))</formula>
    </cfRule>
    <cfRule type="containsText" dxfId="8112" priority="12893" operator="containsText" text="정규교과">
      <formula>NOT(ISERROR(SEARCH(("정규교과"),(G57))))</formula>
    </cfRule>
    <cfRule type="containsText" dxfId="8111" priority="12890" operator="containsText" text="정규교과">
      <formula>NOT(ISERROR(SEARCH(("정규교과"),(G57))))</formula>
    </cfRule>
    <cfRule type="containsText" dxfId="8110" priority="12876" operator="containsText" text="기타">
      <formula>NOT(ISERROR(SEARCH(("기타"),(G57))))</formula>
    </cfRule>
    <cfRule type="containsText" dxfId="8109" priority="12875" operator="containsText" text="정규교과">
      <formula>NOT(ISERROR(SEARCH(("정규교과"),(G57))))</formula>
    </cfRule>
    <cfRule type="containsText" dxfId="8108" priority="12874" operator="containsText" text="프로젝트">
      <formula>NOT(ISERROR(SEARCH(("프로젝트"),(G57))))</formula>
    </cfRule>
    <cfRule type="containsText" dxfId="8107" priority="12873" operator="containsText" text="기타">
      <formula>NOT(ISERROR(SEARCH(("기타"),(G57))))</formula>
    </cfRule>
    <cfRule type="containsText" dxfId="8106" priority="12872" operator="containsText" text="정규교과">
      <formula>NOT(ISERROR(SEARCH(("정규교과"),(G57))))</formula>
    </cfRule>
    <cfRule type="containsText" dxfId="8105" priority="12871" operator="containsText" text="프로젝트">
      <formula>NOT(ISERROR(SEARCH(("프로젝트"),(G57))))</formula>
    </cfRule>
    <cfRule type="containsText" dxfId="8104" priority="12870" operator="containsText" text="기타">
      <formula>NOT(ISERROR(SEARCH(("기타"),(G57))))</formula>
    </cfRule>
    <cfRule type="containsText" dxfId="8103" priority="12869" operator="containsText" text="정규교과">
      <formula>NOT(ISERROR(SEARCH(("정규교과"),(G57))))</formula>
    </cfRule>
    <cfRule type="containsText" dxfId="8102" priority="12868" operator="containsText" text="프로젝트">
      <formula>NOT(ISERROR(SEARCH(("프로젝트"),(G57))))</formula>
    </cfRule>
    <cfRule type="containsText" dxfId="8101" priority="12867" operator="containsText" text="기타">
      <formula>NOT(ISERROR(SEARCH(("기타"),(G57))))</formula>
    </cfRule>
    <cfRule type="containsText" dxfId="8100" priority="12866" operator="containsText" text="정규교과">
      <formula>NOT(ISERROR(SEARCH(("정규교과"),(G57))))</formula>
    </cfRule>
    <cfRule type="containsText" dxfId="8099" priority="12865" operator="containsText" text="프로젝트">
      <formula>NOT(ISERROR(SEARCH(("프로젝트"),(G57))))</formula>
    </cfRule>
    <cfRule type="containsText" dxfId="8098" priority="12864" operator="containsText" text="기타">
      <formula>NOT(ISERROR(SEARCH(("기타"),(G57))))</formula>
    </cfRule>
    <cfRule type="containsText" dxfId="8097" priority="12863" operator="containsText" text="정규교과">
      <formula>NOT(ISERROR(SEARCH(("정규교과"),(G57))))</formula>
    </cfRule>
    <cfRule type="containsText" dxfId="8096" priority="12862" operator="containsText" text="프로젝트">
      <formula>NOT(ISERROR(SEARCH(("프로젝트"),(G57))))</formula>
    </cfRule>
    <cfRule type="containsText" dxfId="8095" priority="12894" operator="containsText" text="기타">
      <formula>NOT(ISERROR(SEARCH(("기타"),(G57))))</formula>
    </cfRule>
    <cfRule type="containsText" dxfId="8094" priority="12891" operator="containsText" text="기타">
      <formula>NOT(ISERROR(SEARCH(("기타"),(G57))))</formula>
    </cfRule>
    <cfRule type="containsText" dxfId="8093" priority="12892" operator="containsText" text="프로젝트">
      <formula>NOT(ISERROR(SEARCH(("프로젝트"),(G57))))</formula>
    </cfRule>
    <cfRule type="containsText" dxfId="8092" priority="12861" operator="containsText" text="기타">
      <formula>NOT(ISERROR(SEARCH(("기타"),(G57))))</formula>
    </cfRule>
    <cfRule type="containsText" dxfId="8091" priority="12906" operator="containsText" text="기타">
      <formula>NOT(ISERROR(SEARCH(("기타"),(G57))))</formula>
    </cfRule>
    <cfRule type="containsText" dxfId="8090" priority="12905" operator="containsText" text="정규교과">
      <formula>NOT(ISERROR(SEARCH(("정규교과"),(G57))))</formula>
    </cfRule>
    <cfRule type="containsText" dxfId="8089" priority="12903" operator="containsText" text="기타">
      <formula>NOT(ISERROR(SEARCH(("기타"),(G57))))</formula>
    </cfRule>
    <cfRule type="containsText" dxfId="8088" priority="12902" operator="containsText" text="정규교과">
      <formula>NOT(ISERROR(SEARCH(("정규교과"),(G57))))</formula>
    </cfRule>
    <cfRule type="containsText" dxfId="8087" priority="12895" operator="containsText" text="프로젝트">
      <formula>NOT(ISERROR(SEARCH(("프로젝트"),(G57))))</formula>
    </cfRule>
    <cfRule type="containsText" dxfId="8086" priority="12901" operator="containsText" text="프로젝트">
      <formula>NOT(ISERROR(SEARCH(("프로젝트"),(G57))))</formula>
    </cfRule>
    <cfRule type="containsText" dxfId="8085" priority="12899" operator="containsText" text="정규교과">
      <formula>NOT(ISERROR(SEARCH(("정규교과"),(G57))))</formula>
    </cfRule>
    <cfRule type="containsText" dxfId="8084" priority="12855" operator="containsText" text="기타">
      <formula>NOT(ISERROR(SEARCH(("기타"),(G57))))</formula>
    </cfRule>
    <cfRule type="containsText" dxfId="8083" priority="12896" operator="containsText" text="정규교과">
      <formula>NOT(ISERROR(SEARCH(("정규교과"),(G57))))</formula>
    </cfRule>
    <cfRule type="containsText" dxfId="8082" priority="12897" operator="containsText" text="기타">
      <formula>NOT(ISERROR(SEARCH(("기타"),(G57))))</formula>
    </cfRule>
    <cfRule type="containsText" dxfId="8081" priority="12898" operator="containsText" text="프로젝트">
      <formula>NOT(ISERROR(SEARCH(("프로젝트"),(G57))))</formula>
    </cfRule>
    <cfRule type="containsText" dxfId="8080" priority="12841" operator="containsText" text="프로젝트">
      <formula>NOT(ISERROR(SEARCH(("프로젝트"),(G57))))</formula>
    </cfRule>
    <cfRule type="containsText" dxfId="8079" priority="12842" operator="containsText" text="정규교과">
      <formula>NOT(ISERROR(SEARCH(("정규교과"),(G57))))</formula>
    </cfRule>
    <cfRule type="containsText" dxfId="8078" priority="12843" operator="containsText" text="기타">
      <formula>NOT(ISERROR(SEARCH(("기타"),(G57))))</formula>
    </cfRule>
    <cfRule type="containsText" dxfId="8077" priority="12845" operator="containsText" text="정규교과">
      <formula>NOT(ISERROR(SEARCH(("정규교과"),(G57))))</formula>
    </cfRule>
    <cfRule type="containsText" dxfId="8076" priority="12860" operator="containsText" text="정규교과">
      <formula>NOT(ISERROR(SEARCH(("정규교과"),(G57))))</formula>
    </cfRule>
    <cfRule type="containsText" dxfId="8075" priority="12859" operator="containsText" text="프로젝트">
      <formula>NOT(ISERROR(SEARCH(("프로젝트"),(G57))))</formula>
    </cfRule>
    <cfRule type="containsText" dxfId="8074" priority="12858" operator="containsText" text="기타">
      <formula>NOT(ISERROR(SEARCH(("기타"),(G57))))</formula>
    </cfRule>
    <cfRule type="containsText" dxfId="8073" priority="12857" operator="containsText" text="정규교과">
      <formula>NOT(ISERROR(SEARCH(("정규교과"),(G57))))</formula>
    </cfRule>
    <cfRule type="containsText" dxfId="8072" priority="12856" operator="containsText" text="프로젝트">
      <formula>NOT(ISERROR(SEARCH(("프로젝트"),(G57))))</formula>
    </cfRule>
    <cfRule type="containsText" dxfId="8071" priority="12854" operator="containsText" text="정규교과">
      <formula>NOT(ISERROR(SEARCH(("정규교과"),(G57))))</formula>
    </cfRule>
    <cfRule type="containsText" dxfId="8070" priority="12853" operator="containsText" text="프로젝트">
      <formula>NOT(ISERROR(SEARCH(("프로젝트"),(G57))))</formula>
    </cfRule>
    <cfRule type="containsText" dxfId="8069" priority="12852" operator="containsText" text="기타">
      <formula>NOT(ISERROR(SEARCH(("기타"),(G57))))</formula>
    </cfRule>
    <cfRule type="containsText" dxfId="8068" priority="12851" operator="containsText" text="정규교과">
      <formula>NOT(ISERROR(SEARCH(("정규교과"),(G57))))</formula>
    </cfRule>
    <cfRule type="containsText" dxfId="8067" priority="12850" operator="containsText" text="프로젝트">
      <formula>NOT(ISERROR(SEARCH(("프로젝트"),(G57))))</formula>
    </cfRule>
    <cfRule type="containsText" dxfId="8066" priority="12849" operator="containsText" text="기타">
      <formula>NOT(ISERROR(SEARCH(("기타"),(G57))))</formula>
    </cfRule>
    <cfRule type="containsText" dxfId="8065" priority="12848" operator="containsText" text="정규교과">
      <formula>NOT(ISERROR(SEARCH(("정규교과"),(G57))))</formula>
    </cfRule>
    <cfRule type="containsText" dxfId="8064" priority="12847" operator="containsText" text="프로젝트">
      <formula>NOT(ISERROR(SEARCH(("프로젝트"),(G57))))</formula>
    </cfRule>
    <cfRule type="containsText" dxfId="8063" priority="12844" operator="containsText" text="프로젝트">
      <formula>NOT(ISERROR(SEARCH(("프로젝트"),(G57))))</formula>
    </cfRule>
  </conditionalFormatting>
  <conditionalFormatting sqref="G61">
    <cfRule type="containsText" dxfId="8062" priority="12656" operator="containsText" text="정규교과">
      <formula>NOT(ISERROR(SEARCH(("정규교과"),(G61))))</formula>
    </cfRule>
    <cfRule type="containsText" dxfId="8061" priority="12657" operator="containsText" text="기타">
      <formula>NOT(ISERROR(SEARCH(("기타"),(G61))))</formula>
    </cfRule>
    <cfRule type="containsText" dxfId="8060" priority="12658" operator="containsText" text="프로젝트">
      <formula>NOT(ISERROR(SEARCH(("프로젝트"),(G61))))</formula>
    </cfRule>
    <cfRule type="containsText" dxfId="8059" priority="12659" operator="containsText" text="정규교과">
      <formula>NOT(ISERROR(SEARCH(("정규교과"),(G61))))</formula>
    </cfRule>
    <cfRule type="containsText" dxfId="8058" priority="12660" operator="containsText" text="기타">
      <formula>NOT(ISERROR(SEARCH(("기타"),(G61))))</formula>
    </cfRule>
    <cfRule type="containsText" dxfId="8057" priority="12661" operator="containsText" text="프로젝트">
      <formula>NOT(ISERROR(SEARCH(("프로젝트"),(G61))))</formula>
    </cfRule>
    <cfRule type="containsText" dxfId="8056" priority="12662" operator="containsText" text="정규교과">
      <formula>NOT(ISERROR(SEARCH(("정규교과"),(G61))))</formula>
    </cfRule>
    <cfRule type="containsText" dxfId="8055" priority="12663" operator="containsText" text="기타">
      <formula>NOT(ISERROR(SEARCH(("기타"),(G61))))</formula>
    </cfRule>
    <cfRule type="containsText" dxfId="8054" priority="12664" operator="containsText" text="프로젝트">
      <formula>NOT(ISERROR(SEARCH(("프로젝트"),(G61))))</formula>
    </cfRule>
    <cfRule type="containsText" dxfId="8053" priority="12665" operator="containsText" text="정규교과">
      <formula>NOT(ISERROR(SEARCH(("정규교과"),(G61))))</formula>
    </cfRule>
    <cfRule type="containsText" dxfId="8052" priority="12666" operator="containsText" text="기타">
      <formula>NOT(ISERROR(SEARCH(("기타"),(G61))))</formula>
    </cfRule>
    <cfRule type="containsText" dxfId="8051" priority="12667" operator="containsText" text="프로젝트">
      <formula>NOT(ISERROR(SEARCH(("프로젝트"),(G61))))</formula>
    </cfRule>
    <cfRule type="containsText" dxfId="8050" priority="12668" operator="containsText" text="정규교과">
      <formula>NOT(ISERROR(SEARCH(("정규교과"),(G61))))</formula>
    </cfRule>
    <cfRule type="containsText" dxfId="8049" priority="12669" operator="containsText" text="기타">
      <formula>NOT(ISERROR(SEARCH(("기타"),(G61))))</formula>
    </cfRule>
    <cfRule type="containsText" dxfId="8048" priority="12670" operator="containsText" text="프로젝트">
      <formula>NOT(ISERROR(SEARCH(("프로젝트"),(G61))))</formula>
    </cfRule>
    <cfRule type="containsText" dxfId="8047" priority="12636" operator="containsText" text="기타">
      <formula>NOT(ISERROR(SEARCH(("기타"),(G61))))</formula>
    </cfRule>
    <cfRule type="containsText" dxfId="8046" priority="12672" operator="containsText" text="기타">
      <formula>NOT(ISERROR(SEARCH(("기타"),(G61))))</formula>
    </cfRule>
    <cfRule type="containsText" dxfId="8045" priority="12673" operator="containsText" text="프로젝트">
      <formula>NOT(ISERROR(SEARCH(("프로젝트"),(G61))))</formula>
    </cfRule>
    <cfRule type="containsText" dxfId="8044" priority="12674" operator="containsText" text="정규교과">
      <formula>NOT(ISERROR(SEARCH(("정규교과"),(G61))))</formula>
    </cfRule>
    <cfRule type="containsText" dxfId="8043" priority="12675" operator="containsText" text="기타">
      <formula>NOT(ISERROR(SEARCH(("기타"),(G61))))</formula>
    </cfRule>
    <cfRule type="containsText" dxfId="8042" priority="12676" operator="containsText" text="프로젝트">
      <formula>NOT(ISERROR(SEARCH(("프로젝트"),(G61))))</formula>
    </cfRule>
    <cfRule type="containsText" dxfId="8041" priority="12677" operator="containsText" text="정규교과">
      <formula>NOT(ISERROR(SEARCH(("정규교과"),(G61))))</formula>
    </cfRule>
    <cfRule type="containsText" dxfId="8040" priority="12678" operator="containsText" text="기타">
      <formula>NOT(ISERROR(SEARCH(("기타"),(G61))))</formula>
    </cfRule>
    <cfRule type="containsText" dxfId="8039" priority="12679" operator="containsText" text="프로젝트">
      <formula>NOT(ISERROR(SEARCH(("프로젝트"),(G61))))</formula>
    </cfRule>
    <cfRule type="containsText" dxfId="8038" priority="12680" operator="containsText" text="정규교과">
      <formula>NOT(ISERROR(SEARCH(("정규교과"),(G61))))</formula>
    </cfRule>
    <cfRule type="containsText" dxfId="8037" priority="12681" operator="containsText" text="기타">
      <formula>NOT(ISERROR(SEARCH(("기타"),(G61))))</formula>
    </cfRule>
    <cfRule type="containsText" dxfId="8036" priority="12682" operator="containsText" text="프로젝트">
      <formula>NOT(ISERROR(SEARCH(("프로젝트"),(G61))))</formula>
    </cfRule>
    <cfRule type="containsText" dxfId="8035" priority="12683" operator="containsText" text="정규교과">
      <formula>NOT(ISERROR(SEARCH(("정규교과"),(G61))))</formula>
    </cfRule>
    <cfRule type="containsText" dxfId="8034" priority="12684" operator="containsText" text="기타">
      <formula>NOT(ISERROR(SEARCH(("기타"),(G61))))</formula>
    </cfRule>
    <cfRule type="containsText" dxfId="8033" priority="12685" operator="containsText" text="프로젝트">
      <formula>NOT(ISERROR(SEARCH(("프로젝트"),(G61))))</formula>
    </cfRule>
    <cfRule type="containsText" dxfId="8032" priority="12686" operator="containsText" text="정규교과">
      <formula>NOT(ISERROR(SEARCH(("정규교과"),(G61))))</formula>
    </cfRule>
    <cfRule type="containsText" dxfId="8031" priority="12687" operator="containsText" text="기타">
      <formula>NOT(ISERROR(SEARCH(("기타"),(G61))))</formula>
    </cfRule>
    <cfRule type="containsText" dxfId="8030" priority="12634" operator="containsText" text="프로젝트">
      <formula>NOT(ISERROR(SEARCH(("프로젝트"),(G61))))</formula>
    </cfRule>
    <cfRule type="containsText" dxfId="8029" priority="12689" operator="containsText" text="정규교과">
      <formula>NOT(ISERROR(SEARCH(("정규교과"),(G61))))</formula>
    </cfRule>
    <cfRule type="containsText" dxfId="8028" priority="12690" operator="containsText" text="기타">
      <formula>NOT(ISERROR(SEARCH(("기타"),(G61))))</formula>
    </cfRule>
    <cfRule type="containsText" dxfId="8027" priority="12691" operator="containsText" text="프로젝트">
      <formula>NOT(ISERROR(SEARCH(("프로젝트"),(G61))))</formula>
    </cfRule>
    <cfRule type="containsText" dxfId="8026" priority="12637" operator="containsText" text="프로젝트">
      <formula>NOT(ISERROR(SEARCH(("프로젝트"),(G61))))</formula>
    </cfRule>
    <cfRule type="containsText" dxfId="8025" priority="12671" operator="containsText" text="정규교과">
      <formula>NOT(ISERROR(SEARCH(("정규교과"),(G61))))</formula>
    </cfRule>
    <cfRule type="containsText" dxfId="8024" priority="12692" operator="containsText" text="정규교과">
      <formula>NOT(ISERROR(SEARCH(("정규교과"),(G61))))</formula>
    </cfRule>
    <cfRule type="containsText" dxfId="8023" priority="12638" operator="containsText" text="정규교과">
      <formula>NOT(ISERROR(SEARCH(("정규교과"),(G61))))</formula>
    </cfRule>
    <cfRule type="containsText" dxfId="8022" priority="12639" operator="containsText" text="기타">
      <formula>NOT(ISERROR(SEARCH(("기타"),(G61))))</formula>
    </cfRule>
    <cfRule type="containsText" dxfId="8021" priority="12640" operator="containsText" text="프로젝트">
      <formula>NOT(ISERROR(SEARCH(("프로젝트"),(G61))))</formula>
    </cfRule>
    <cfRule type="containsText" dxfId="8020" priority="12641" operator="containsText" text="정규교과">
      <formula>NOT(ISERROR(SEARCH(("정규교과"),(G61))))</formula>
    </cfRule>
    <cfRule type="containsText" dxfId="8019" priority="12642" operator="containsText" text="기타">
      <formula>NOT(ISERROR(SEARCH(("기타"),(G61))))</formula>
    </cfRule>
    <cfRule type="containsText" dxfId="8018" priority="12643" operator="containsText" text="프로젝트">
      <formula>NOT(ISERROR(SEARCH(("프로젝트"),(G61))))</formula>
    </cfRule>
    <cfRule type="containsText" dxfId="8017" priority="12644" operator="containsText" text="정규교과">
      <formula>NOT(ISERROR(SEARCH(("정규교과"),(G61))))</formula>
    </cfRule>
    <cfRule type="containsText" dxfId="8016" priority="12645" operator="containsText" text="기타">
      <formula>NOT(ISERROR(SEARCH(("기타"),(G61))))</formula>
    </cfRule>
    <cfRule type="containsText" dxfId="8015" priority="12646" operator="containsText" text="프로젝트">
      <formula>NOT(ISERROR(SEARCH(("프로젝트"),(G61))))</formula>
    </cfRule>
    <cfRule type="containsText" dxfId="8014" priority="12688" operator="containsText" text="프로젝트">
      <formula>NOT(ISERROR(SEARCH(("프로젝트"),(G61))))</formula>
    </cfRule>
    <cfRule type="containsText" dxfId="8013" priority="12647" operator="containsText" text="정규교과">
      <formula>NOT(ISERROR(SEARCH(("정규교과"),(G61))))</formula>
    </cfRule>
    <cfRule type="containsText" dxfId="8012" priority="12648" operator="containsText" text="기타">
      <formula>NOT(ISERROR(SEARCH(("기타"),(G61))))</formula>
    </cfRule>
    <cfRule type="containsText" dxfId="8011" priority="12649" operator="containsText" text="프로젝트">
      <formula>NOT(ISERROR(SEARCH(("프로젝트"),(G61))))</formula>
    </cfRule>
    <cfRule type="containsText" dxfId="8010" priority="12650" operator="containsText" text="정규교과">
      <formula>NOT(ISERROR(SEARCH(("정규교과"),(G61))))</formula>
    </cfRule>
    <cfRule type="containsText" dxfId="8009" priority="12651" operator="containsText" text="기타">
      <formula>NOT(ISERROR(SEARCH(("기타"),(G61))))</formula>
    </cfRule>
    <cfRule type="containsText" dxfId="8008" priority="12652" operator="containsText" text="프로젝트">
      <formula>NOT(ISERROR(SEARCH(("프로젝트"),(G61))))</formula>
    </cfRule>
    <cfRule type="containsText" dxfId="8007" priority="12653" operator="containsText" text="정규교과">
      <formula>NOT(ISERROR(SEARCH(("정규교과"),(G61))))</formula>
    </cfRule>
    <cfRule type="containsText" dxfId="8006" priority="12654" operator="containsText" text="기타">
      <formula>NOT(ISERROR(SEARCH(("기타"),(G61))))</formula>
    </cfRule>
    <cfRule type="containsText" dxfId="8005" priority="12655" operator="containsText" text="프로젝트">
      <formula>NOT(ISERROR(SEARCH(("프로젝트"),(G61))))</formula>
    </cfRule>
    <cfRule type="containsText" dxfId="8004" priority="12693" operator="containsText" text="기타">
      <formula>NOT(ISERROR(SEARCH(("기타"),(G61))))</formula>
    </cfRule>
    <cfRule type="containsText" dxfId="8003" priority="12694" operator="containsText" text="프로젝트">
      <formula>NOT(ISERROR(SEARCH(("프로젝트"),(G61))))</formula>
    </cfRule>
    <cfRule type="containsText" dxfId="8002" priority="12695" operator="containsText" text="정규교과">
      <formula>NOT(ISERROR(SEARCH(("정규교과"),(G61))))</formula>
    </cfRule>
    <cfRule type="containsText" dxfId="8001" priority="12696" operator="containsText" text="기타">
      <formula>NOT(ISERROR(SEARCH(("기타"),(G61))))</formula>
    </cfRule>
    <cfRule type="containsText" dxfId="8000" priority="12698" operator="containsText" text="정규교과">
      <formula>NOT(ISERROR(SEARCH(("정규교과"),(G61))))</formula>
    </cfRule>
    <cfRule type="containsText" dxfId="7999" priority="12699" operator="containsText" text="기타">
      <formula>NOT(ISERROR(SEARCH(("기타"),(G61))))</formula>
    </cfRule>
    <cfRule type="containsText" dxfId="7998" priority="12635" operator="containsText" text="정규교과">
      <formula>NOT(ISERROR(SEARCH(("정규교과"),(G61))))</formula>
    </cfRule>
  </conditionalFormatting>
  <conditionalFormatting sqref="G65">
    <cfRule type="containsText" dxfId="7997" priority="12445" operator="containsText" text="프로젝트">
      <formula>NOT(ISERROR(SEARCH(("프로젝트"),(G65))))</formula>
    </cfRule>
    <cfRule type="containsText" dxfId="7996" priority="12444" operator="containsText" text="기타">
      <formula>NOT(ISERROR(SEARCH(("기타"),(G65))))</formula>
    </cfRule>
    <cfRule type="containsText" dxfId="7995" priority="12443" operator="containsText" text="정규교과">
      <formula>NOT(ISERROR(SEARCH(("정규교과"),(G65))))</formula>
    </cfRule>
    <cfRule type="containsText" dxfId="7994" priority="12442" operator="containsText" text="프로젝트">
      <formula>NOT(ISERROR(SEARCH(("프로젝트"),(G65))))</formula>
    </cfRule>
    <cfRule type="containsText" dxfId="7993" priority="12441" operator="containsText" text="기타">
      <formula>NOT(ISERROR(SEARCH(("기타"),(G65))))</formula>
    </cfRule>
    <cfRule type="containsText" dxfId="7992" priority="12440" operator="containsText" text="정규교과">
      <formula>NOT(ISERROR(SEARCH(("정규교과"),(G65))))</formula>
    </cfRule>
    <cfRule type="containsText" dxfId="7991" priority="12439" operator="containsText" text="프로젝트">
      <formula>NOT(ISERROR(SEARCH(("프로젝트"),(G65))))</formula>
    </cfRule>
    <cfRule type="containsText" dxfId="7990" priority="12438" operator="containsText" text="기타">
      <formula>NOT(ISERROR(SEARCH(("기타"),(G65))))</formula>
    </cfRule>
    <cfRule type="containsText" dxfId="7989" priority="12437" operator="containsText" text="정규교과">
      <formula>NOT(ISERROR(SEARCH(("정규교과"),(G65))))</formula>
    </cfRule>
    <cfRule type="containsText" dxfId="7988" priority="12436" operator="containsText" text="프로젝트">
      <formula>NOT(ISERROR(SEARCH(("프로젝트"),(G65))))</formula>
    </cfRule>
    <cfRule type="containsText" dxfId="7987" priority="12435" operator="containsText" text="기타">
      <formula>NOT(ISERROR(SEARCH(("기타"),(G65))))</formula>
    </cfRule>
    <cfRule type="containsText" dxfId="7986" priority="12434" operator="containsText" text="정규교과">
      <formula>NOT(ISERROR(SEARCH(("정규교과"),(G65))))</formula>
    </cfRule>
    <cfRule type="containsText" dxfId="7985" priority="12478" operator="containsText" text="프로젝트">
      <formula>NOT(ISERROR(SEARCH(("프로젝트"),(G65))))</formula>
    </cfRule>
    <cfRule type="containsText" dxfId="7984" priority="12477" operator="containsText" text="기타">
      <formula>NOT(ISERROR(SEARCH(("기타"),(G65))))</formula>
    </cfRule>
    <cfRule type="containsText" dxfId="7983" priority="12476" operator="containsText" text="정규교과">
      <formula>NOT(ISERROR(SEARCH(("정규교과"),(G65))))</formula>
    </cfRule>
    <cfRule type="containsText" dxfId="7982" priority="12475" operator="containsText" text="프로젝트">
      <formula>NOT(ISERROR(SEARCH(("프로젝트"),(G65))))</formula>
    </cfRule>
    <cfRule type="containsText" dxfId="7981" priority="12474" operator="containsText" text="기타">
      <formula>NOT(ISERROR(SEARCH(("기타"),(G65))))</formula>
    </cfRule>
    <cfRule type="containsText" dxfId="7980" priority="12473" operator="containsText" text="정규교과">
      <formula>NOT(ISERROR(SEARCH(("정규교과"),(G65))))</formula>
    </cfRule>
    <cfRule type="containsText" dxfId="7979" priority="12472" operator="containsText" text="프로젝트">
      <formula>NOT(ISERROR(SEARCH(("프로젝트"),(G65))))</formula>
    </cfRule>
    <cfRule type="containsText" dxfId="7978" priority="12470" operator="containsText" text="정규교과">
      <formula>NOT(ISERROR(SEARCH(("정규교과"),(G65))))</formula>
    </cfRule>
    <cfRule type="containsText" dxfId="7977" priority="12469" operator="containsText" text="프로젝트">
      <formula>NOT(ISERROR(SEARCH(("프로젝트"),(G65))))</formula>
    </cfRule>
    <cfRule type="containsText" dxfId="7976" priority="12468" operator="containsText" text="기타">
      <formula>NOT(ISERROR(SEARCH(("기타"),(G65))))</formula>
    </cfRule>
    <cfRule type="containsText" dxfId="7975" priority="12467" operator="containsText" text="정규교과">
      <formula>NOT(ISERROR(SEARCH(("정규교과"),(G65))))</formula>
    </cfRule>
    <cfRule type="containsText" dxfId="7974" priority="12466" operator="containsText" text="프로젝트">
      <formula>NOT(ISERROR(SEARCH(("프로젝트"),(G65))))</formula>
    </cfRule>
    <cfRule type="containsText" dxfId="7973" priority="12465" operator="containsText" text="기타">
      <formula>NOT(ISERROR(SEARCH(("기타"),(G65))))</formula>
    </cfRule>
    <cfRule type="containsText" dxfId="7972" priority="12464" operator="containsText" text="정규교과">
      <formula>NOT(ISERROR(SEARCH(("정규교과"),(G65))))</formula>
    </cfRule>
    <cfRule type="containsText" dxfId="7971" priority="12463" operator="containsText" text="프로젝트">
      <formula>NOT(ISERROR(SEARCH(("프로젝트"),(G65))))</formula>
    </cfRule>
    <cfRule type="containsText" dxfId="7970" priority="12462" operator="containsText" text="기타">
      <formula>NOT(ISERROR(SEARCH(("기타"),(G65))))</formula>
    </cfRule>
    <cfRule type="containsText" dxfId="7969" priority="12461" operator="containsText" text="정규교과">
      <formula>NOT(ISERROR(SEARCH(("정규교과"),(G65))))</formula>
    </cfRule>
    <cfRule type="containsText" dxfId="7968" priority="12460" operator="containsText" text="프로젝트">
      <formula>NOT(ISERROR(SEARCH(("프로젝트"),(G65))))</formula>
    </cfRule>
    <cfRule type="containsText" dxfId="7967" priority="12459" operator="containsText" text="기타">
      <formula>NOT(ISERROR(SEARCH(("기타"),(G65))))</formula>
    </cfRule>
    <cfRule type="containsText" dxfId="7966" priority="12458" operator="containsText" text="정규교과">
      <formula>NOT(ISERROR(SEARCH(("정규교과"),(G65))))</formula>
    </cfRule>
    <cfRule type="containsText" dxfId="7965" priority="12471" operator="containsText" text="기타">
      <formula>NOT(ISERROR(SEARCH(("기타"),(G65))))</formula>
    </cfRule>
    <cfRule type="containsText" dxfId="7964" priority="12427" operator="containsText" text="프로젝트">
      <formula>NOT(ISERROR(SEARCH(("프로젝트"),(G65))))</formula>
    </cfRule>
    <cfRule type="containsText" dxfId="7963" priority="12428" operator="containsText" text="정규교과">
      <formula>NOT(ISERROR(SEARCH(("정규교과"),(G65))))</formula>
    </cfRule>
    <cfRule type="containsText" dxfId="7962" priority="12429" operator="containsText" text="기타">
      <formula>NOT(ISERROR(SEARCH(("기타"),(G65))))</formula>
    </cfRule>
    <cfRule type="containsText" dxfId="7961" priority="12430" operator="containsText" text="프로젝트">
      <formula>NOT(ISERROR(SEARCH(("프로젝트"),(G65))))</formula>
    </cfRule>
    <cfRule type="containsText" dxfId="7960" priority="12431" operator="containsText" text="정규교과">
      <formula>NOT(ISERROR(SEARCH(("정규교과"),(G65))))</formula>
    </cfRule>
    <cfRule type="containsText" dxfId="7959" priority="12432" operator="containsText" text="기타">
      <formula>NOT(ISERROR(SEARCH(("기타"),(G65))))</formula>
    </cfRule>
    <cfRule type="containsText" dxfId="7958" priority="12433" operator="containsText" text="프로젝트">
      <formula>NOT(ISERROR(SEARCH(("프로젝트"),(G65))))</formula>
    </cfRule>
    <cfRule type="containsText" dxfId="7957" priority="12492" operator="containsText" text="기타">
      <formula>NOT(ISERROR(SEARCH(("기타"),(G65))))</formula>
    </cfRule>
    <cfRule type="containsText" dxfId="7956" priority="12479" operator="containsText" text="정규교과">
      <formula>NOT(ISERROR(SEARCH(("정규교과"),(G65))))</formula>
    </cfRule>
    <cfRule type="containsText" dxfId="7955" priority="12491" operator="containsText" text="정규교과">
      <formula>NOT(ISERROR(SEARCH(("정규교과"),(G65))))</formula>
    </cfRule>
    <cfRule type="containsText" dxfId="7954" priority="12489" operator="containsText" text="기타">
      <formula>NOT(ISERROR(SEARCH(("기타"),(G65))))</formula>
    </cfRule>
    <cfRule type="containsText" dxfId="7953" priority="12488" operator="containsText" text="정규교과">
      <formula>NOT(ISERROR(SEARCH(("정규교과"),(G65))))</formula>
    </cfRule>
    <cfRule type="containsText" dxfId="7952" priority="12487" operator="containsText" text="프로젝트">
      <formula>NOT(ISERROR(SEARCH(("프로젝트"),(G65))))</formula>
    </cfRule>
    <cfRule type="containsText" dxfId="7951" priority="12486" operator="containsText" text="기타">
      <formula>NOT(ISERROR(SEARCH(("기타"),(G65))))</formula>
    </cfRule>
    <cfRule type="containsText" dxfId="7950" priority="12485" operator="containsText" text="정규교과">
      <formula>NOT(ISERROR(SEARCH(("정규교과"),(G65))))</formula>
    </cfRule>
    <cfRule type="containsText" dxfId="7949" priority="12484" operator="containsText" text="프로젝트">
      <formula>NOT(ISERROR(SEARCH(("프로젝트"),(G65))))</formula>
    </cfRule>
    <cfRule type="containsText" dxfId="7948" priority="12483" operator="containsText" text="기타">
      <formula>NOT(ISERROR(SEARCH(("기타"),(G65))))</formula>
    </cfRule>
    <cfRule type="containsText" dxfId="7947" priority="12482" operator="containsText" text="정규교과">
      <formula>NOT(ISERROR(SEARCH(("정규교과"),(G65))))</formula>
    </cfRule>
    <cfRule type="containsText" dxfId="7946" priority="12481" operator="containsText" text="프로젝트">
      <formula>NOT(ISERROR(SEARCH(("프로젝트"),(G65))))</formula>
    </cfRule>
    <cfRule type="containsText" dxfId="7945" priority="12480" operator="containsText" text="기타">
      <formula>NOT(ISERROR(SEARCH(("기타"),(G65))))</formula>
    </cfRule>
    <cfRule type="containsText" dxfId="7944" priority="12457" operator="containsText" text="프로젝트">
      <formula>NOT(ISERROR(SEARCH(("프로젝트"),(G65))))</formula>
    </cfRule>
    <cfRule type="containsText" dxfId="7943" priority="12456" operator="containsText" text="기타">
      <formula>NOT(ISERROR(SEARCH(("기타"),(G65))))</formula>
    </cfRule>
    <cfRule type="containsText" dxfId="7942" priority="12455" operator="containsText" text="정규교과">
      <formula>NOT(ISERROR(SEARCH(("정규교과"),(G65))))</formula>
    </cfRule>
    <cfRule type="containsText" dxfId="7941" priority="12454" operator="containsText" text="프로젝트">
      <formula>NOT(ISERROR(SEARCH(("프로젝트"),(G65))))</formula>
    </cfRule>
    <cfRule type="containsText" dxfId="7940" priority="12453" operator="containsText" text="기타">
      <formula>NOT(ISERROR(SEARCH(("기타"),(G65))))</formula>
    </cfRule>
    <cfRule type="containsText" dxfId="7939" priority="12452" operator="containsText" text="정규교과">
      <formula>NOT(ISERROR(SEARCH(("정규교과"),(G65))))</formula>
    </cfRule>
    <cfRule type="containsText" dxfId="7938" priority="12451" operator="containsText" text="프로젝트">
      <formula>NOT(ISERROR(SEARCH(("프로젝트"),(G65))))</formula>
    </cfRule>
    <cfRule type="containsText" dxfId="7937" priority="12450" operator="containsText" text="기타">
      <formula>NOT(ISERROR(SEARCH(("기타"),(G65))))</formula>
    </cfRule>
    <cfRule type="containsText" dxfId="7936" priority="12449" operator="containsText" text="정규교과">
      <formula>NOT(ISERROR(SEARCH(("정규교과"),(G65))))</formula>
    </cfRule>
    <cfRule type="containsText" dxfId="7935" priority="12448" operator="containsText" text="프로젝트">
      <formula>NOT(ISERROR(SEARCH(("프로젝트"),(G65))))</formula>
    </cfRule>
    <cfRule type="containsText" dxfId="7934" priority="12447" operator="containsText" text="기타">
      <formula>NOT(ISERROR(SEARCH(("기타"),(G65))))</formula>
    </cfRule>
    <cfRule type="containsText" dxfId="7933" priority="12446" operator="containsText" text="정규교과">
      <formula>NOT(ISERROR(SEARCH(("정규교과"),(G65))))</formula>
    </cfRule>
  </conditionalFormatting>
  <conditionalFormatting sqref="G69">
    <cfRule type="containsText" dxfId="7932" priority="12274" operator="containsText" text="프로젝트">
      <formula>NOT(ISERROR(SEARCH(("프로젝트"),(G69))))</formula>
    </cfRule>
    <cfRule type="containsText" dxfId="7931" priority="12256" operator="containsText" text="프로젝트">
      <formula>NOT(ISERROR(SEARCH(("프로젝트"),(G69))))</formula>
    </cfRule>
    <cfRule type="containsText" dxfId="7930" priority="12255" operator="containsText" text="기타">
      <formula>NOT(ISERROR(SEARCH(("기타"),(G69))))</formula>
    </cfRule>
    <cfRule type="containsText" dxfId="7929" priority="12254" operator="containsText" text="정규교과">
      <formula>NOT(ISERROR(SEARCH(("정규교과"),(G69))))</formula>
    </cfRule>
    <cfRule type="containsText" dxfId="7928" priority="12253" operator="containsText" text="프로젝트">
      <formula>NOT(ISERROR(SEARCH(("프로젝트"),(G69))))</formula>
    </cfRule>
    <cfRule type="containsText" dxfId="7927" priority="12252" operator="containsText" text="기타">
      <formula>NOT(ISERROR(SEARCH(("기타"),(G69))))</formula>
    </cfRule>
    <cfRule type="containsText" dxfId="7926" priority="12285" operator="containsText" text="기타">
      <formula>NOT(ISERROR(SEARCH(("기타"),(G69))))</formula>
    </cfRule>
    <cfRule type="containsText" dxfId="7925" priority="12284" operator="containsText" text="정규교과">
      <formula>NOT(ISERROR(SEARCH(("정규교과"),(G69))))</formula>
    </cfRule>
    <cfRule type="containsText" dxfId="7924" priority="12282" operator="containsText" text="기타">
      <formula>NOT(ISERROR(SEARCH(("기타"),(G69))))</formula>
    </cfRule>
    <cfRule type="containsText" dxfId="7923" priority="12281" operator="containsText" text="정규교과">
      <formula>NOT(ISERROR(SEARCH(("정규교과"),(G69))))</formula>
    </cfRule>
    <cfRule type="containsText" dxfId="7922" priority="12280" operator="containsText" text="프로젝트">
      <formula>NOT(ISERROR(SEARCH(("프로젝트"),(G69))))</formula>
    </cfRule>
    <cfRule type="containsText" dxfId="7921" priority="12279" operator="containsText" text="기타">
      <formula>NOT(ISERROR(SEARCH(("기타"),(G69))))</formula>
    </cfRule>
    <cfRule type="containsText" dxfId="7920" priority="12264" operator="containsText" text="기타">
      <formula>NOT(ISERROR(SEARCH(("기타"),(G69))))</formula>
    </cfRule>
    <cfRule type="containsText" dxfId="7919" priority="12265" operator="containsText" text="프로젝트">
      <formula>NOT(ISERROR(SEARCH(("프로젝트"),(G69))))</formula>
    </cfRule>
    <cfRule type="containsText" dxfId="7918" priority="12278" operator="containsText" text="정규교과">
      <formula>NOT(ISERROR(SEARCH(("정규교과"),(G69))))</formula>
    </cfRule>
    <cfRule type="containsText" dxfId="7917" priority="12251" operator="containsText" text="정규교과">
      <formula>NOT(ISERROR(SEARCH(("정규교과"),(G69))))</formula>
    </cfRule>
    <cfRule type="containsText" dxfId="7916" priority="12244" operator="containsText" text="프로젝트">
      <formula>NOT(ISERROR(SEARCH(("프로젝트"),(G69))))</formula>
    </cfRule>
    <cfRule type="containsText" dxfId="7915" priority="12250" operator="containsText" text="프로젝트">
      <formula>NOT(ISERROR(SEARCH(("프로젝트"),(G69))))</formula>
    </cfRule>
    <cfRule type="containsText" dxfId="7914" priority="12249" operator="containsText" text="기타">
      <formula>NOT(ISERROR(SEARCH(("기타"),(G69))))</formula>
    </cfRule>
    <cfRule type="containsText" dxfId="7913" priority="12248" operator="containsText" text="정규교과">
      <formula>NOT(ISERROR(SEARCH(("정규교과"),(G69))))</formula>
    </cfRule>
    <cfRule type="containsText" dxfId="7912" priority="12247" operator="containsText" text="프로젝트">
      <formula>NOT(ISERROR(SEARCH(("프로젝트"),(G69))))</formula>
    </cfRule>
    <cfRule type="containsText" dxfId="7911" priority="12246" operator="containsText" text="기타">
      <formula>NOT(ISERROR(SEARCH(("기타"),(G69))))</formula>
    </cfRule>
    <cfRule type="containsText" dxfId="7910" priority="12273" operator="containsText" text="기타">
      <formula>NOT(ISERROR(SEARCH(("기타"),(G69))))</formula>
    </cfRule>
    <cfRule type="containsText" dxfId="7909" priority="12245" operator="containsText" text="정규교과">
      <formula>NOT(ISERROR(SEARCH(("정규교과"),(G69))))</formula>
    </cfRule>
    <cfRule type="containsText" dxfId="7908" priority="12222" operator="containsText" text="기타">
      <formula>NOT(ISERROR(SEARCH(("기타"),(G69))))</formula>
    </cfRule>
    <cfRule type="containsText" dxfId="7907" priority="12223" operator="containsText" text="프로젝트">
      <formula>NOT(ISERROR(SEARCH(("프로젝트"),(G69))))</formula>
    </cfRule>
    <cfRule type="containsText" dxfId="7906" priority="12224" operator="containsText" text="정규교과">
      <formula>NOT(ISERROR(SEARCH(("정규교과"),(G69))))</formula>
    </cfRule>
    <cfRule type="containsText" dxfId="7905" priority="12225" operator="containsText" text="기타">
      <formula>NOT(ISERROR(SEARCH(("기타"),(G69))))</formula>
    </cfRule>
    <cfRule type="containsText" dxfId="7904" priority="12243" operator="containsText" text="기타">
      <formula>NOT(ISERROR(SEARCH(("기타"),(G69))))</formula>
    </cfRule>
    <cfRule type="containsText" dxfId="7903" priority="12242" operator="containsText" text="정규교과">
      <formula>NOT(ISERROR(SEARCH(("정규교과"),(G69))))</formula>
    </cfRule>
    <cfRule type="containsText" dxfId="7902" priority="12241" operator="containsText" text="프로젝트">
      <formula>NOT(ISERROR(SEARCH(("프로젝트"),(G69))))</formula>
    </cfRule>
    <cfRule type="containsText" dxfId="7901" priority="12240" operator="containsText" text="기타">
      <formula>NOT(ISERROR(SEARCH(("기타"),(G69))))</formula>
    </cfRule>
    <cfRule type="containsText" dxfId="7900" priority="12239" operator="containsText" text="정규교과">
      <formula>NOT(ISERROR(SEARCH(("정규교과"),(G69))))</formula>
    </cfRule>
    <cfRule type="containsText" dxfId="7899" priority="12272" operator="containsText" text="정규교과">
      <formula>NOT(ISERROR(SEARCH(("정규교과"),(G69))))</formula>
    </cfRule>
    <cfRule type="containsText" dxfId="7898" priority="12271" operator="containsText" text="프로젝트">
      <formula>NOT(ISERROR(SEARCH(("프로젝트"),(G69))))</formula>
    </cfRule>
    <cfRule type="containsText" dxfId="7897" priority="12270" operator="containsText" text="기타">
      <formula>NOT(ISERROR(SEARCH(("기타"),(G69))))</formula>
    </cfRule>
    <cfRule type="containsText" dxfId="7896" priority="12269" operator="containsText" text="정규교과">
      <formula>NOT(ISERROR(SEARCH(("정규교과"),(G69))))</formula>
    </cfRule>
    <cfRule type="containsText" dxfId="7895" priority="12268" operator="containsText" text="프로젝트">
      <formula>NOT(ISERROR(SEARCH(("프로젝트"),(G69))))</formula>
    </cfRule>
    <cfRule type="containsText" dxfId="7894" priority="12267" operator="containsText" text="기타">
      <formula>NOT(ISERROR(SEARCH(("기타"),(G69))))</formula>
    </cfRule>
    <cfRule type="containsText" dxfId="7893" priority="12266" operator="containsText" text="정규교과">
      <formula>NOT(ISERROR(SEARCH(("정규교과"),(G69))))</formula>
    </cfRule>
    <cfRule type="containsText" dxfId="7892" priority="12226" operator="containsText" text="프로젝트">
      <formula>NOT(ISERROR(SEARCH(("프로젝트"),(G69))))</formula>
    </cfRule>
    <cfRule type="containsText" dxfId="7891" priority="12227" operator="containsText" text="정규교과">
      <formula>NOT(ISERROR(SEARCH(("정규교과"),(G69))))</formula>
    </cfRule>
    <cfRule type="containsText" dxfId="7890" priority="12238" operator="containsText" text="프로젝트">
      <formula>NOT(ISERROR(SEARCH(("프로젝트"),(G69))))</formula>
    </cfRule>
    <cfRule type="containsText" dxfId="7889" priority="12237" operator="containsText" text="기타">
      <formula>NOT(ISERROR(SEARCH(("기타"),(G69))))</formula>
    </cfRule>
    <cfRule type="containsText" dxfId="7888" priority="12275" operator="containsText" text="정규교과">
      <formula>NOT(ISERROR(SEARCH(("정규교과"),(G69))))</formula>
    </cfRule>
    <cfRule type="containsText" dxfId="7887" priority="12236" operator="containsText" text="정규교과">
      <formula>NOT(ISERROR(SEARCH(("정규교과"),(G69))))</formula>
    </cfRule>
    <cfRule type="containsText" dxfId="7886" priority="12235" operator="containsText" text="프로젝트">
      <formula>NOT(ISERROR(SEARCH(("프로젝트"),(G69))))</formula>
    </cfRule>
    <cfRule type="containsText" dxfId="7885" priority="12234" operator="containsText" text="기타">
      <formula>NOT(ISERROR(SEARCH(("기타"),(G69))))</formula>
    </cfRule>
    <cfRule type="containsText" dxfId="7884" priority="12228" operator="containsText" text="기타">
      <formula>NOT(ISERROR(SEARCH(("기타"),(G69))))</formula>
    </cfRule>
    <cfRule type="containsText" dxfId="7883" priority="12233" operator="containsText" text="정규교과">
      <formula>NOT(ISERROR(SEARCH(("정규교과"),(G69))))</formula>
    </cfRule>
    <cfRule type="containsText" dxfId="7882" priority="12232" operator="containsText" text="프로젝트">
      <formula>NOT(ISERROR(SEARCH(("프로젝트"),(G69))))</formula>
    </cfRule>
    <cfRule type="containsText" dxfId="7881" priority="12231" operator="containsText" text="기타">
      <formula>NOT(ISERROR(SEARCH(("기타"),(G69))))</formula>
    </cfRule>
    <cfRule type="containsText" dxfId="7880" priority="12230" operator="containsText" text="정규교과">
      <formula>NOT(ISERROR(SEARCH(("정규교과"),(G69))))</formula>
    </cfRule>
    <cfRule type="containsText" dxfId="7879" priority="12229" operator="containsText" text="프로젝트">
      <formula>NOT(ISERROR(SEARCH(("프로젝트"),(G69))))</formula>
    </cfRule>
    <cfRule type="containsText" dxfId="7878" priority="12276" operator="containsText" text="기타">
      <formula>NOT(ISERROR(SEARCH(("기타"),(G69))))</formula>
    </cfRule>
    <cfRule type="containsText" dxfId="7877" priority="12277" operator="containsText" text="프로젝트">
      <formula>NOT(ISERROR(SEARCH(("프로젝트"),(G69))))</formula>
    </cfRule>
    <cfRule type="containsText" dxfId="7876" priority="12220" operator="containsText" text="프로젝트">
      <formula>NOT(ISERROR(SEARCH(("프로젝트"),(G69))))</formula>
    </cfRule>
    <cfRule type="containsText" dxfId="7875" priority="12221" operator="containsText" text="정규교과">
      <formula>NOT(ISERROR(SEARCH(("정규교과"),(G69))))</formula>
    </cfRule>
    <cfRule type="containsText" dxfId="7874" priority="12257" operator="containsText" text="정규교과">
      <formula>NOT(ISERROR(SEARCH(("정규교과"),(G69))))</formula>
    </cfRule>
    <cfRule type="containsText" dxfId="7873" priority="12258" operator="containsText" text="기타">
      <formula>NOT(ISERROR(SEARCH(("기타"),(G69))))</formula>
    </cfRule>
    <cfRule type="containsText" dxfId="7872" priority="12259" operator="containsText" text="프로젝트">
      <formula>NOT(ISERROR(SEARCH(("프로젝트"),(G69))))</formula>
    </cfRule>
    <cfRule type="containsText" dxfId="7871" priority="12260" operator="containsText" text="정규교과">
      <formula>NOT(ISERROR(SEARCH(("정규교과"),(G69))))</formula>
    </cfRule>
    <cfRule type="containsText" dxfId="7870" priority="12261" operator="containsText" text="기타">
      <formula>NOT(ISERROR(SEARCH(("기타"),(G69))))</formula>
    </cfRule>
    <cfRule type="containsText" dxfId="7869" priority="12262" operator="containsText" text="프로젝트">
      <formula>NOT(ISERROR(SEARCH(("프로젝트"),(G69))))</formula>
    </cfRule>
    <cfRule type="containsText" dxfId="7868" priority="12263" operator="containsText" text="정규교과">
      <formula>NOT(ISERROR(SEARCH(("정규교과"),(G69))))</formula>
    </cfRule>
  </conditionalFormatting>
  <conditionalFormatting sqref="G110">
    <cfRule type="containsText" dxfId="7867" priority="8836" operator="containsText" text="휴강">
      <formula>NOT(ISERROR(SEARCH(("휴강"),(G110))))</formula>
    </cfRule>
    <cfRule type="containsText" dxfId="7866" priority="8837" operator="containsText" text="프로젝트">
      <formula>NOT(ISERROR(SEARCH(("프로젝트"),(G110))))</formula>
    </cfRule>
    <cfRule type="containsText" dxfId="7865" priority="8839" operator="containsText" text="기타">
      <formula>NOT(ISERROR(SEARCH(("기타"),(G110))))</formula>
    </cfRule>
    <cfRule type="containsText" dxfId="7864" priority="8841" operator="containsText" text="정규교과">
      <formula>NOT(ISERROR(SEARCH(("정규교과"),(G110))))</formula>
    </cfRule>
    <cfRule type="containsText" dxfId="7863" priority="8842" operator="containsText" text="기타">
      <formula>NOT(ISERROR(SEARCH(("기타"),(G110))))</formula>
    </cfRule>
    <cfRule type="containsText" dxfId="7862" priority="8843" operator="containsText" text="프로젝트">
      <formula>NOT(ISERROR(SEARCH(("프로젝트"),(G110))))</formula>
    </cfRule>
    <cfRule type="containsText" dxfId="7861" priority="8844" operator="containsText" text="정규교과">
      <formula>NOT(ISERROR(SEARCH(("정규교과"),(G110))))</formula>
    </cfRule>
    <cfRule type="containsText" dxfId="7860" priority="8845" operator="containsText" text="기타">
      <formula>NOT(ISERROR(SEARCH(("기타"),(G110))))</formula>
    </cfRule>
    <cfRule type="containsText" dxfId="7859" priority="8846" operator="containsText" text="프로젝트">
      <formula>NOT(ISERROR(SEARCH(("프로젝트"),(G110))))</formula>
    </cfRule>
    <cfRule type="containsText" dxfId="7858" priority="8847" operator="containsText" text="정규교과">
      <formula>NOT(ISERROR(SEARCH(("정규교과"),(G110))))</formula>
    </cfRule>
    <cfRule type="containsText" dxfId="7857" priority="8848" operator="containsText" text="기타">
      <formula>NOT(ISERROR(SEARCH(("기타"),(G110))))</formula>
    </cfRule>
    <cfRule type="containsText" dxfId="7856" priority="8849" operator="containsText" text="프로젝트">
      <formula>NOT(ISERROR(SEARCH(("프로젝트"),(G110))))</formula>
    </cfRule>
    <cfRule type="containsText" dxfId="7855" priority="8850" operator="containsText" text="정규교과">
      <formula>NOT(ISERROR(SEARCH(("정규교과"),(G110))))</formula>
    </cfRule>
    <cfRule type="containsText" dxfId="7854" priority="8851" operator="containsText" text="기타">
      <formula>NOT(ISERROR(SEARCH(("기타"),(G110))))</formula>
    </cfRule>
    <cfRule type="containsText" dxfId="7853" priority="8838" operator="containsText" text="정규교과">
      <formula>NOT(ISERROR(SEARCH(("정규교과"),(G110))))</formula>
    </cfRule>
    <cfRule type="containsText" dxfId="7852" priority="8840" operator="containsText" text="프로젝트">
      <formula>NOT(ISERROR(SEARCH(("프로젝트"),(G110))))</formula>
    </cfRule>
  </conditionalFormatting>
  <conditionalFormatting sqref="G114">
    <cfRule type="containsText" dxfId="7851" priority="8761" operator="containsText" text="정규교과">
      <formula>NOT(ISERROR(SEARCH(("정규교과"),(G114))))</formula>
    </cfRule>
    <cfRule type="containsText" dxfId="7850" priority="8768" operator="containsText" text="기타">
      <formula>NOT(ISERROR(SEARCH(("기타"),(G114))))</formula>
    </cfRule>
    <cfRule type="containsText" dxfId="7849" priority="8756" operator="containsText" text="휴강">
      <formula>NOT(ISERROR(SEARCH(("휴강"),(G114))))</formula>
    </cfRule>
    <cfRule type="containsText" dxfId="7848" priority="8757" operator="containsText" text="프로젝트">
      <formula>NOT(ISERROR(SEARCH(("프로젝트"),(G114))))</formula>
    </cfRule>
    <cfRule type="containsText" dxfId="7847" priority="8758" operator="containsText" text="정규교과">
      <formula>NOT(ISERROR(SEARCH(("정규교과"),(G114))))</formula>
    </cfRule>
    <cfRule type="containsText" dxfId="7846" priority="8759" operator="containsText" text="기타">
      <formula>NOT(ISERROR(SEARCH(("기타"),(G114))))</formula>
    </cfRule>
    <cfRule type="containsText" dxfId="7845" priority="8769" operator="containsText" text="프로젝트">
      <formula>NOT(ISERROR(SEARCH(("프로젝트"),(G114))))</formula>
    </cfRule>
    <cfRule type="containsText" dxfId="7844" priority="8762" operator="containsText" text="기타">
      <formula>NOT(ISERROR(SEARCH(("기타"),(G114))))</formula>
    </cfRule>
    <cfRule type="containsText" dxfId="7843" priority="8763" operator="containsText" text="프로젝트">
      <formula>NOT(ISERROR(SEARCH(("프로젝트"),(G114))))</formula>
    </cfRule>
    <cfRule type="containsText" dxfId="7842" priority="8766" operator="containsText" text="프로젝트">
      <formula>NOT(ISERROR(SEARCH(("프로젝트"),(G114))))</formula>
    </cfRule>
    <cfRule type="containsText" dxfId="7841" priority="8770" operator="containsText" text="정규교과">
      <formula>NOT(ISERROR(SEARCH(("정규교과"),(G114))))</formula>
    </cfRule>
    <cfRule type="containsText" dxfId="7840" priority="8771" operator="containsText" text="기타">
      <formula>NOT(ISERROR(SEARCH(("기타"),(G114))))</formula>
    </cfRule>
    <cfRule type="containsText" dxfId="7839" priority="8765" operator="containsText" text="기타">
      <formula>NOT(ISERROR(SEARCH(("기타"),(G114))))</formula>
    </cfRule>
    <cfRule type="containsText" dxfId="7838" priority="8760" operator="containsText" text="프로젝트">
      <formula>NOT(ISERROR(SEARCH(("프로젝트"),(G114))))</formula>
    </cfRule>
    <cfRule type="containsText" dxfId="7837" priority="8767" operator="containsText" text="정규교과">
      <formula>NOT(ISERROR(SEARCH(("정규교과"),(G114))))</formula>
    </cfRule>
    <cfRule type="containsText" dxfId="7836" priority="8764" operator="containsText" text="정규교과">
      <formula>NOT(ISERROR(SEARCH(("정규교과"),(G114))))</formula>
    </cfRule>
  </conditionalFormatting>
  <conditionalFormatting sqref="G118">
    <cfRule type="containsText" dxfId="7835" priority="8677" operator="containsText" text="프로젝트">
      <formula>NOT(ISERROR(SEARCH(("프로젝트"),(G118))))</formula>
    </cfRule>
    <cfRule type="containsText" dxfId="7834" priority="8691" operator="containsText" text="기타">
      <formula>NOT(ISERROR(SEARCH(("기타"),(G118))))</formula>
    </cfRule>
    <cfRule type="containsText" dxfId="7833" priority="8690" operator="containsText" text="정규교과">
      <formula>NOT(ISERROR(SEARCH(("정규교과"),(G118))))</formula>
    </cfRule>
    <cfRule type="containsText" dxfId="7832" priority="8676" operator="containsText" text="휴강">
      <formula>NOT(ISERROR(SEARCH(("휴강"),(G118))))</formula>
    </cfRule>
    <cfRule type="containsText" dxfId="7831" priority="8678" operator="containsText" text="정규교과">
      <formula>NOT(ISERROR(SEARCH(("정규교과"),(G118))))</formula>
    </cfRule>
    <cfRule type="containsText" dxfId="7830" priority="8689" operator="containsText" text="프로젝트">
      <formula>NOT(ISERROR(SEARCH(("프로젝트"),(G118))))</formula>
    </cfRule>
    <cfRule type="containsText" dxfId="7829" priority="8688" operator="containsText" text="기타">
      <formula>NOT(ISERROR(SEARCH(("기타"),(G118))))</formula>
    </cfRule>
    <cfRule type="containsText" dxfId="7828" priority="8687" operator="containsText" text="정규교과">
      <formula>NOT(ISERROR(SEARCH(("정규교과"),(G118))))</formula>
    </cfRule>
    <cfRule type="containsText" dxfId="7827" priority="8683" operator="containsText" text="프로젝트">
      <formula>NOT(ISERROR(SEARCH(("프로젝트"),(G118))))</formula>
    </cfRule>
    <cfRule type="containsText" dxfId="7826" priority="8686" operator="containsText" text="프로젝트">
      <formula>NOT(ISERROR(SEARCH(("프로젝트"),(G118))))</formula>
    </cfRule>
    <cfRule type="containsText" dxfId="7825" priority="8685" operator="containsText" text="기타">
      <formula>NOT(ISERROR(SEARCH(("기타"),(G118))))</formula>
    </cfRule>
    <cfRule type="containsText" dxfId="7824" priority="8684" operator="containsText" text="정규교과">
      <formula>NOT(ISERROR(SEARCH(("정규교과"),(G118))))</formula>
    </cfRule>
    <cfRule type="containsText" dxfId="7823" priority="8682" operator="containsText" text="기타">
      <formula>NOT(ISERROR(SEARCH(("기타"),(G118))))</formula>
    </cfRule>
    <cfRule type="containsText" dxfId="7822" priority="8681" operator="containsText" text="정규교과">
      <formula>NOT(ISERROR(SEARCH(("정규교과"),(G118))))</formula>
    </cfRule>
    <cfRule type="containsText" dxfId="7821" priority="8680" operator="containsText" text="프로젝트">
      <formula>NOT(ISERROR(SEARCH(("프로젝트"),(G118))))</formula>
    </cfRule>
    <cfRule type="containsText" dxfId="7820" priority="8679" operator="containsText" text="기타">
      <formula>NOT(ISERROR(SEARCH(("기타"),(G118))))</formula>
    </cfRule>
  </conditionalFormatting>
  <conditionalFormatting sqref="G123">
    <cfRule type="containsText" dxfId="7819" priority="8604" operator="containsText" text="정규교과">
      <formula>NOT(ISERROR(SEARCH(("정규교과"),(G123))))</formula>
    </cfRule>
    <cfRule type="containsText" dxfId="7818" priority="8596" operator="containsText" text="휴강">
      <formula>NOT(ISERROR(SEARCH(("휴강"),(G123))))</formula>
    </cfRule>
    <cfRule type="containsText" dxfId="7817" priority="8601" operator="containsText" text="정규교과">
      <formula>NOT(ISERROR(SEARCH(("정규교과"),(G123))))</formula>
    </cfRule>
    <cfRule type="containsText" dxfId="7816" priority="8597" operator="containsText" text="프로젝트">
      <formula>NOT(ISERROR(SEARCH(("프로젝트"),(G123))))</formula>
    </cfRule>
    <cfRule type="containsText" dxfId="7815" priority="8600" operator="containsText" text="프로젝트">
      <formula>NOT(ISERROR(SEARCH(("프로젝트"),(G123))))</formula>
    </cfRule>
    <cfRule type="containsText" dxfId="7814" priority="8599" operator="containsText" text="기타">
      <formula>NOT(ISERROR(SEARCH(("기타"),(G123))))</formula>
    </cfRule>
    <cfRule type="containsText" dxfId="7813" priority="8610" operator="containsText" text="정규교과">
      <formula>NOT(ISERROR(SEARCH(("정규교과"),(G123))))</formula>
    </cfRule>
    <cfRule type="containsText" dxfId="7812" priority="8598" operator="containsText" text="정규교과">
      <formula>NOT(ISERROR(SEARCH(("정규교과"),(G123))))</formula>
    </cfRule>
    <cfRule type="containsText" dxfId="7811" priority="8608" operator="containsText" text="기타">
      <formula>NOT(ISERROR(SEARCH(("기타"),(G123))))</formula>
    </cfRule>
    <cfRule type="containsText" dxfId="7810" priority="8605" operator="containsText" text="기타">
      <formula>NOT(ISERROR(SEARCH(("기타"),(G123))))</formula>
    </cfRule>
    <cfRule type="containsText" dxfId="7809" priority="8602" operator="containsText" text="기타">
      <formula>NOT(ISERROR(SEARCH(("기타"),(G123))))</formula>
    </cfRule>
    <cfRule type="containsText" dxfId="7808" priority="8603" operator="containsText" text="프로젝트">
      <formula>NOT(ISERROR(SEARCH(("프로젝트"),(G123))))</formula>
    </cfRule>
    <cfRule type="containsText" dxfId="7807" priority="8607" operator="containsText" text="정규교과">
      <formula>NOT(ISERROR(SEARCH(("정규교과"),(G123))))</formula>
    </cfRule>
    <cfRule type="containsText" dxfId="7806" priority="8606" operator="containsText" text="프로젝트">
      <formula>NOT(ISERROR(SEARCH(("프로젝트"),(G123))))</formula>
    </cfRule>
    <cfRule type="containsText" dxfId="7805" priority="8611" operator="containsText" text="기타">
      <formula>NOT(ISERROR(SEARCH(("기타"),(G123))))</formula>
    </cfRule>
    <cfRule type="containsText" dxfId="7804" priority="8609" operator="containsText" text="프로젝트">
      <formula>NOT(ISERROR(SEARCH(("프로젝트"),(G123))))</formula>
    </cfRule>
  </conditionalFormatting>
  <conditionalFormatting sqref="G127">
    <cfRule type="containsText" dxfId="7803" priority="8520" operator="containsText" text="프로젝트">
      <formula>NOT(ISERROR(SEARCH(("프로젝트"),(G127))))</formula>
    </cfRule>
    <cfRule type="containsText" dxfId="7802" priority="8521" operator="containsText" text="정규교과">
      <formula>NOT(ISERROR(SEARCH(("정규교과"),(G127))))</formula>
    </cfRule>
    <cfRule type="containsText" dxfId="7801" priority="8522" operator="containsText" text="기타">
      <formula>NOT(ISERROR(SEARCH(("기타"),(G127))))</formula>
    </cfRule>
    <cfRule type="containsText" dxfId="7800" priority="8524" operator="containsText" text="정규교과">
      <formula>NOT(ISERROR(SEARCH(("정규교과"),(G127))))</formula>
    </cfRule>
    <cfRule type="containsText" dxfId="7799" priority="8525" operator="containsText" text="기타">
      <formula>NOT(ISERROR(SEARCH(("기타"),(G127))))</formula>
    </cfRule>
    <cfRule type="containsText" dxfId="7798" priority="8526" operator="containsText" text="프로젝트">
      <formula>NOT(ISERROR(SEARCH(("프로젝트"),(G127))))</formula>
    </cfRule>
    <cfRule type="containsText" dxfId="7797" priority="8527" operator="containsText" text="정규교과">
      <formula>NOT(ISERROR(SEARCH(("정규교과"),(G127))))</formula>
    </cfRule>
    <cfRule type="containsText" dxfId="7796" priority="8528" operator="containsText" text="기타">
      <formula>NOT(ISERROR(SEARCH(("기타"),(G127))))</formula>
    </cfRule>
    <cfRule type="containsText" dxfId="7795" priority="8529" operator="containsText" text="프로젝트">
      <formula>NOT(ISERROR(SEARCH(("프로젝트"),(G127))))</formula>
    </cfRule>
    <cfRule type="containsText" dxfId="7794" priority="8530" operator="containsText" text="정규교과">
      <formula>NOT(ISERROR(SEARCH(("정규교과"),(G127))))</formula>
    </cfRule>
    <cfRule type="containsText" dxfId="7793" priority="8531" operator="containsText" text="기타">
      <formula>NOT(ISERROR(SEARCH(("기타"),(G127))))</formula>
    </cfRule>
    <cfRule type="containsText" dxfId="7792" priority="8523" operator="containsText" text="프로젝트">
      <formula>NOT(ISERROR(SEARCH(("프로젝트"),(G127))))</formula>
    </cfRule>
    <cfRule type="containsText" dxfId="7791" priority="8516" operator="containsText" text="휴강">
      <formula>NOT(ISERROR(SEARCH(("휴강"),(G127))))</formula>
    </cfRule>
    <cfRule type="containsText" dxfId="7790" priority="8517" operator="containsText" text="프로젝트">
      <formula>NOT(ISERROR(SEARCH(("프로젝트"),(G127))))</formula>
    </cfRule>
    <cfRule type="containsText" dxfId="7789" priority="8518" operator="containsText" text="정규교과">
      <formula>NOT(ISERROR(SEARCH(("정규교과"),(G127))))</formula>
    </cfRule>
    <cfRule type="containsText" dxfId="7788" priority="8519" operator="containsText" text="기타">
      <formula>NOT(ISERROR(SEARCH(("기타"),(G127))))</formula>
    </cfRule>
  </conditionalFormatting>
  <conditionalFormatting sqref="G131">
    <cfRule type="containsText" dxfId="7787" priority="8450" operator="containsText" text="정규교과">
      <formula>NOT(ISERROR(SEARCH(("정규교과"),(G131))))</formula>
    </cfRule>
    <cfRule type="containsText" dxfId="7786" priority="8449" operator="containsText" text="프로젝트">
      <formula>NOT(ISERROR(SEARCH(("프로젝트"),(G131))))</formula>
    </cfRule>
    <cfRule type="containsText" dxfId="7785" priority="8448" operator="containsText" text="기타">
      <formula>NOT(ISERROR(SEARCH(("기타"),(G131))))</formula>
    </cfRule>
    <cfRule type="containsText" dxfId="7784" priority="8447" operator="containsText" text="정규교과">
      <formula>NOT(ISERROR(SEARCH(("정규교과"),(G131))))</formula>
    </cfRule>
    <cfRule type="containsText" dxfId="7783" priority="8446" operator="containsText" text="프로젝트">
      <formula>NOT(ISERROR(SEARCH(("프로젝트"),(G131))))</formula>
    </cfRule>
    <cfRule type="containsText" dxfId="7782" priority="8445" operator="containsText" text="기타">
      <formula>NOT(ISERROR(SEARCH(("기타"),(G131))))</formula>
    </cfRule>
    <cfRule type="containsText" dxfId="7781" priority="8444" operator="containsText" text="정규교과">
      <formula>NOT(ISERROR(SEARCH(("정규교과"),(G131))))</formula>
    </cfRule>
    <cfRule type="containsText" dxfId="7780" priority="8443" operator="containsText" text="프로젝트">
      <formula>NOT(ISERROR(SEARCH(("프로젝트"),(G131))))</formula>
    </cfRule>
    <cfRule type="containsText" dxfId="7779" priority="8442" operator="containsText" text="기타">
      <formula>NOT(ISERROR(SEARCH(("기타"),(G131))))</formula>
    </cfRule>
    <cfRule type="containsText" dxfId="7778" priority="8441" operator="containsText" text="정규교과">
      <formula>NOT(ISERROR(SEARCH(("정규교과"),(G131))))</formula>
    </cfRule>
    <cfRule type="containsText" dxfId="7777" priority="8440" operator="containsText" text="프로젝트">
      <formula>NOT(ISERROR(SEARCH(("프로젝트"),(G131))))</formula>
    </cfRule>
    <cfRule type="containsText" dxfId="7776" priority="8437" operator="containsText" text="프로젝트">
      <formula>NOT(ISERROR(SEARCH(("프로젝트"),(G131))))</formula>
    </cfRule>
    <cfRule type="containsText" dxfId="7775" priority="8438" operator="containsText" text="정규교과">
      <formula>NOT(ISERROR(SEARCH(("정규교과"),(G131))))</formula>
    </cfRule>
    <cfRule type="containsText" dxfId="7774" priority="8439" operator="containsText" text="기타">
      <formula>NOT(ISERROR(SEARCH(("기타"),(G131))))</formula>
    </cfRule>
    <cfRule type="containsText" dxfId="7773" priority="8451" operator="containsText" text="기타">
      <formula>NOT(ISERROR(SEARCH(("기타"),(G131))))</formula>
    </cfRule>
    <cfRule type="containsText" dxfId="7772" priority="8436" operator="containsText" text="휴강">
      <formula>NOT(ISERROR(SEARCH(("휴강"),(G131))))</formula>
    </cfRule>
  </conditionalFormatting>
  <conditionalFormatting sqref="G135">
    <cfRule type="containsText" dxfId="7771" priority="8364" operator="containsText" text="정규교과">
      <formula>NOT(ISERROR(SEARCH(("정규교과"),(G135))))</formula>
    </cfRule>
    <cfRule type="containsText" dxfId="7770" priority="8370" operator="containsText" text="정규교과">
      <formula>NOT(ISERROR(SEARCH(("정규교과"),(G135))))</formula>
    </cfRule>
    <cfRule type="containsText" dxfId="7769" priority="8371" operator="containsText" text="기타">
      <formula>NOT(ISERROR(SEARCH(("기타"),(G135))))</formula>
    </cfRule>
    <cfRule type="containsText" dxfId="7768" priority="8356" operator="containsText" text="휴강">
      <formula>NOT(ISERROR(SEARCH(("휴강"),(G135))))</formula>
    </cfRule>
    <cfRule type="containsText" dxfId="7767" priority="8358" operator="containsText" text="정규교과">
      <formula>NOT(ISERROR(SEARCH(("정규교과"),(G135))))</formula>
    </cfRule>
    <cfRule type="containsText" dxfId="7766" priority="8357" operator="containsText" text="프로젝트">
      <formula>NOT(ISERROR(SEARCH(("프로젝트"),(G135))))</formula>
    </cfRule>
    <cfRule type="containsText" dxfId="7765" priority="8359" operator="containsText" text="기타">
      <formula>NOT(ISERROR(SEARCH(("기타"),(G135))))</formula>
    </cfRule>
    <cfRule type="containsText" dxfId="7764" priority="8360" operator="containsText" text="프로젝트">
      <formula>NOT(ISERROR(SEARCH(("프로젝트"),(G135))))</formula>
    </cfRule>
    <cfRule type="containsText" dxfId="7763" priority="8361" operator="containsText" text="정규교과">
      <formula>NOT(ISERROR(SEARCH(("정규교과"),(G135))))</formula>
    </cfRule>
    <cfRule type="containsText" dxfId="7762" priority="8362" operator="containsText" text="기타">
      <formula>NOT(ISERROR(SEARCH(("기타"),(G135))))</formula>
    </cfRule>
    <cfRule type="containsText" dxfId="7761" priority="8363" operator="containsText" text="프로젝트">
      <formula>NOT(ISERROR(SEARCH(("프로젝트"),(G135))))</formula>
    </cfRule>
    <cfRule type="containsText" dxfId="7760" priority="8365" operator="containsText" text="기타">
      <formula>NOT(ISERROR(SEARCH(("기타"),(G135))))</formula>
    </cfRule>
    <cfRule type="containsText" dxfId="7759" priority="8366" operator="containsText" text="프로젝트">
      <formula>NOT(ISERROR(SEARCH(("프로젝트"),(G135))))</formula>
    </cfRule>
    <cfRule type="containsText" dxfId="7758" priority="8367" operator="containsText" text="정규교과">
      <formula>NOT(ISERROR(SEARCH(("정규교과"),(G135))))</formula>
    </cfRule>
    <cfRule type="containsText" dxfId="7757" priority="8368" operator="containsText" text="기타">
      <formula>NOT(ISERROR(SEARCH(("기타"),(G135))))</formula>
    </cfRule>
    <cfRule type="containsText" dxfId="7756" priority="8369" operator="containsText" text="프로젝트">
      <formula>NOT(ISERROR(SEARCH(("프로젝트"),(G135))))</formula>
    </cfRule>
  </conditionalFormatting>
  <conditionalFormatting sqref="G139">
    <cfRule type="containsText" dxfId="7755" priority="8281" operator="containsText" text="정규교과">
      <formula>NOT(ISERROR(SEARCH(("정규교과"),(G139))))</formula>
    </cfRule>
    <cfRule type="containsText" dxfId="7754" priority="8280" operator="containsText" text="프로젝트">
      <formula>NOT(ISERROR(SEARCH(("프로젝트"),(G139))))</formula>
    </cfRule>
    <cfRule type="containsText" dxfId="7753" priority="8279" operator="containsText" text="기타">
      <formula>NOT(ISERROR(SEARCH(("기타"),(G139))))</formula>
    </cfRule>
    <cfRule type="containsText" dxfId="7752" priority="8278" operator="containsText" text="정규교과">
      <formula>NOT(ISERROR(SEARCH(("정규교과"),(G139))))</formula>
    </cfRule>
    <cfRule type="containsText" dxfId="7751" priority="8277" operator="containsText" text="프로젝트">
      <formula>NOT(ISERROR(SEARCH(("프로젝트"),(G139))))</formula>
    </cfRule>
    <cfRule type="containsText" dxfId="7750" priority="8276" operator="containsText" text="휴강">
      <formula>NOT(ISERROR(SEARCH(("휴강"),(G139))))</formula>
    </cfRule>
    <cfRule type="containsText" dxfId="7749" priority="8286" operator="containsText" text="프로젝트">
      <formula>NOT(ISERROR(SEARCH(("프로젝트"),(G139))))</formula>
    </cfRule>
    <cfRule type="containsText" dxfId="7748" priority="8285" operator="containsText" text="기타">
      <formula>NOT(ISERROR(SEARCH(("기타"),(G139))))</formula>
    </cfRule>
    <cfRule type="containsText" dxfId="7747" priority="8287" operator="containsText" text="정규교과">
      <formula>NOT(ISERROR(SEARCH(("정규교과"),(G139))))</formula>
    </cfRule>
    <cfRule type="containsText" dxfId="7746" priority="8288" operator="containsText" text="기타">
      <formula>NOT(ISERROR(SEARCH(("기타"),(G139))))</formula>
    </cfRule>
    <cfRule type="containsText" dxfId="7745" priority="8289" operator="containsText" text="프로젝트">
      <formula>NOT(ISERROR(SEARCH(("프로젝트"),(G139))))</formula>
    </cfRule>
    <cfRule type="containsText" dxfId="7744" priority="8290" operator="containsText" text="정규교과">
      <formula>NOT(ISERROR(SEARCH(("정규교과"),(G139))))</formula>
    </cfRule>
    <cfRule type="containsText" dxfId="7743" priority="8291" operator="containsText" text="기타">
      <formula>NOT(ISERROR(SEARCH(("기타"),(G139))))</formula>
    </cfRule>
    <cfRule type="containsText" dxfId="7742" priority="8282" operator="containsText" text="기타">
      <formula>NOT(ISERROR(SEARCH(("기타"),(G139))))</formula>
    </cfRule>
    <cfRule type="containsText" dxfId="7741" priority="8283" operator="containsText" text="프로젝트">
      <formula>NOT(ISERROR(SEARCH(("프로젝트"),(G139))))</formula>
    </cfRule>
    <cfRule type="containsText" dxfId="7740" priority="8284" operator="containsText" text="정규교과">
      <formula>NOT(ISERROR(SEARCH(("정규교과"),(G139))))</formula>
    </cfRule>
  </conditionalFormatting>
  <conditionalFormatting sqref="G145">
    <cfRule type="containsText" dxfId="7739" priority="6560" operator="containsText" text="휴강">
      <formula>NOT(ISERROR(SEARCH(("휴강"),(G145))))</formula>
    </cfRule>
    <cfRule type="containsText" dxfId="7738" priority="6561" operator="containsText" text="프로젝트">
      <formula>NOT(ISERROR(SEARCH(("프로젝트"),(G145))))</formula>
    </cfRule>
    <cfRule type="containsText" dxfId="7737" priority="6562" operator="containsText" text="정규교과">
      <formula>NOT(ISERROR(SEARCH(("정규교과"),(G145))))</formula>
    </cfRule>
    <cfRule type="containsText" dxfId="7736" priority="6563" operator="containsText" text="기타">
      <formula>NOT(ISERROR(SEARCH(("기타"),(G145))))</formula>
    </cfRule>
    <cfRule type="containsText" dxfId="7735" priority="6565" operator="containsText" text="정규교과">
      <formula>NOT(ISERROR(SEARCH(("정규교과"),(G145))))</formula>
    </cfRule>
    <cfRule type="containsText" dxfId="7734" priority="6566" operator="containsText" text="기타">
      <formula>NOT(ISERROR(SEARCH(("기타"),(G145))))</formula>
    </cfRule>
    <cfRule type="containsText" dxfId="7733" priority="6567" operator="containsText" text="프로젝트">
      <formula>NOT(ISERROR(SEARCH(("프로젝트"),(G145))))</formula>
    </cfRule>
    <cfRule type="containsText" dxfId="7732" priority="6573" operator="containsText" text="프로젝트">
      <formula>NOT(ISERROR(SEARCH(("프로젝트"),(G145))))</formula>
    </cfRule>
    <cfRule type="containsText" dxfId="7731" priority="6574" operator="containsText" text="정규교과">
      <formula>NOT(ISERROR(SEARCH(("정규교과"),(G145))))</formula>
    </cfRule>
    <cfRule type="containsText" dxfId="7730" priority="6568" operator="containsText" text="정규교과">
      <formula>NOT(ISERROR(SEARCH(("정규교과"),(G145))))</formula>
    </cfRule>
    <cfRule type="containsText" dxfId="7729" priority="6575" operator="containsText" text="기타">
      <formula>NOT(ISERROR(SEARCH(("기타"),(G145))))</formula>
    </cfRule>
    <cfRule type="containsText" dxfId="7728" priority="6571" operator="containsText" text="정규교과">
      <formula>NOT(ISERROR(SEARCH(("정규교과"),(G145))))</formula>
    </cfRule>
    <cfRule type="containsText" dxfId="7727" priority="6570" operator="containsText" text="프로젝트">
      <formula>NOT(ISERROR(SEARCH(("프로젝트"),(G145))))</formula>
    </cfRule>
    <cfRule type="containsText" dxfId="7726" priority="6569" operator="containsText" text="기타">
      <formula>NOT(ISERROR(SEARCH(("기타"),(G145))))</formula>
    </cfRule>
    <cfRule type="containsText" dxfId="7725" priority="6572" operator="containsText" text="기타">
      <formula>NOT(ISERROR(SEARCH(("기타"),(G145))))</formula>
    </cfRule>
    <cfRule type="containsText" dxfId="7724" priority="6564" operator="containsText" text="프로젝트">
      <formula>NOT(ISERROR(SEARCH(("프로젝트"),(G145))))</formula>
    </cfRule>
  </conditionalFormatting>
  <conditionalFormatting sqref="G149">
    <cfRule type="containsText" dxfId="7723" priority="6523" operator="containsText" text="정규교과">
      <formula>NOT(ISERROR(SEARCH(("정규교과"),(G149))))</formula>
    </cfRule>
    <cfRule type="containsText" dxfId="7722" priority="6527" operator="containsText" text="기타">
      <formula>NOT(ISERROR(SEARCH(("기타"),(G149))))</formula>
    </cfRule>
    <cfRule type="containsText" dxfId="7721" priority="6526" operator="containsText" text="정규교과">
      <formula>NOT(ISERROR(SEARCH(("정규교과"),(G149))))</formula>
    </cfRule>
    <cfRule type="containsText" dxfId="7720" priority="6525" operator="containsText" text="프로젝트">
      <formula>NOT(ISERROR(SEARCH(("프로젝트"),(G149))))</formula>
    </cfRule>
    <cfRule type="containsText" dxfId="7719" priority="6524" operator="containsText" text="기타">
      <formula>NOT(ISERROR(SEARCH(("기타"),(G149))))</formula>
    </cfRule>
    <cfRule type="containsText" dxfId="7718" priority="6522" operator="containsText" text="프로젝트">
      <formula>NOT(ISERROR(SEARCH(("프로젝트"),(G149))))</formula>
    </cfRule>
    <cfRule type="containsText" dxfId="7717" priority="6521" operator="containsText" text="기타">
      <formula>NOT(ISERROR(SEARCH(("기타"),(G149))))</formula>
    </cfRule>
    <cfRule type="containsText" dxfId="7716" priority="6520" operator="containsText" text="정규교과">
      <formula>NOT(ISERROR(SEARCH(("정규교과"),(G149))))</formula>
    </cfRule>
    <cfRule type="containsText" dxfId="7715" priority="6519" operator="containsText" text="프로젝트">
      <formula>NOT(ISERROR(SEARCH(("프로젝트"),(G149))))</formula>
    </cfRule>
    <cfRule type="containsText" dxfId="7714" priority="6518" operator="containsText" text="기타">
      <formula>NOT(ISERROR(SEARCH(("기타"),(G149))))</formula>
    </cfRule>
    <cfRule type="containsText" dxfId="7713" priority="6517" operator="containsText" text="정규교과">
      <formula>NOT(ISERROR(SEARCH(("정규교과"),(G149))))</formula>
    </cfRule>
    <cfRule type="containsText" dxfId="7712" priority="6516" operator="containsText" text="프로젝트">
      <formula>NOT(ISERROR(SEARCH(("프로젝트"),(G149))))</formula>
    </cfRule>
    <cfRule type="containsText" dxfId="7711" priority="6515" operator="containsText" text="기타">
      <formula>NOT(ISERROR(SEARCH(("기타"),(G149))))</formula>
    </cfRule>
    <cfRule type="containsText" dxfId="7710" priority="6512" operator="containsText" text="휴강">
      <formula>NOT(ISERROR(SEARCH(("휴강"),(G149))))</formula>
    </cfRule>
    <cfRule type="containsText" dxfId="7709" priority="6513" operator="containsText" text="프로젝트">
      <formula>NOT(ISERROR(SEARCH(("프로젝트"),(G149))))</formula>
    </cfRule>
    <cfRule type="containsText" dxfId="7708" priority="6514" operator="containsText" text="정규교과">
      <formula>NOT(ISERROR(SEARCH(("정규교과"),(G149))))</formula>
    </cfRule>
  </conditionalFormatting>
  <conditionalFormatting sqref="G153">
    <cfRule type="containsText" dxfId="7707" priority="6477" operator="containsText" text="프로젝트">
      <formula>NOT(ISERROR(SEARCH(("프로젝트"),(G153))))</formula>
    </cfRule>
    <cfRule type="containsText" dxfId="7706" priority="6476" operator="containsText" text="기타">
      <formula>NOT(ISERROR(SEARCH(("기타"),(G153))))</formula>
    </cfRule>
    <cfRule type="containsText" dxfId="7705" priority="6475" operator="containsText" text="정규교과">
      <formula>NOT(ISERROR(SEARCH(("정규교과"),(G153))))</formula>
    </cfRule>
    <cfRule type="containsText" dxfId="7704" priority="6474" operator="containsText" text="프로젝트">
      <formula>NOT(ISERROR(SEARCH(("프로젝트"),(G153))))</formula>
    </cfRule>
    <cfRule type="containsText" dxfId="7703" priority="6473" operator="containsText" text="기타">
      <formula>NOT(ISERROR(SEARCH(("기타"),(G153))))</formula>
    </cfRule>
    <cfRule type="containsText" dxfId="7702" priority="6472" operator="containsText" text="정규교과">
      <formula>NOT(ISERROR(SEARCH(("정규교과"),(G153))))</formula>
    </cfRule>
    <cfRule type="containsText" dxfId="7701" priority="6471" operator="containsText" text="프로젝트">
      <formula>NOT(ISERROR(SEARCH(("프로젝트"),(G153))))</formula>
    </cfRule>
    <cfRule type="containsText" dxfId="7700" priority="6478" operator="containsText" text="정규교과">
      <formula>NOT(ISERROR(SEARCH(("정규교과"),(G153))))</formula>
    </cfRule>
    <cfRule type="containsText" dxfId="7699" priority="6467" operator="containsText" text="기타">
      <formula>NOT(ISERROR(SEARCH(("기타"),(G153))))</formula>
    </cfRule>
    <cfRule type="containsText" dxfId="7698" priority="6464" operator="containsText" text="휴강">
      <formula>NOT(ISERROR(SEARCH(("휴강"),(G153))))</formula>
    </cfRule>
    <cfRule type="containsText" dxfId="7697" priority="6466" operator="containsText" text="정규교과">
      <formula>NOT(ISERROR(SEARCH(("정규교과"),(G153))))</formula>
    </cfRule>
    <cfRule type="containsText" dxfId="7696" priority="6479" operator="containsText" text="기타">
      <formula>NOT(ISERROR(SEARCH(("기타"),(G153))))</formula>
    </cfRule>
    <cfRule type="containsText" dxfId="7695" priority="6468" operator="containsText" text="프로젝트">
      <formula>NOT(ISERROR(SEARCH(("프로젝트"),(G153))))</formula>
    </cfRule>
    <cfRule type="containsText" dxfId="7694" priority="6469" operator="containsText" text="정규교과">
      <formula>NOT(ISERROR(SEARCH(("정규교과"),(G153))))</formula>
    </cfRule>
    <cfRule type="containsText" dxfId="7693" priority="6465" operator="containsText" text="프로젝트">
      <formula>NOT(ISERROR(SEARCH(("프로젝트"),(G153))))</formula>
    </cfRule>
    <cfRule type="containsText" dxfId="7692" priority="6470" operator="containsText" text="기타">
      <formula>NOT(ISERROR(SEARCH(("기타"),(G153))))</formula>
    </cfRule>
  </conditionalFormatting>
  <conditionalFormatting sqref="G158">
    <cfRule type="containsText" dxfId="7691" priority="6428" operator="containsText" text="기타">
      <formula>NOT(ISERROR(SEARCH(("기타"),(G158))))</formula>
    </cfRule>
    <cfRule type="containsText" dxfId="7690" priority="6430" operator="containsText" text="정규교과">
      <formula>NOT(ISERROR(SEARCH(("정규교과"),(G158))))</formula>
    </cfRule>
    <cfRule type="containsText" dxfId="7689" priority="6431" operator="containsText" text="기타">
      <formula>NOT(ISERROR(SEARCH(("기타"),(G158))))</formula>
    </cfRule>
    <cfRule type="containsText" dxfId="7688" priority="6416" operator="containsText" text="휴강">
      <formula>NOT(ISERROR(SEARCH(("휴강"),(G158))))</formula>
    </cfRule>
    <cfRule type="containsText" dxfId="7687" priority="6417" operator="containsText" text="프로젝트">
      <formula>NOT(ISERROR(SEARCH(("프로젝트"),(G158))))</formula>
    </cfRule>
    <cfRule type="containsText" dxfId="7686" priority="6418" operator="containsText" text="정규교과">
      <formula>NOT(ISERROR(SEARCH(("정규교과"),(G158))))</formula>
    </cfRule>
    <cfRule type="containsText" dxfId="7685" priority="6419" operator="containsText" text="기타">
      <formula>NOT(ISERROR(SEARCH(("기타"),(G158))))</formula>
    </cfRule>
    <cfRule type="containsText" dxfId="7684" priority="6420" operator="containsText" text="프로젝트">
      <formula>NOT(ISERROR(SEARCH(("프로젝트"),(G158))))</formula>
    </cfRule>
    <cfRule type="containsText" dxfId="7683" priority="6421" operator="containsText" text="정규교과">
      <formula>NOT(ISERROR(SEARCH(("정규교과"),(G158))))</formula>
    </cfRule>
    <cfRule type="containsText" dxfId="7682" priority="6422" operator="containsText" text="기타">
      <formula>NOT(ISERROR(SEARCH(("기타"),(G158))))</formula>
    </cfRule>
    <cfRule type="containsText" dxfId="7681" priority="6423" operator="containsText" text="프로젝트">
      <formula>NOT(ISERROR(SEARCH(("프로젝트"),(G158))))</formula>
    </cfRule>
    <cfRule type="containsText" dxfId="7680" priority="6424" operator="containsText" text="정규교과">
      <formula>NOT(ISERROR(SEARCH(("정규교과"),(G158))))</formula>
    </cfRule>
    <cfRule type="containsText" dxfId="7679" priority="6425" operator="containsText" text="기타">
      <formula>NOT(ISERROR(SEARCH(("기타"),(G158))))</formula>
    </cfRule>
    <cfRule type="containsText" dxfId="7678" priority="6426" operator="containsText" text="프로젝트">
      <formula>NOT(ISERROR(SEARCH(("프로젝트"),(G158))))</formula>
    </cfRule>
    <cfRule type="containsText" dxfId="7677" priority="6427" operator="containsText" text="정규교과">
      <formula>NOT(ISERROR(SEARCH(("정규교과"),(G158))))</formula>
    </cfRule>
    <cfRule type="containsText" dxfId="7676" priority="6429" operator="containsText" text="프로젝트">
      <formula>NOT(ISERROR(SEARCH(("프로젝트"),(G158))))</formula>
    </cfRule>
  </conditionalFormatting>
  <conditionalFormatting sqref="G162">
    <cfRule type="containsText" dxfId="7675" priority="6368" operator="containsText" text="휴강">
      <formula>NOT(ISERROR(SEARCH(("휴강"),(G162))))</formula>
    </cfRule>
    <cfRule type="containsText" dxfId="7674" priority="6369" operator="containsText" text="프로젝트">
      <formula>NOT(ISERROR(SEARCH(("프로젝트"),(G162))))</formula>
    </cfRule>
    <cfRule type="containsText" dxfId="7673" priority="6383" operator="containsText" text="기타">
      <formula>NOT(ISERROR(SEARCH(("기타"),(G162))))</formula>
    </cfRule>
    <cfRule type="containsText" dxfId="7672" priority="6374" operator="containsText" text="기타">
      <formula>NOT(ISERROR(SEARCH(("기타"),(G162))))</formula>
    </cfRule>
    <cfRule type="containsText" dxfId="7671" priority="6381" operator="containsText" text="프로젝트">
      <formula>NOT(ISERROR(SEARCH(("프로젝트"),(G162))))</formula>
    </cfRule>
    <cfRule type="containsText" dxfId="7670" priority="6380" operator="containsText" text="기타">
      <formula>NOT(ISERROR(SEARCH(("기타"),(G162))))</formula>
    </cfRule>
    <cfRule type="containsText" dxfId="7669" priority="6373" operator="containsText" text="정규교과">
      <formula>NOT(ISERROR(SEARCH(("정규교과"),(G162))))</formula>
    </cfRule>
    <cfRule type="containsText" dxfId="7668" priority="6372" operator="containsText" text="프로젝트">
      <formula>NOT(ISERROR(SEARCH(("프로젝트"),(G162))))</formula>
    </cfRule>
    <cfRule type="containsText" dxfId="7667" priority="6371" operator="containsText" text="기타">
      <formula>NOT(ISERROR(SEARCH(("기타"),(G162))))</formula>
    </cfRule>
    <cfRule type="containsText" dxfId="7666" priority="6376" operator="containsText" text="정규교과">
      <formula>NOT(ISERROR(SEARCH(("정규교과"),(G162))))</formula>
    </cfRule>
    <cfRule type="containsText" dxfId="7665" priority="6370" operator="containsText" text="정규교과">
      <formula>NOT(ISERROR(SEARCH(("정규교과"),(G162))))</formula>
    </cfRule>
    <cfRule type="containsText" dxfId="7664" priority="6375" operator="containsText" text="프로젝트">
      <formula>NOT(ISERROR(SEARCH(("프로젝트"),(G162))))</formula>
    </cfRule>
    <cfRule type="containsText" dxfId="7663" priority="6379" operator="containsText" text="정규교과">
      <formula>NOT(ISERROR(SEARCH(("정규교과"),(G162))))</formula>
    </cfRule>
    <cfRule type="containsText" dxfId="7662" priority="6378" operator="containsText" text="프로젝트">
      <formula>NOT(ISERROR(SEARCH(("프로젝트"),(G162))))</formula>
    </cfRule>
    <cfRule type="containsText" dxfId="7661" priority="6377" operator="containsText" text="기타">
      <formula>NOT(ISERROR(SEARCH(("기타"),(G162))))</formula>
    </cfRule>
    <cfRule type="containsText" dxfId="7660" priority="6382" operator="containsText" text="정규교과">
      <formula>NOT(ISERROR(SEARCH(("정규교과"),(G162))))</formula>
    </cfRule>
  </conditionalFormatting>
  <conditionalFormatting sqref="G166">
    <cfRule type="containsText" dxfId="7659" priority="6330" operator="containsText" text="프로젝트">
      <formula>NOT(ISERROR(SEARCH(("프로젝트"),(G166))))</formula>
    </cfRule>
    <cfRule type="containsText" dxfId="7658" priority="6329" operator="containsText" text="기타">
      <formula>NOT(ISERROR(SEARCH(("기타"),(G166))))</formula>
    </cfRule>
    <cfRule type="containsText" dxfId="7657" priority="6328" operator="containsText" text="정규교과">
      <formula>NOT(ISERROR(SEARCH(("정규교과"),(G166))))</formula>
    </cfRule>
    <cfRule type="containsText" dxfId="7656" priority="6327" operator="containsText" text="프로젝트">
      <formula>NOT(ISERROR(SEARCH(("프로젝트"),(G166))))</formula>
    </cfRule>
    <cfRule type="containsText" dxfId="7655" priority="6326" operator="containsText" text="기타">
      <formula>NOT(ISERROR(SEARCH(("기타"),(G166))))</formula>
    </cfRule>
    <cfRule type="containsText" dxfId="7654" priority="6324" operator="containsText" text="프로젝트">
      <formula>NOT(ISERROR(SEARCH(("프로젝트"),(G166))))</formula>
    </cfRule>
    <cfRule type="containsText" dxfId="7653" priority="6323" operator="containsText" text="기타">
      <formula>NOT(ISERROR(SEARCH(("기타"),(G166))))</formula>
    </cfRule>
    <cfRule type="containsText" dxfId="7652" priority="6322" operator="containsText" text="정규교과">
      <formula>NOT(ISERROR(SEARCH(("정규교과"),(G166))))</formula>
    </cfRule>
    <cfRule type="containsText" dxfId="7651" priority="6321" operator="containsText" text="프로젝트">
      <formula>NOT(ISERROR(SEARCH(("프로젝트"),(G166))))</formula>
    </cfRule>
    <cfRule type="containsText" dxfId="7650" priority="6320" operator="containsText" text="휴강">
      <formula>NOT(ISERROR(SEARCH(("휴강"),(G166))))</formula>
    </cfRule>
    <cfRule type="containsText" dxfId="7649" priority="6325" operator="containsText" text="정규교과">
      <formula>NOT(ISERROR(SEARCH(("정규교과"),(G166))))</formula>
    </cfRule>
    <cfRule type="containsText" dxfId="7648" priority="6335" operator="containsText" text="기타">
      <formula>NOT(ISERROR(SEARCH(("기타"),(G166))))</formula>
    </cfRule>
    <cfRule type="containsText" dxfId="7647" priority="6334" operator="containsText" text="정규교과">
      <formula>NOT(ISERROR(SEARCH(("정규교과"),(G166))))</formula>
    </cfRule>
    <cfRule type="containsText" dxfId="7646" priority="6333" operator="containsText" text="프로젝트">
      <formula>NOT(ISERROR(SEARCH(("프로젝트"),(G166))))</formula>
    </cfRule>
    <cfRule type="containsText" dxfId="7645" priority="6332" operator="containsText" text="기타">
      <formula>NOT(ISERROR(SEARCH(("기타"),(G166))))</formula>
    </cfRule>
    <cfRule type="containsText" dxfId="7644" priority="6331" operator="containsText" text="정규교과">
      <formula>NOT(ISERROR(SEARCH(("정규교과"),(G166))))</formula>
    </cfRule>
  </conditionalFormatting>
  <conditionalFormatting sqref="G170">
    <cfRule type="containsText" dxfId="7643" priority="6285" operator="containsText" text="프로젝트">
      <formula>NOT(ISERROR(SEARCH(("프로젝트"),(G170))))</formula>
    </cfRule>
    <cfRule type="containsText" dxfId="7642" priority="6274" operator="containsText" text="정규교과">
      <formula>NOT(ISERROR(SEARCH(("정규교과"),(G170))))</formula>
    </cfRule>
    <cfRule type="containsText" dxfId="7641" priority="6273" operator="containsText" text="프로젝트">
      <formula>NOT(ISERROR(SEARCH(("프로젝트"),(G170))))</formula>
    </cfRule>
    <cfRule type="containsText" dxfId="7640" priority="6272" operator="containsText" text="휴강">
      <formula>NOT(ISERROR(SEARCH(("휴강"),(G170))))</formula>
    </cfRule>
    <cfRule type="containsText" dxfId="7639" priority="6281" operator="containsText" text="기타">
      <formula>NOT(ISERROR(SEARCH(("기타"),(G170))))</formula>
    </cfRule>
    <cfRule type="containsText" dxfId="7638" priority="6286" operator="containsText" text="정규교과">
      <formula>NOT(ISERROR(SEARCH(("정규교과"),(G170))))</formula>
    </cfRule>
    <cfRule type="containsText" dxfId="7637" priority="6287" operator="containsText" text="기타">
      <formula>NOT(ISERROR(SEARCH(("기타"),(G170))))</formula>
    </cfRule>
    <cfRule type="containsText" dxfId="7636" priority="6282" operator="containsText" text="프로젝트">
      <formula>NOT(ISERROR(SEARCH(("프로젝트"),(G170))))</formula>
    </cfRule>
    <cfRule type="containsText" dxfId="7635" priority="6280" operator="containsText" text="정규교과">
      <formula>NOT(ISERROR(SEARCH(("정규교과"),(G170))))</formula>
    </cfRule>
    <cfRule type="containsText" dxfId="7634" priority="6279" operator="containsText" text="프로젝트">
      <formula>NOT(ISERROR(SEARCH(("프로젝트"),(G170))))</formula>
    </cfRule>
    <cfRule type="containsText" dxfId="7633" priority="6278" operator="containsText" text="기타">
      <formula>NOT(ISERROR(SEARCH(("기타"),(G170))))</formula>
    </cfRule>
    <cfRule type="containsText" dxfId="7632" priority="6277" operator="containsText" text="정규교과">
      <formula>NOT(ISERROR(SEARCH(("정규교과"),(G170))))</formula>
    </cfRule>
    <cfRule type="containsText" dxfId="7631" priority="6276" operator="containsText" text="프로젝트">
      <formula>NOT(ISERROR(SEARCH(("프로젝트"),(G170))))</formula>
    </cfRule>
    <cfRule type="containsText" dxfId="7630" priority="6275" operator="containsText" text="기타">
      <formula>NOT(ISERROR(SEARCH(("기타"),(G170))))</formula>
    </cfRule>
    <cfRule type="containsText" dxfId="7629" priority="6283" operator="containsText" text="정규교과">
      <formula>NOT(ISERROR(SEARCH(("정규교과"),(G170))))</formula>
    </cfRule>
    <cfRule type="containsText" dxfId="7628" priority="6284" operator="containsText" text="기타">
      <formula>NOT(ISERROR(SEARCH(("기타"),(G170))))</formula>
    </cfRule>
  </conditionalFormatting>
  <conditionalFormatting sqref="G174">
    <cfRule type="containsText" dxfId="7627" priority="6236" operator="containsText" text="기타">
      <formula>NOT(ISERROR(SEARCH(("기타"),(G174))))</formula>
    </cfRule>
    <cfRule type="containsText" dxfId="7626" priority="6239" operator="containsText" text="기타">
      <formula>NOT(ISERROR(SEARCH(("기타"),(G174))))</formula>
    </cfRule>
    <cfRule type="containsText" dxfId="7625" priority="6238" operator="containsText" text="정규교과">
      <formula>NOT(ISERROR(SEARCH(("정규교과"),(G174))))</formula>
    </cfRule>
    <cfRule type="containsText" dxfId="7624" priority="6237" operator="containsText" text="프로젝트">
      <formula>NOT(ISERROR(SEARCH(("프로젝트"),(G174))))</formula>
    </cfRule>
    <cfRule type="containsText" dxfId="7623" priority="6235" operator="containsText" text="정규교과">
      <formula>NOT(ISERROR(SEARCH(("정규교과"),(G174))))</formula>
    </cfRule>
    <cfRule type="containsText" dxfId="7622" priority="6234" operator="containsText" text="프로젝트">
      <formula>NOT(ISERROR(SEARCH(("프로젝트"),(G174))))</formula>
    </cfRule>
    <cfRule type="containsText" dxfId="7621" priority="6232" operator="containsText" text="정규교과">
      <formula>NOT(ISERROR(SEARCH(("정규교과"),(G174))))</formula>
    </cfRule>
    <cfRule type="containsText" dxfId="7620" priority="6231" operator="containsText" text="프로젝트">
      <formula>NOT(ISERROR(SEARCH(("프로젝트"),(G174))))</formula>
    </cfRule>
    <cfRule type="containsText" dxfId="7619" priority="6230" operator="containsText" text="기타">
      <formula>NOT(ISERROR(SEARCH(("기타"),(G174))))</formula>
    </cfRule>
    <cfRule type="containsText" dxfId="7618" priority="6229" operator="containsText" text="정규교과">
      <formula>NOT(ISERROR(SEARCH(("정규교과"),(G174))))</formula>
    </cfRule>
    <cfRule type="containsText" dxfId="7617" priority="6227" operator="containsText" text="기타">
      <formula>NOT(ISERROR(SEARCH(("기타"),(G174))))</formula>
    </cfRule>
    <cfRule type="containsText" dxfId="7616" priority="6226" operator="containsText" text="정규교과">
      <formula>NOT(ISERROR(SEARCH(("정규교과"),(G174))))</formula>
    </cfRule>
    <cfRule type="containsText" dxfId="7615" priority="6225" operator="containsText" text="프로젝트">
      <formula>NOT(ISERROR(SEARCH(("프로젝트"),(G174))))</formula>
    </cfRule>
    <cfRule type="containsText" dxfId="7614" priority="6224" operator="containsText" text="휴강">
      <formula>NOT(ISERROR(SEARCH(("휴강"),(G174))))</formula>
    </cfRule>
    <cfRule type="containsText" dxfId="7613" priority="6228" operator="containsText" text="프로젝트">
      <formula>NOT(ISERROR(SEARCH(("프로젝트"),(G174))))</formula>
    </cfRule>
    <cfRule type="containsText" dxfId="7612" priority="6233" operator="containsText" text="기타">
      <formula>NOT(ISERROR(SEARCH(("기타"),(G174))))</formula>
    </cfRule>
  </conditionalFormatting>
  <conditionalFormatting sqref="G232">
    <cfRule type="containsText" dxfId="7611" priority="4415" operator="containsText" text="정규교과">
      <formula>NOT(ISERROR(SEARCH(("정규교과"),(G232))))</formula>
    </cfRule>
    <cfRule type="containsText" dxfId="7610" priority="4416" operator="containsText" text="기타">
      <formula>NOT(ISERROR(SEARCH(("기타"),(G232))))</formula>
    </cfRule>
    <cfRule type="containsText" dxfId="7609" priority="4417" operator="containsText" text="프로젝트">
      <formula>NOT(ISERROR(SEARCH(("프로젝트"),(G232))))</formula>
    </cfRule>
    <cfRule type="containsText" dxfId="7608" priority="4434" operator="containsText" text="정규교과">
      <formula>NOT(ISERROR(SEARCH(("정규교과"),(G232))))</formula>
    </cfRule>
    <cfRule type="containsText" dxfId="7607" priority="4412" operator="containsText" text="정규교과">
      <formula>NOT(ISERROR(SEARCH(("정규교과"),(G232))))</formula>
    </cfRule>
    <cfRule type="containsText" dxfId="7606" priority="4413" operator="containsText" text="기타">
      <formula>NOT(ISERROR(SEARCH(("기타"),(G232))))</formula>
    </cfRule>
    <cfRule type="containsText" dxfId="7605" priority="4409" operator="containsText" text="정규교과">
      <formula>NOT(ISERROR(SEARCH(("정규교과"),(G232))))</formula>
    </cfRule>
    <cfRule type="containsText" dxfId="7604" priority="4408" operator="containsText" text="프로젝트">
      <formula>NOT(ISERROR(SEARCH(("프로젝트"),(G232))))</formula>
    </cfRule>
    <cfRule type="containsText" dxfId="7603" priority="4435" operator="containsText" text="기타">
      <formula>NOT(ISERROR(SEARCH(("기타"),(G232))))</formula>
    </cfRule>
    <cfRule type="containsText" dxfId="7602" priority="4414" operator="containsText" text="프로젝트">
      <formula>NOT(ISERROR(SEARCH(("프로젝트"),(G232))))</formula>
    </cfRule>
    <cfRule type="containsText" dxfId="7601" priority="4432" operator="containsText" text="기타">
      <formula>NOT(ISERROR(SEARCH(("기타"),(G232))))</formula>
    </cfRule>
    <cfRule type="containsText" dxfId="7600" priority="4411" operator="containsText" text="프로젝트">
      <formula>NOT(ISERROR(SEARCH(("프로젝트"),(G232))))</formula>
    </cfRule>
    <cfRule type="containsText" dxfId="7599" priority="4433" operator="containsText" text="프로젝트">
      <formula>NOT(ISERROR(SEARCH(("프로젝트"),(G232))))</formula>
    </cfRule>
    <cfRule type="containsText" dxfId="7598" priority="4421" operator="containsText" text="프로젝트">
      <formula>NOT(ISERROR(SEARCH(("프로젝트"),(G232))))</formula>
    </cfRule>
    <cfRule type="containsText" dxfId="7597" priority="4428" operator="containsText" text="정규교과">
      <formula>NOT(ISERROR(SEARCH(("정규교과"),(G232))))</formula>
    </cfRule>
    <cfRule type="containsText" dxfId="7596" priority="4427" operator="containsText" text="프로젝트">
      <formula>NOT(ISERROR(SEARCH(("프로젝트"),(G232))))</formula>
    </cfRule>
    <cfRule type="containsText" dxfId="7595" priority="4426" operator="containsText" text="기타">
      <formula>NOT(ISERROR(SEARCH(("기타"),(G232))))</formula>
    </cfRule>
    <cfRule type="containsText" dxfId="7594" priority="4410" operator="containsText" text="기타">
      <formula>NOT(ISERROR(SEARCH(("기타"),(G232))))</formula>
    </cfRule>
    <cfRule type="containsText" dxfId="7593" priority="4431" operator="containsText" text="정규교과">
      <formula>NOT(ISERROR(SEARCH(("정규교과"),(G232))))</formula>
    </cfRule>
    <cfRule type="containsText" dxfId="7592" priority="4424" operator="containsText" text="프로젝트">
      <formula>NOT(ISERROR(SEARCH(("프로젝트"),(G232))))</formula>
    </cfRule>
    <cfRule type="containsText" dxfId="7591" priority="4423" operator="containsText" text="기타">
      <formula>NOT(ISERROR(SEARCH(("기타"),(G232))))</formula>
    </cfRule>
    <cfRule type="containsText" dxfId="7590" priority="4430" operator="containsText" text="프로젝트">
      <formula>NOT(ISERROR(SEARCH(("프로젝트"),(G232))))</formula>
    </cfRule>
    <cfRule type="containsText" dxfId="7589" priority="4420" operator="containsText" text="휴강">
      <formula>NOT(ISERROR(SEARCH(("휴강"),(G232))))</formula>
    </cfRule>
    <cfRule type="containsText" dxfId="7588" priority="4429" operator="containsText" text="기타">
      <formula>NOT(ISERROR(SEARCH(("기타"),(G232))))</formula>
    </cfRule>
    <cfRule type="containsText" dxfId="7587" priority="4419" operator="containsText" text="기타">
      <formula>NOT(ISERROR(SEARCH(("기타"),(G232))))</formula>
    </cfRule>
    <cfRule type="containsText" dxfId="7586" priority="4418" operator="containsText" text="정규교과">
      <formula>NOT(ISERROR(SEARCH(("정규교과"),(G232))))</formula>
    </cfRule>
    <cfRule type="containsText" dxfId="7585" priority="4425" operator="containsText" text="정규교과">
      <formula>NOT(ISERROR(SEARCH(("정규교과"),(G232))))</formula>
    </cfRule>
    <cfRule type="containsText" dxfId="7584" priority="4422" operator="containsText" text="정규교과">
      <formula>NOT(ISERROR(SEARCH(("정규교과"),(G232))))</formula>
    </cfRule>
  </conditionalFormatting>
  <conditionalFormatting sqref="G236">
    <cfRule type="containsText" dxfId="7583" priority="4406" operator="containsText" text="정규교과">
      <formula>NOT(ISERROR(SEARCH(("정규교과"),(G236))))</formula>
    </cfRule>
    <cfRule type="containsText" dxfId="7582" priority="4407" operator="containsText" text="기타">
      <formula>NOT(ISERROR(SEARCH(("기타"),(G236))))</formula>
    </cfRule>
    <cfRule type="containsText" dxfId="7581" priority="4394" operator="containsText" text="정규교과">
      <formula>NOT(ISERROR(SEARCH(("정규교과"),(G236))))</formula>
    </cfRule>
    <cfRule type="containsText" dxfId="7580" priority="4389" operator="containsText" text="프로젝트">
      <formula>NOT(ISERROR(SEARCH(("프로젝트"),(G236))))</formula>
    </cfRule>
    <cfRule type="containsText" dxfId="7579" priority="4390" operator="containsText" text="정규교과">
      <formula>NOT(ISERROR(SEARCH(("정규교과"),(G236))))</formula>
    </cfRule>
    <cfRule type="containsText" dxfId="7578" priority="4391" operator="containsText" text="기타">
      <formula>NOT(ISERROR(SEARCH(("기타"),(G236))))</formula>
    </cfRule>
    <cfRule type="containsText" dxfId="7577" priority="4392" operator="containsText" text="휴강">
      <formula>NOT(ISERROR(SEARCH(("휴강"),(G236))))</formula>
    </cfRule>
    <cfRule type="containsText" dxfId="7576" priority="4395" operator="containsText" text="기타">
      <formula>NOT(ISERROR(SEARCH(("기타"),(G236))))</formula>
    </cfRule>
    <cfRule type="containsText" dxfId="7575" priority="4384" operator="containsText" text="정규교과">
      <formula>NOT(ISERROR(SEARCH(("정규교과"),(G236))))</formula>
    </cfRule>
    <cfRule type="containsText" dxfId="7574" priority="4396" operator="containsText" text="프로젝트">
      <formula>NOT(ISERROR(SEARCH(("프로젝트"),(G236))))</formula>
    </cfRule>
    <cfRule type="containsText" dxfId="7573" priority="4397" operator="containsText" text="정규교과">
      <formula>NOT(ISERROR(SEARCH(("정규교과"),(G236))))</formula>
    </cfRule>
    <cfRule type="containsText" dxfId="7572" priority="4398" operator="containsText" text="기타">
      <formula>NOT(ISERROR(SEARCH(("기타"),(G236))))</formula>
    </cfRule>
    <cfRule type="containsText" dxfId="7571" priority="4399" operator="containsText" text="프로젝트">
      <formula>NOT(ISERROR(SEARCH(("프로젝트"),(G236))))</formula>
    </cfRule>
    <cfRule type="containsText" dxfId="7570" priority="4404" operator="containsText" text="기타">
      <formula>NOT(ISERROR(SEARCH(("기타"),(G236))))</formula>
    </cfRule>
    <cfRule type="containsText" dxfId="7569" priority="4400" operator="containsText" text="정규교과">
      <formula>NOT(ISERROR(SEARCH(("정규교과"),(G236))))</formula>
    </cfRule>
    <cfRule type="containsText" dxfId="7568" priority="4401" operator="containsText" text="기타">
      <formula>NOT(ISERROR(SEARCH(("기타"),(G236))))</formula>
    </cfRule>
    <cfRule type="containsText" dxfId="7567" priority="4402" operator="containsText" text="프로젝트">
      <formula>NOT(ISERROR(SEARCH(("프로젝트"),(G236))))</formula>
    </cfRule>
    <cfRule type="containsText" dxfId="7566" priority="4403" operator="containsText" text="정규교과">
      <formula>NOT(ISERROR(SEARCH(("정규교과"),(G236))))</formula>
    </cfRule>
    <cfRule type="containsText" dxfId="7565" priority="4382" operator="containsText" text="기타">
      <formula>NOT(ISERROR(SEARCH(("기타"),(G236))))</formula>
    </cfRule>
    <cfRule type="containsText" dxfId="7564" priority="4380" operator="containsText" text="프로젝트">
      <formula>NOT(ISERROR(SEARCH(("프로젝트"),(G236))))</formula>
    </cfRule>
    <cfRule type="containsText" dxfId="7563" priority="4381" operator="containsText" text="정규교과">
      <formula>NOT(ISERROR(SEARCH(("정규교과"),(G236))))</formula>
    </cfRule>
    <cfRule type="containsText" dxfId="7562" priority="4383" operator="containsText" text="프로젝트">
      <formula>NOT(ISERROR(SEARCH(("프로젝트"),(G236))))</formula>
    </cfRule>
    <cfRule type="containsText" dxfId="7561" priority="4393" operator="containsText" text="프로젝트">
      <formula>NOT(ISERROR(SEARCH(("프로젝트"),(G236))))</formula>
    </cfRule>
    <cfRule type="containsText" dxfId="7560" priority="4405" operator="containsText" text="프로젝트">
      <formula>NOT(ISERROR(SEARCH(("프로젝트"),(G236))))</formula>
    </cfRule>
    <cfRule type="containsText" dxfId="7559" priority="4388" operator="containsText" text="기타">
      <formula>NOT(ISERROR(SEARCH(("기타"),(G236))))</formula>
    </cfRule>
    <cfRule type="containsText" dxfId="7558" priority="4387" operator="containsText" text="정규교과">
      <formula>NOT(ISERROR(SEARCH(("정규교과"),(G236))))</formula>
    </cfRule>
    <cfRule type="containsText" dxfId="7557" priority="4386" operator="containsText" text="프로젝트">
      <formula>NOT(ISERROR(SEARCH(("프로젝트"),(G236))))</formula>
    </cfRule>
    <cfRule type="containsText" dxfId="7556" priority="4385" operator="containsText" text="기타">
      <formula>NOT(ISERROR(SEARCH(("기타"),(G236))))</formula>
    </cfRule>
  </conditionalFormatting>
  <conditionalFormatting sqref="G240">
    <cfRule type="containsText" dxfId="7555" priority="4354" operator="containsText" text="기타">
      <formula>NOT(ISERROR(SEARCH(("기타"),(G240))))</formula>
    </cfRule>
    <cfRule type="containsText" dxfId="7554" priority="4364" operator="containsText" text="휴강">
      <formula>NOT(ISERROR(SEARCH(("휴강"),(G240))))</formula>
    </cfRule>
    <cfRule type="containsText" dxfId="7553" priority="4352" operator="containsText" text="프로젝트">
      <formula>NOT(ISERROR(SEARCH(("프로젝트"),(G240))))</formula>
    </cfRule>
    <cfRule type="containsText" dxfId="7552" priority="4376" operator="containsText" text="기타">
      <formula>NOT(ISERROR(SEARCH(("기타"),(G240))))</formula>
    </cfRule>
    <cfRule type="containsText" dxfId="7551" priority="4375" operator="containsText" text="정규교과">
      <formula>NOT(ISERROR(SEARCH(("정규교과"),(G240))))</formula>
    </cfRule>
    <cfRule type="containsText" dxfId="7550" priority="4374" operator="containsText" text="프로젝트">
      <formula>NOT(ISERROR(SEARCH(("프로젝트"),(G240))))</formula>
    </cfRule>
    <cfRule type="containsText" dxfId="7549" priority="4373" operator="containsText" text="기타">
      <formula>NOT(ISERROR(SEARCH(("기타"),(G240))))</formula>
    </cfRule>
    <cfRule type="containsText" dxfId="7548" priority="4372" operator="containsText" text="정규교과">
      <formula>NOT(ISERROR(SEARCH(("정규교과"),(G240))))</formula>
    </cfRule>
    <cfRule type="containsText" dxfId="7547" priority="4371" operator="containsText" text="프로젝트">
      <formula>NOT(ISERROR(SEARCH(("프로젝트"),(G240))))</formula>
    </cfRule>
    <cfRule type="containsText" dxfId="7546" priority="4369" operator="containsText" text="정규교과">
      <formula>NOT(ISERROR(SEARCH(("정규교과"),(G240))))</formula>
    </cfRule>
    <cfRule type="containsText" dxfId="7545" priority="4368" operator="containsText" text="프로젝트">
      <formula>NOT(ISERROR(SEARCH(("프로젝트"),(G240))))</formula>
    </cfRule>
    <cfRule type="containsText" dxfId="7544" priority="4367" operator="containsText" text="기타">
      <formula>NOT(ISERROR(SEARCH(("기타"),(G240))))</formula>
    </cfRule>
    <cfRule type="containsText" dxfId="7543" priority="4370" operator="containsText" text="기타">
      <formula>NOT(ISERROR(SEARCH(("기타"),(G240))))</formula>
    </cfRule>
    <cfRule type="containsText" dxfId="7542" priority="4366" operator="containsText" text="정규교과">
      <formula>NOT(ISERROR(SEARCH(("정규교과"),(G240))))</formula>
    </cfRule>
    <cfRule type="containsText" dxfId="7541" priority="4353" operator="containsText" text="정규교과">
      <formula>NOT(ISERROR(SEARCH(("정규교과"),(G240))))</formula>
    </cfRule>
    <cfRule type="containsText" dxfId="7540" priority="4379" operator="containsText" text="기타">
      <formula>NOT(ISERROR(SEARCH(("기타"),(G240))))</formula>
    </cfRule>
    <cfRule type="containsText" dxfId="7539" priority="4378" operator="containsText" text="정규교과">
      <formula>NOT(ISERROR(SEARCH(("정규교과"),(G240))))</formula>
    </cfRule>
    <cfRule type="containsText" dxfId="7538" priority="4365" operator="containsText" text="프로젝트">
      <formula>NOT(ISERROR(SEARCH(("프로젝트"),(G240))))</formula>
    </cfRule>
    <cfRule type="containsText" dxfId="7537" priority="4363" operator="containsText" text="기타">
      <formula>NOT(ISERROR(SEARCH(("기타"),(G240))))</formula>
    </cfRule>
    <cfRule type="containsText" dxfId="7536" priority="4362" operator="containsText" text="정규교과">
      <formula>NOT(ISERROR(SEARCH(("정규교과"),(G240))))</formula>
    </cfRule>
    <cfRule type="containsText" dxfId="7535" priority="4361" operator="containsText" text="프로젝트">
      <formula>NOT(ISERROR(SEARCH(("프로젝트"),(G240))))</formula>
    </cfRule>
    <cfRule type="containsText" dxfId="7534" priority="4360" operator="containsText" text="기타">
      <formula>NOT(ISERROR(SEARCH(("기타"),(G240))))</formula>
    </cfRule>
    <cfRule type="containsText" dxfId="7533" priority="4359" operator="containsText" text="정규교과">
      <formula>NOT(ISERROR(SEARCH(("정규교과"),(G240))))</formula>
    </cfRule>
    <cfRule type="containsText" dxfId="7532" priority="4358" operator="containsText" text="프로젝트">
      <formula>NOT(ISERROR(SEARCH(("프로젝트"),(G240))))</formula>
    </cfRule>
    <cfRule type="containsText" dxfId="7531" priority="4357" operator="containsText" text="기타">
      <formula>NOT(ISERROR(SEARCH(("기타"),(G240))))</formula>
    </cfRule>
    <cfRule type="containsText" dxfId="7530" priority="4356" operator="containsText" text="정규교과">
      <formula>NOT(ISERROR(SEARCH(("정규교과"),(G240))))</formula>
    </cfRule>
    <cfRule type="containsText" dxfId="7529" priority="4377" operator="containsText" text="프로젝트">
      <formula>NOT(ISERROR(SEARCH(("프로젝트"),(G240))))</formula>
    </cfRule>
    <cfRule type="containsText" dxfId="7528" priority="4355" operator="containsText" text="프로젝트">
      <formula>NOT(ISERROR(SEARCH(("프로젝트"),(G240))))</formula>
    </cfRule>
  </conditionalFormatting>
  <conditionalFormatting sqref="G244">
    <cfRule type="containsText" dxfId="7527" priority="4347" operator="containsText" text="정규교과">
      <formula>NOT(ISERROR(SEARCH(("정규교과"),(G244))))</formula>
    </cfRule>
    <cfRule type="containsText" dxfId="7526" priority="4346" operator="containsText" text="프로젝트">
      <formula>NOT(ISERROR(SEARCH(("프로젝트"),(G244))))</formula>
    </cfRule>
    <cfRule type="containsText" dxfId="7525" priority="4345" operator="containsText" text="기타">
      <formula>NOT(ISERROR(SEARCH(("기타"),(G244))))</formula>
    </cfRule>
    <cfRule type="containsText" dxfId="7524" priority="4327" operator="containsText" text="프로젝트">
      <formula>NOT(ISERROR(SEARCH(("프로젝트"),(G244))))</formula>
    </cfRule>
    <cfRule type="containsText" dxfId="7523" priority="4326" operator="containsText" text="기타">
      <formula>NOT(ISERROR(SEARCH(("기타"),(G244))))</formula>
    </cfRule>
    <cfRule type="containsText" dxfId="7522" priority="4344" operator="containsText" text="정규교과">
      <formula>NOT(ISERROR(SEARCH(("정규교과"),(G244))))</formula>
    </cfRule>
    <cfRule type="containsText" dxfId="7521" priority="4325" operator="containsText" text="정규교과">
      <formula>NOT(ISERROR(SEARCH(("정규교과"),(G244))))</formula>
    </cfRule>
    <cfRule type="containsText" dxfId="7520" priority="4324" operator="containsText" text="프로젝트">
      <formula>NOT(ISERROR(SEARCH(("프로젝트"),(G244))))</formula>
    </cfRule>
    <cfRule type="containsText" dxfId="7519" priority="4343" operator="containsText" text="프로젝트">
      <formula>NOT(ISERROR(SEARCH(("프로젝트"),(G244))))</formula>
    </cfRule>
    <cfRule type="containsText" dxfId="7518" priority="4342" operator="containsText" text="기타">
      <formula>NOT(ISERROR(SEARCH(("기타"),(G244))))</formula>
    </cfRule>
    <cfRule type="containsText" dxfId="7517" priority="4340" operator="containsText" text="프로젝트">
      <formula>NOT(ISERROR(SEARCH(("프로젝트"),(G244))))</formula>
    </cfRule>
    <cfRule type="containsText" dxfId="7516" priority="4339" operator="containsText" text="기타">
      <formula>NOT(ISERROR(SEARCH(("기타"),(G244))))</formula>
    </cfRule>
    <cfRule type="containsText" dxfId="7515" priority="4338" operator="containsText" text="정규교과">
      <formula>NOT(ISERROR(SEARCH(("정규교과"),(G244))))</formula>
    </cfRule>
    <cfRule type="containsText" dxfId="7514" priority="4337" operator="containsText" text="프로젝트">
      <formula>NOT(ISERROR(SEARCH(("프로젝트"),(G244))))</formula>
    </cfRule>
    <cfRule type="containsText" dxfId="7513" priority="4336" operator="containsText" text="휴강">
      <formula>NOT(ISERROR(SEARCH(("휴강"),(G244))))</formula>
    </cfRule>
    <cfRule type="containsText" dxfId="7512" priority="4335" operator="containsText" text="기타">
      <formula>NOT(ISERROR(SEARCH(("기타"),(G244))))</formula>
    </cfRule>
    <cfRule type="containsText" dxfId="7511" priority="4334" operator="containsText" text="정규교과">
      <formula>NOT(ISERROR(SEARCH(("정규교과"),(G244))))</formula>
    </cfRule>
    <cfRule type="containsText" dxfId="7510" priority="4333" operator="containsText" text="프로젝트">
      <formula>NOT(ISERROR(SEARCH(("프로젝트"),(G244))))</formula>
    </cfRule>
    <cfRule type="containsText" dxfId="7509" priority="4332" operator="containsText" text="기타">
      <formula>NOT(ISERROR(SEARCH(("기타"),(G244))))</formula>
    </cfRule>
    <cfRule type="containsText" dxfId="7508" priority="4331" operator="containsText" text="정규교과">
      <formula>NOT(ISERROR(SEARCH(("정규교과"),(G244))))</formula>
    </cfRule>
    <cfRule type="containsText" dxfId="7507" priority="4330" operator="containsText" text="프로젝트">
      <formula>NOT(ISERROR(SEARCH(("프로젝트"),(G244))))</formula>
    </cfRule>
    <cfRule type="containsText" dxfId="7506" priority="4329" operator="containsText" text="기타">
      <formula>NOT(ISERROR(SEARCH(("기타"),(G244))))</formula>
    </cfRule>
    <cfRule type="containsText" dxfId="7505" priority="4328" operator="containsText" text="정규교과">
      <formula>NOT(ISERROR(SEARCH(("정규교과"),(G244))))</formula>
    </cfRule>
    <cfRule type="containsText" dxfId="7504" priority="4349" operator="containsText" text="프로젝트">
      <formula>NOT(ISERROR(SEARCH(("프로젝트"),(G244))))</formula>
    </cfRule>
    <cfRule type="containsText" dxfId="7503" priority="4350" operator="containsText" text="정규교과">
      <formula>NOT(ISERROR(SEARCH(("정규교과"),(G244))))</formula>
    </cfRule>
    <cfRule type="containsText" dxfId="7502" priority="4351" operator="containsText" text="기타">
      <formula>NOT(ISERROR(SEARCH(("기타"),(G244))))</formula>
    </cfRule>
    <cfRule type="containsText" dxfId="7501" priority="4341" operator="containsText" text="정규교과">
      <formula>NOT(ISERROR(SEARCH(("정규교과"),(G244))))</formula>
    </cfRule>
    <cfRule type="containsText" dxfId="7500" priority="4348" operator="containsText" text="기타">
      <formula>NOT(ISERROR(SEARCH(("기타"),(G244))))</formula>
    </cfRule>
  </conditionalFormatting>
  <conditionalFormatting sqref="G250">
    <cfRule type="containsText" dxfId="7499" priority="3846" operator="containsText" text="정규교과">
      <formula>NOT(ISERROR(SEARCH(("정규교과"),(G250))))</formula>
    </cfRule>
    <cfRule type="containsText" dxfId="7498" priority="3844" operator="containsText" text="기타">
      <formula>NOT(ISERROR(SEARCH(("기타"),(G250))))</formula>
    </cfRule>
    <cfRule type="containsText" dxfId="7497" priority="3838" operator="containsText" text="기타">
      <formula>NOT(ISERROR(SEARCH(("기타"),(G250))))</formula>
    </cfRule>
    <cfRule type="containsText" dxfId="7496" priority="3839" operator="containsText" text="프로젝트">
      <formula>NOT(ISERROR(SEARCH(("프로젝트"),(G250))))</formula>
    </cfRule>
    <cfRule type="containsText" dxfId="7495" priority="3836" operator="containsText" text="프로젝트">
      <formula>NOT(ISERROR(SEARCH(("프로젝트"),(G250))))</formula>
    </cfRule>
    <cfRule type="containsText" dxfId="7494" priority="3837" operator="containsText" text="정규교과">
      <formula>NOT(ISERROR(SEARCH(("정규교과"),(G250))))</formula>
    </cfRule>
    <cfRule type="containsText" dxfId="7493" priority="3840" operator="containsText" text="정규교과">
      <formula>NOT(ISERROR(SEARCH(("정규교과"),(G250))))</formula>
    </cfRule>
    <cfRule type="containsText" dxfId="7492" priority="3845" operator="containsText" text="프로젝트">
      <formula>NOT(ISERROR(SEARCH(("프로젝트"),(G250))))</formula>
    </cfRule>
    <cfRule type="containsText" dxfId="7491" priority="3842" operator="containsText" text="프로젝트">
      <formula>NOT(ISERROR(SEARCH(("프로젝트"),(G250))))</formula>
    </cfRule>
    <cfRule type="containsText" dxfId="7490" priority="3843" operator="containsText" text="정규교과">
      <formula>NOT(ISERROR(SEARCH(("정규교과"),(G250))))</formula>
    </cfRule>
    <cfRule type="containsText" dxfId="7489" priority="3841" operator="containsText" text="기타">
      <formula>NOT(ISERROR(SEARCH(("기타"),(G250))))</formula>
    </cfRule>
    <cfRule type="containsText" dxfId="7488" priority="3847" operator="containsText" text="기타">
      <formula>NOT(ISERROR(SEARCH(("기타"),(G250))))</formula>
    </cfRule>
  </conditionalFormatting>
  <conditionalFormatting sqref="G254">
    <cfRule type="containsText" dxfId="7487" priority="3734" operator="containsText" text="프로젝트">
      <formula>NOT(ISERROR(SEARCH(("프로젝트"),(G254))))</formula>
    </cfRule>
    <cfRule type="containsText" dxfId="7486" priority="3729" operator="containsText" text="정규교과">
      <formula>NOT(ISERROR(SEARCH(("정규교과"),(G254))))</formula>
    </cfRule>
    <cfRule type="containsText" dxfId="7485" priority="3727" operator="containsText" text="기타">
      <formula>NOT(ISERROR(SEARCH(("기타"),(G254))))</formula>
    </cfRule>
    <cfRule type="containsText" dxfId="7484" priority="3728" operator="containsText" text="프로젝트">
      <formula>NOT(ISERROR(SEARCH(("프로젝트"),(G254))))</formula>
    </cfRule>
    <cfRule type="containsText" dxfId="7483" priority="3726" operator="containsText" text="정규교과">
      <formula>NOT(ISERROR(SEARCH(("정규교과"),(G254))))</formula>
    </cfRule>
    <cfRule type="containsText" dxfId="7482" priority="3730" operator="containsText" text="기타">
      <formula>NOT(ISERROR(SEARCH(("기타"),(G254))))</formula>
    </cfRule>
    <cfRule type="containsText" dxfId="7481" priority="3736" operator="containsText" text="기타">
      <formula>NOT(ISERROR(SEARCH(("기타"),(G254))))</formula>
    </cfRule>
    <cfRule type="containsText" dxfId="7480" priority="3735" operator="containsText" text="정규교과">
      <formula>NOT(ISERROR(SEARCH(("정규교과"),(G254))))</formula>
    </cfRule>
    <cfRule type="containsText" dxfId="7479" priority="3725" operator="containsText" text="프로젝트">
      <formula>NOT(ISERROR(SEARCH(("프로젝트"),(G254))))</formula>
    </cfRule>
    <cfRule type="containsText" dxfId="7478" priority="3733" operator="containsText" text="기타">
      <formula>NOT(ISERROR(SEARCH(("기타"),(G254))))</formula>
    </cfRule>
    <cfRule type="containsText" dxfId="7477" priority="3732" operator="containsText" text="정규교과">
      <formula>NOT(ISERROR(SEARCH(("정규교과"),(G254))))</formula>
    </cfRule>
    <cfRule type="containsText" dxfId="7476" priority="3731" operator="containsText" text="프로젝트">
      <formula>NOT(ISERROR(SEARCH(("프로젝트"),(G254))))</formula>
    </cfRule>
  </conditionalFormatting>
  <conditionalFormatting sqref="G258">
    <cfRule type="containsText" dxfId="7475" priority="3623" operator="containsText" text="프로젝트">
      <formula>NOT(ISERROR(SEARCH(("프로젝트"),(G258))))</formula>
    </cfRule>
    <cfRule type="containsText" dxfId="7474" priority="3622" operator="containsText" text="기타">
      <formula>NOT(ISERROR(SEARCH(("기타"),(G258))))</formula>
    </cfRule>
    <cfRule type="containsText" dxfId="7473" priority="3621" operator="containsText" text="정규교과">
      <formula>NOT(ISERROR(SEARCH(("정규교과"),(G258))))</formula>
    </cfRule>
    <cfRule type="containsText" dxfId="7472" priority="3624" operator="containsText" text="정규교과">
      <formula>NOT(ISERROR(SEARCH(("정규교과"),(G258))))</formula>
    </cfRule>
    <cfRule type="containsText" dxfId="7471" priority="3619" operator="containsText" text="기타">
      <formula>NOT(ISERROR(SEARCH(("기타"),(G258))))</formula>
    </cfRule>
    <cfRule type="containsText" dxfId="7470" priority="3620" operator="containsText" text="프로젝트">
      <formula>NOT(ISERROR(SEARCH(("프로젝트"),(G258))))</formula>
    </cfRule>
    <cfRule type="containsText" dxfId="7469" priority="3614" operator="containsText" text="프로젝트">
      <formula>NOT(ISERROR(SEARCH(("프로젝트"),(G258))))</formula>
    </cfRule>
    <cfRule type="containsText" dxfId="7468" priority="3615" operator="containsText" text="정규교과">
      <formula>NOT(ISERROR(SEARCH(("정규교과"),(G258))))</formula>
    </cfRule>
    <cfRule type="containsText" dxfId="7467" priority="3616" operator="containsText" text="기타">
      <formula>NOT(ISERROR(SEARCH(("기타"),(G258))))</formula>
    </cfRule>
    <cfRule type="containsText" dxfId="7466" priority="3617" operator="containsText" text="프로젝트">
      <formula>NOT(ISERROR(SEARCH(("프로젝트"),(G258))))</formula>
    </cfRule>
    <cfRule type="containsText" dxfId="7465" priority="3618" operator="containsText" text="정규교과">
      <formula>NOT(ISERROR(SEARCH(("정규교과"),(G258))))</formula>
    </cfRule>
    <cfRule type="containsText" dxfId="7464" priority="3625" operator="containsText" text="기타">
      <formula>NOT(ISERROR(SEARCH(("기타"),(G258))))</formula>
    </cfRule>
  </conditionalFormatting>
  <conditionalFormatting sqref="G263">
    <cfRule type="containsText" dxfId="7463" priority="3511" operator="containsText" text="기타">
      <formula>NOT(ISERROR(SEARCH(("기타"),(G263))))</formula>
    </cfRule>
    <cfRule type="containsText" dxfId="7462" priority="3510" operator="containsText" text="정규교과">
      <formula>NOT(ISERROR(SEARCH(("정규교과"),(G263))))</formula>
    </cfRule>
    <cfRule type="containsText" dxfId="7461" priority="3509" operator="containsText" text="프로젝트">
      <formula>NOT(ISERROR(SEARCH(("프로젝트"),(G263))))</formula>
    </cfRule>
    <cfRule type="containsText" dxfId="7460" priority="3508" operator="containsText" text="기타">
      <formula>NOT(ISERROR(SEARCH(("기타"),(G263))))</formula>
    </cfRule>
    <cfRule type="containsText" dxfId="7459" priority="3507" operator="containsText" text="정규교과">
      <formula>NOT(ISERROR(SEARCH(("정규교과"),(G263))))</formula>
    </cfRule>
    <cfRule type="containsText" dxfId="7458" priority="3513" operator="containsText" text="정규교과">
      <formula>NOT(ISERROR(SEARCH(("정규교과"),(G263))))</formula>
    </cfRule>
    <cfRule type="containsText" dxfId="7457" priority="3514" operator="containsText" text="기타">
      <formula>NOT(ISERROR(SEARCH(("기타"),(G263))))</formula>
    </cfRule>
    <cfRule type="containsText" dxfId="7456" priority="3512" operator="containsText" text="프로젝트">
      <formula>NOT(ISERROR(SEARCH(("프로젝트"),(G263))))</formula>
    </cfRule>
    <cfRule type="containsText" dxfId="7455" priority="3506" operator="containsText" text="프로젝트">
      <formula>NOT(ISERROR(SEARCH(("프로젝트"),(G263))))</formula>
    </cfRule>
    <cfRule type="containsText" dxfId="7454" priority="3505" operator="containsText" text="기타">
      <formula>NOT(ISERROR(SEARCH(("기타"),(G263))))</formula>
    </cfRule>
    <cfRule type="containsText" dxfId="7453" priority="3504" operator="containsText" text="정규교과">
      <formula>NOT(ISERROR(SEARCH(("정규교과"),(G263))))</formula>
    </cfRule>
    <cfRule type="containsText" dxfId="7452" priority="3503" operator="containsText" text="프로젝트">
      <formula>NOT(ISERROR(SEARCH(("프로젝트"),(G263))))</formula>
    </cfRule>
  </conditionalFormatting>
  <conditionalFormatting sqref="G267">
    <cfRule type="containsText" dxfId="7451" priority="3403" operator="containsText" text="기타">
      <formula>NOT(ISERROR(SEARCH(("기타"),(G267))))</formula>
    </cfRule>
    <cfRule type="containsText" dxfId="7450" priority="3402" operator="containsText" text="정규교과">
      <formula>NOT(ISERROR(SEARCH(("정규교과"),(G267))))</formula>
    </cfRule>
    <cfRule type="containsText" dxfId="7449" priority="3401" operator="containsText" text="프로젝트">
      <formula>NOT(ISERROR(SEARCH(("프로젝트"),(G267))))</formula>
    </cfRule>
    <cfRule type="containsText" dxfId="7448" priority="3400" operator="containsText" text="기타">
      <formula>NOT(ISERROR(SEARCH(("기타"),(G267))))</formula>
    </cfRule>
    <cfRule type="containsText" dxfId="7447" priority="3399" operator="containsText" text="정규교과">
      <formula>NOT(ISERROR(SEARCH(("정규교과"),(G267))))</formula>
    </cfRule>
    <cfRule type="containsText" dxfId="7446" priority="3398" operator="containsText" text="프로젝트">
      <formula>NOT(ISERROR(SEARCH(("프로젝트"),(G267))))</formula>
    </cfRule>
    <cfRule type="containsText" dxfId="7445" priority="3397" operator="containsText" text="기타">
      <formula>NOT(ISERROR(SEARCH(("기타"),(G267))))</formula>
    </cfRule>
    <cfRule type="containsText" dxfId="7444" priority="3396" operator="containsText" text="정규교과">
      <formula>NOT(ISERROR(SEARCH(("정규교과"),(G267))))</formula>
    </cfRule>
    <cfRule type="containsText" dxfId="7443" priority="3395" operator="containsText" text="프로젝트">
      <formula>NOT(ISERROR(SEARCH(("프로젝트"),(G267))))</formula>
    </cfRule>
    <cfRule type="containsText" dxfId="7442" priority="3394" operator="containsText" text="기타">
      <formula>NOT(ISERROR(SEARCH(("기타"),(G267))))</formula>
    </cfRule>
    <cfRule type="containsText" dxfId="7441" priority="3393" operator="containsText" text="정규교과">
      <formula>NOT(ISERROR(SEARCH(("정규교과"),(G267))))</formula>
    </cfRule>
    <cfRule type="containsText" dxfId="7440" priority="3392" operator="containsText" text="프로젝트">
      <formula>NOT(ISERROR(SEARCH(("프로젝트"),(G267))))</formula>
    </cfRule>
  </conditionalFormatting>
  <conditionalFormatting sqref="G271">
    <cfRule type="containsText" dxfId="7439" priority="3291" operator="containsText" text="정규교과">
      <formula>NOT(ISERROR(SEARCH(("정규교과"),(G271))))</formula>
    </cfRule>
    <cfRule type="containsText" dxfId="7438" priority="3292" operator="containsText" text="기타">
      <formula>NOT(ISERROR(SEARCH(("기타"),(G271))))</formula>
    </cfRule>
    <cfRule type="containsText" dxfId="7437" priority="3290" operator="containsText" text="프로젝트">
      <formula>NOT(ISERROR(SEARCH(("프로젝트"),(G271))))</formula>
    </cfRule>
    <cfRule type="containsText" dxfId="7436" priority="3289" operator="containsText" text="기타">
      <formula>NOT(ISERROR(SEARCH(("기타"),(G271))))</formula>
    </cfRule>
    <cfRule type="containsText" dxfId="7435" priority="3288" operator="containsText" text="정규교과">
      <formula>NOT(ISERROR(SEARCH(("정규교과"),(G271))))</formula>
    </cfRule>
    <cfRule type="containsText" dxfId="7434" priority="3287" operator="containsText" text="프로젝트">
      <formula>NOT(ISERROR(SEARCH(("프로젝트"),(G271))))</formula>
    </cfRule>
    <cfRule type="containsText" dxfId="7433" priority="3286" operator="containsText" text="기타">
      <formula>NOT(ISERROR(SEARCH(("기타"),(G271))))</formula>
    </cfRule>
    <cfRule type="containsText" dxfId="7432" priority="3285" operator="containsText" text="정규교과">
      <formula>NOT(ISERROR(SEARCH(("정규교과"),(G271))))</formula>
    </cfRule>
    <cfRule type="containsText" dxfId="7431" priority="3284" operator="containsText" text="프로젝트">
      <formula>NOT(ISERROR(SEARCH(("프로젝트"),(G271))))</formula>
    </cfRule>
    <cfRule type="containsText" dxfId="7430" priority="3283" operator="containsText" text="기타">
      <formula>NOT(ISERROR(SEARCH(("기타"),(G271))))</formula>
    </cfRule>
    <cfRule type="containsText" dxfId="7429" priority="3282" operator="containsText" text="정규교과">
      <formula>NOT(ISERROR(SEARCH(("정규교과"),(G271))))</formula>
    </cfRule>
    <cfRule type="containsText" dxfId="7428" priority="3281" operator="containsText" text="프로젝트">
      <formula>NOT(ISERROR(SEARCH(("프로젝트"),(G271))))</formula>
    </cfRule>
  </conditionalFormatting>
  <conditionalFormatting sqref="G275">
    <cfRule type="containsText" dxfId="7427" priority="3175" operator="containsText" text="기타">
      <formula>NOT(ISERROR(SEARCH(("기타"),(G275))))</formula>
    </cfRule>
    <cfRule type="containsText" dxfId="7426" priority="3180" operator="containsText" text="정규교과">
      <formula>NOT(ISERROR(SEARCH(("정규교과"),(G275))))</formula>
    </cfRule>
    <cfRule type="containsText" dxfId="7425" priority="3174" operator="containsText" text="정규교과">
      <formula>NOT(ISERROR(SEARCH(("정규교과"),(G275))))</formula>
    </cfRule>
    <cfRule type="containsText" dxfId="7424" priority="3173" operator="containsText" text="프로젝트">
      <formula>NOT(ISERROR(SEARCH(("프로젝트"),(G275))))</formula>
    </cfRule>
    <cfRule type="containsText" dxfId="7423" priority="3181" operator="containsText" text="기타">
      <formula>NOT(ISERROR(SEARCH(("기타"),(G275))))</formula>
    </cfRule>
    <cfRule type="containsText" dxfId="7422" priority="3172" operator="containsText" text="기타">
      <formula>NOT(ISERROR(SEARCH(("기타"),(G275))))</formula>
    </cfRule>
    <cfRule type="containsText" dxfId="7421" priority="3179" operator="containsText" text="프로젝트">
      <formula>NOT(ISERROR(SEARCH(("프로젝트"),(G275))))</formula>
    </cfRule>
    <cfRule type="containsText" dxfId="7420" priority="3178" operator="containsText" text="기타">
      <formula>NOT(ISERROR(SEARCH(("기타"),(G275))))</formula>
    </cfRule>
    <cfRule type="containsText" dxfId="7419" priority="3171" operator="containsText" text="정규교과">
      <formula>NOT(ISERROR(SEARCH(("정규교과"),(G275))))</formula>
    </cfRule>
    <cfRule type="containsText" dxfId="7418" priority="3170" operator="containsText" text="프로젝트">
      <formula>NOT(ISERROR(SEARCH(("프로젝트"),(G275))))</formula>
    </cfRule>
    <cfRule type="containsText" dxfId="7417" priority="3177" operator="containsText" text="정규교과">
      <formula>NOT(ISERROR(SEARCH(("정규교과"),(G275))))</formula>
    </cfRule>
    <cfRule type="containsText" dxfId="7416" priority="3176" operator="containsText" text="프로젝트">
      <formula>NOT(ISERROR(SEARCH(("프로젝트"),(G275))))</formula>
    </cfRule>
  </conditionalFormatting>
  <conditionalFormatting sqref="G279">
    <cfRule type="containsText" dxfId="7415" priority="3059" operator="containsText" text="프로젝트">
      <formula>NOT(ISERROR(SEARCH(("프로젝트"),(G279))))</formula>
    </cfRule>
    <cfRule type="containsText" dxfId="7414" priority="3070" operator="containsText" text="기타">
      <formula>NOT(ISERROR(SEARCH(("기타"),(G279))))</formula>
    </cfRule>
    <cfRule type="containsText" dxfId="7413" priority="3069" operator="containsText" text="정규교과">
      <formula>NOT(ISERROR(SEARCH(("정규교과"),(G279))))</formula>
    </cfRule>
    <cfRule type="containsText" dxfId="7412" priority="3068" operator="containsText" text="프로젝트">
      <formula>NOT(ISERROR(SEARCH(("프로젝트"),(G279))))</formula>
    </cfRule>
    <cfRule type="containsText" dxfId="7411" priority="3067" operator="containsText" text="기타">
      <formula>NOT(ISERROR(SEARCH(("기타"),(G279))))</formula>
    </cfRule>
    <cfRule type="containsText" dxfId="7410" priority="3066" operator="containsText" text="정규교과">
      <formula>NOT(ISERROR(SEARCH(("정규교과"),(G279))))</formula>
    </cfRule>
    <cfRule type="containsText" dxfId="7409" priority="3065" operator="containsText" text="프로젝트">
      <formula>NOT(ISERROR(SEARCH(("프로젝트"),(G279))))</formula>
    </cfRule>
    <cfRule type="containsText" dxfId="7408" priority="3064" operator="containsText" text="기타">
      <formula>NOT(ISERROR(SEARCH(("기타"),(G279))))</formula>
    </cfRule>
    <cfRule type="containsText" dxfId="7407" priority="3063" operator="containsText" text="정규교과">
      <formula>NOT(ISERROR(SEARCH(("정규교과"),(G279))))</formula>
    </cfRule>
    <cfRule type="containsText" dxfId="7406" priority="3062" operator="containsText" text="프로젝트">
      <formula>NOT(ISERROR(SEARCH(("프로젝트"),(G279))))</formula>
    </cfRule>
    <cfRule type="containsText" dxfId="7405" priority="3061" operator="containsText" text="기타">
      <formula>NOT(ISERROR(SEARCH(("기타"),(G279))))</formula>
    </cfRule>
    <cfRule type="containsText" dxfId="7404" priority="3060" operator="containsText" text="정규교과">
      <formula>NOT(ISERROR(SEARCH(("정규교과"),(G279))))</formula>
    </cfRule>
  </conditionalFormatting>
  <conditionalFormatting sqref="G320">
    <cfRule type="containsText" dxfId="7403" priority="2537" operator="containsText" text="기타">
      <formula>NOT(ISERROR(SEARCH(("기타"),(G320))))</formula>
    </cfRule>
    <cfRule type="containsText" dxfId="7402" priority="2540" operator="containsText" text="기타">
      <formula>NOT(ISERROR(SEARCH(("기타"),(G320))))</formula>
    </cfRule>
    <cfRule type="containsText" dxfId="7401" priority="2541" operator="containsText" text="프로젝트">
      <formula>NOT(ISERROR(SEARCH(("프로젝트"),(G320))))</formula>
    </cfRule>
    <cfRule type="containsText" dxfId="7400" priority="2542" operator="containsText" text="정규교과">
      <formula>NOT(ISERROR(SEARCH(("정규교과"),(G320))))</formula>
    </cfRule>
    <cfRule type="containsText" dxfId="7399" priority="2543" operator="containsText" text="기타">
      <formula>NOT(ISERROR(SEARCH(("기타"),(G320))))</formula>
    </cfRule>
    <cfRule type="containsText" dxfId="7398" priority="2544" operator="containsText" text="프로젝트">
      <formula>NOT(ISERROR(SEARCH(("프로젝트"),(G320))))</formula>
    </cfRule>
    <cfRule type="containsText" dxfId="7397" priority="2545" operator="containsText" text="정규교과">
      <formula>NOT(ISERROR(SEARCH(("정규교과"),(G320))))</formula>
    </cfRule>
    <cfRule type="containsText" dxfId="7396" priority="2526" operator="containsText" text="프로젝트">
      <formula>NOT(ISERROR(SEARCH(("프로젝트"),(G320))))</formula>
    </cfRule>
    <cfRule type="containsText" dxfId="7395" priority="2527" operator="containsText" text="정규교과">
      <formula>NOT(ISERROR(SEARCH(("정규교과"),(G320))))</formula>
    </cfRule>
    <cfRule type="containsText" dxfId="7394" priority="2528" operator="containsText" text="기타">
      <formula>NOT(ISERROR(SEARCH(("기타"),(G320))))</formula>
    </cfRule>
    <cfRule type="containsText" dxfId="7393" priority="2529" operator="containsText" text="프로젝트">
      <formula>NOT(ISERROR(SEARCH(("프로젝트"),(G320))))</formula>
    </cfRule>
    <cfRule type="containsText" dxfId="7392" priority="2530" operator="containsText" text="정규교과">
      <formula>NOT(ISERROR(SEARCH(("정규교과"),(G320))))</formula>
    </cfRule>
    <cfRule type="containsText" dxfId="7391" priority="2531" operator="containsText" text="기타">
      <formula>NOT(ISERROR(SEARCH(("기타"),(G320))))</formula>
    </cfRule>
    <cfRule type="containsText" dxfId="7390" priority="2532" operator="containsText" text="프로젝트">
      <formula>NOT(ISERROR(SEARCH(("프로젝트"),(G320))))</formula>
    </cfRule>
    <cfRule type="containsText" dxfId="7389" priority="2533" operator="containsText" text="정규교과">
      <formula>NOT(ISERROR(SEARCH(("정규교과"),(G320))))</formula>
    </cfRule>
    <cfRule type="containsText" dxfId="7388" priority="2534" operator="containsText" text="기타">
      <formula>NOT(ISERROR(SEARCH(("기타"),(G320))))</formula>
    </cfRule>
    <cfRule type="containsText" dxfId="7387" priority="2535" operator="containsText" text="프로젝트">
      <formula>NOT(ISERROR(SEARCH(("프로젝트"),(G320))))</formula>
    </cfRule>
    <cfRule type="containsText" dxfId="7386" priority="2536" operator="containsText" text="정규교과">
      <formula>NOT(ISERROR(SEARCH(("정규교과"),(G320))))</formula>
    </cfRule>
    <cfRule type="containsText" dxfId="7385" priority="2546" operator="containsText" text="기타">
      <formula>NOT(ISERROR(SEARCH(("기타"),(G320))))</formula>
    </cfRule>
    <cfRule type="containsText" dxfId="7384" priority="2538" operator="containsText" text="프로젝트">
      <formula>NOT(ISERROR(SEARCH(("프로젝트"),(G320))))</formula>
    </cfRule>
    <cfRule type="containsText" dxfId="7383" priority="2539" operator="containsText" text="정규교과">
      <formula>NOT(ISERROR(SEARCH(("정규교과"),(G320))))</formula>
    </cfRule>
  </conditionalFormatting>
  <conditionalFormatting sqref="G324">
    <cfRule type="containsText" dxfId="7382" priority="2386" operator="containsText" text="정규교과">
      <formula>NOT(ISERROR(SEARCH(("정규교과"),(G324))))</formula>
    </cfRule>
    <cfRule type="containsText" dxfId="7381" priority="2385" operator="containsText" text="프로젝트">
      <formula>NOT(ISERROR(SEARCH(("프로젝트"),(G324))))</formula>
    </cfRule>
    <cfRule type="containsText" dxfId="7380" priority="2384" operator="containsText" text="기타">
      <formula>NOT(ISERROR(SEARCH(("기타"),(G324))))</formula>
    </cfRule>
    <cfRule type="containsText" dxfId="7379" priority="2383" operator="containsText" text="정규교과">
      <formula>NOT(ISERROR(SEARCH(("정규교과"),(G324))))</formula>
    </cfRule>
    <cfRule type="containsText" dxfId="7378" priority="2382" operator="containsText" text="프로젝트">
      <formula>NOT(ISERROR(SEARCH(("프로젝트"),(G324))))</formula>
    </cfRule>
    <cfRule type="containsText" dxfId="7377" priority="2381" operator="containsText" text="기타">
      <formula>NOT(ISERROR(SEARCH(("기타"),(G324))))</formula>
    </cfRule>
    <cfRule type="containsText" dxfId="7376" priority="2395" operator="containsText" text="정규교과">
      <formula>NOT(ISERROR(SEARCH(("정규교과"),(G324))))</formula>
    </cfRule>
    <cfRule type="containsText" dxfId="7375" priority="2399" operator="containsText" text="기타">
      <formula>NOT(ISERROR(SEARCH(("기타"),(G324))))</formula>
    </cfRule>
    <cfRule type="containsText" dxfId="7374" priority="2398" operator="containsText" text="정규교과">
      <formula>NOT(ISERROR(SEARCH(("정규교과"),(G324))))</formula>
    </cfRule>
    <cfRule type="containsText" dxfId="7373" priority="2397" operator="containsText" text="프로젝트">
      <formula>NOT(ISERROR(SEARCH(("프로젝트"),(G324))))</formula>
    </cfRule>
    <cfRule type="containsText" dxfId="7372" priority="2396" operator="containsText" text="기타">
      <formula>NOT(ISERROR(SEARCH(("기타"),(G324))))</formula>
    </cfRule>
    <cfRule type="containsText" dxfId="7371" priority="2380" operator="containsText" text="정규교과">
      <formula>NOT(ISERROR(SEARCH(("정규교과"),(G324))))</formula>
    </cfRule>
    <cfRule type="containsText" dxfId="7370" priority="2379" operator="containsText" text="프로젝트">
      <formula>NOT(ISERROR(SEARCH(("프로젝트"),(G324))))</formula>
    </cfRule>
    <cfRule type="containsText" dxfId="7369" priority="2393" operator="containsText" text="기타">
      <formula>NOT(ISERROR(SEARCH(("기타"),(G324))))</formula>
    </cfRule>
    <cfRule type="containsText" dxfId="7368" priority="2394" operator="containsText" text="프로젝트">
      <formula>NOT(ISERROR(SEARCH(("프로젝트"),(G324))))</formula>
    </cfRule>
    <cfRule type="containsText" dxfId="7367" priority="2392" operator="containsText" text="정규교과">
      <formula>NOT(ISERROR(SEARCH(("정규교과"),(G324))))</formula>
    </cfRule>
    <cfRule type="containsText" dxfId="7366" priority="2391" operator="containsText" text="프로젝트">
      <formula>NOT(ISERROR(SEARCH(("프로젝트"),(G324))))</formula>
    </cfRule>
    <cfRule type="containsText" dxfId="7365" priority="2390" operator="containsText" text="기타">
      <formula>NOT(ISERROR(SEARCH(("기타"),(G324))))</formula>
    </cfRule>
    <cfRule type="containsText" dxfId="7364" priority="2389" operator="containsText" text="정규교과">
      <formula>NOT(ISERROR(SEARCH(("정규교과"),(G324))))</formula>
    </cfRule>
    <cfRule type="containsText" dxfId="7363" priority="2388" operator="containsText" text="프로젝트">
      <formula>NOT(ISERROR(SEARCH(("프로젝트"),(G324))))</formula>
    </cfRule>
    <cfRule type="containsText" dxfId="7362" priority="2387" operator="containsText" text="기타">
      <formula>NOT(ISERROR(SEARCH(("기타"),(G324))))</formula>
    </cfRule>
  </conditionalFormatting>
  <conditionalFormatting sqref="G328">
    <cfRule type="containsText" dxfId="7361" priority="2249" operator="containsText" text="기타">
      <formula>NOT(ISERROR(SEARCH(("기타"),(G328))))</formula>
    </cfRule>
    <cfRule type="containsText" dxfId="7360" priority="2232" operator="containsText" text="프로젝트">
      <formula>NOT(ISERROR(SEARCH(("프로젝트"),(G328))))</formula>
    </cfRule>
    <cfRule type="containsText" dxfId="7359" priority="2244" operator="containsText" text="프로젝트">
      <formula>NOT(ISERROR(SEARCH(("프로젝트"),(G328))))</formula>
    </cfRule>
    <cfRule type="containsText" dxfId="7358" priority="2245" operator="containsText" text="정규교과">
      <formula>NOT(ISERROR(SEARCH(("정규교과"),(G328))))</formula>
    </cfRule>
    <cfRule type="containsText" dxfId="7357" priority="2246" operator="containsText" text="기타">
      <formula>NOT(ISERROR(SEARCH(("기타"),(G328))))</formula>
    </cfRule>
    <cfRule type="containsText" dxfId="7356" priority="2247" operator="containsText" text="프로젝트">
      <formula>NOT(ISERROR(SEARCH(("프로젝트"),(G328))))</formula>
    </cfRule>
    <cfRule type="containsText" dxfId="7355" priority="2248" operator="containsText" text="정규교과">
      <formula>NOT(ISERROR(SEARCH(("정규교과"),(G328))))</formula>
    </cfRule>
    <cfRule type="containsText" dxfId="7354" priority="2239" operator="containsText" text="정규교과">
      <formula>NOT(ISERROR(SEARCH(("정규교과"),(G328))))</formula>
    </cfRule>
    <cfRule type="containsText" dxfId="7353" priority="2250" operator="containsText" text="프로젝트">
      <formula>NOT(ISERROR(SEARCH(("프로젝트"),(G328))))</formula>
    </cfRule>
    <cfRule type="containsText" dxfId="7352" priority="2251" operator="containsText" text="정규교과">
      <formula>NOT(ISERROR(SEARCH(("정규교과"),(G328))))</formula>
    </cfRule>
    <cfRule type="containsText" dxfId="7351" priority="2252" operator="containsText" text="기타">
      <formula>NOT(ISERROR(SEARCH(("기타"),(G328))))</formula>
    </cfRule>
    <cfRule type="containsText" dxfId="7350" priority="2242" operator="containsText" text="정규교과">
      <formula>NOT(ISERROR(SEARCH(("정규교과"),(G328))))</formula>
    </cfRule>
    <cfRule type="containsText" dxfId="7349" priority="2243" operator="containsText" text="기타">
      <formula>NOT(ISERROR(SEARCH(("기타"),(G328))))</formula>
    </cfRule>
    <cfRule type="containsText" dxfId="7348" priority="2235" operator="containsText" text="프로젝트">
      <formula>NOT(ISERROR(SEARCH(("프로젝트"),(G328))))</formula>
    </cfRule>
    <cfRule type="containsText" dxfId="7347" priority="2233" operator="containsText" text="정규교과">
      <formula>NOT(ISERROR(SEARCH(("정규교과"),(G328))))</formula>
    </cfRule>
    <cfRule type="containsText" dxfId="7346" priority="2241" operator="containsText" text="프로젝트">
      <formula>NOT(ISERROR(SEARCH(("프로젝트"),(G328))))</formula>
    </cfRule>
    <cfRule type="containsText" dxfId="7345" priority="2240" operator="containsText" text="기타">
      <formula>NOT(ISERROR(SEARCH(("기타"),(G328))))</formula>
    </cfRule>
    <cfRule type="containsText" dxfId="7344" priority="2234" operator="containsText" text="기타">
      <formula>NOT(ISERROR(SEARCH(("기타"),(G328))))</formula>
    </cfRule>
    <cfRule type="containsText" dxfId="7343" priority="2238" operator="containsText" text="프로젝트">
      <formula>NOT(ISERROR(SEARCH(("프로젝트"),(G328))))</formula>
    </cfRule>
    <cfRule type="containsText" dxfId="7342" priority="2237" operator="containsText" text="기타">
      <formula>NOT(ISERROR(SEARCH(("기타"),(G328))))</formula>
    </cfRule>
    <cfRule type="containsText" dxfId="7341" priority="2236" operator="containsText" text="정규교과">
      <formula>NOT(ISERROR(SEARCH(("정규교과"),(G328))))</formula>
    </cfRule>
  </conditionalFormatting>
  <conditionalFormatting sqref="G333">
    <cfRule type="containsText" dxfId="7340" priority="2096" operator="containsText" text="기타">
      <formula>NOT(ISERROR(SEARCH(("기타"),(G333))))</formula>
    </cfRule>
    <cfRule type="containsText" dxfId="7339" priority="2098" operator="containsText" text="정규교과">
      <formula>NOT(ISERROR(SEARCH(("정규교과"),(G333))))</formula>
    </cfRule>
    <cfRule type="containsText" dxfId="7338" priority="2104" operator="containsText" text="정규교과">
      <formula>NOT(ISERROR(SEARCH(("정규교과"),(G333))))</formula>
    </cfRule>
    <cfRule type="containsText" dxfId="7337" priority="2089" operator="containsText" text="정규교과">
      <formula>NOT(ISERROR(SEARCH(("정규교과"),(G333))))</formula>
    </cfRule>
    <cfRule type="containsText" dxfId="7336" priority="2090" operator="containsText" text="기타">
      <formula>NOT(ISERROR(SEARCH(("기타"),(G333))))</formula>
    </cfRule>
    <cfRule type="containsText" dxfId="7335" priority="2091" operator="containsText" text="프로젝트">
      <formula>NOT(ISERROR(SEARCH(("프로젝트"),(G333))))</formula>
    </cfRule>
    <cfRule type="containsText" dxfId="7334" priority="2092" operator="containsText" text="정규교과">
      <formula>NOT(ISERROR(SEARCH(("정규교과"),(G333))))</formula>
    </cfRule>
    <cfRule type="containsText" dxfId="7333" priority="2093" operator="containsText" text="기타">
      <formula>NOT(ISERROR(SEARCH(("기타"),(G333))))</formula>
    </cfRule>
    <cfRule type="containsText" dxfId="7332" priority="2094" operator="containsText" text="프로젝트">
      <formula>NOT(ISERROR(SEARCH(("프로젝트"),(G333))))</formula>
    </cfRule>
    <cfRule type="containsText" dxfId="7331" priority="2095" operator="containsText" text="정규교과">
      <formula>NOT(ISERROR(SEARCH(("정규교과"),(G333))))</formula>
    </cfRule>
    <cfRule type="containsText" dxfId="7330" priority="2088" operator="containsText" text="프로젝트">
      <formula>NOT(ISERROR(SEARCH(("프로젝트"),(G333))))</formula>
    </cfRule>
    <cfRule type="containsText" dxfId="7329" priority="2105" operator="containsText" text="기타">
      <formula>NOT(ISERROR(SEARCH(("기타"),(G333))))</formula>
    </cfRule>
    <cfRule type="containsText" dxfId="7328" priority="2099" operator="containsText" text="기타">
      <formula>NOT(ISERROR(SEARCH(("기타"),(G333))))</formula>
    </cfRule>
    <cfRule type="containsText" dxfId="7327" priority="2100" operator="containsText" text="프로젝트">
      <formula>NOT(ISERROR(SEARCH(("프로젝트"),(G333))))</formula>
    </cfRule>
    <cfRule type="containsText" dxfId="7326" priority="2101" operator="containsText" text="정규교과">
      <formula>NOT(ISERROR(SEARCH(("정규교과"),(G333))))</formula>
    </cfRule>
    <cfRule type="containsText" dxfId="7325" priority="2102" operator="containsText" text="기타">
      <formula>NOT(ISERROR(SEARCH(("기타"),(G333))))</formula>
    </cfRule>
    <cfRule type="containsText" dxfId="7324" priority="2103" operator="containsText" text="프로젝트">
      <formula>NOT(ISERROR(SEARCH(("프로젝트"),(G333))))</formula>
    </cfRule>
    <cfRule type="containsText" dxfId="7323" priority="2097" operator="containsText" text="프로젝트">
      <formula>NOT(ISERROR(SEARCH(("프로젝트"),(G333))))</formula>
    </cfRule>
    <cfRule type="containsText" dxfId="7322" priority="2087" operator="containsText" text="기타">
      <formula>NOT(ISERROR(SEARCH(("기타"),(G333))))</formula>
    </cfRule>
    <cfRule type="containsText" dxfId="7321" priority="2086" operator="containsText" text="정규교과">
      <formula>NOT(ISERROR(SEARCH(("정규교과"),(G333))))</formula>
    </cfRule>
    <cfRule type="containsText" dxfId="7320" priority="2085" operator="containsText" text="프로젝트">
      <formula>NOT(ISERROR(SEARCH(("프로젝트"),(G333))))</formula>
    </cfRule>
  </conditionalFormatting>
  <conditionalFormatting sqref="G337">
    <cfRule type="containsText" dxfId="7319" priority="1957" operator="containsText" text="정규교과">
      <formula>NOT(ISERROR(SEARCH(("정규교과"),(G337))))</formula>
    </cfRule>
    <cfRule type="containsText" dxfId="7318" priority="1958" operator="containsText" text="기타">
      <formula>NOT(ISERROR(SEARCH(("기타"),(G337))))</formula>
    </cfRule>
    <cfRule type="containsText" dxfId="7317" priority="1953" operator="containsText" text="프로젝트">
      <formula>NOT(ISERROR(SEARCH(("프로젝트"),(G337))))</formula>
    </cfRule>
    <cfRule type="containsText" dxfId="7316" priority="1952" operator="containsText" text="기타">
      <formula>NOT(ISERROR(SEARCH(("기타"),(G337))))</formula>
    </cfRule>
    <cfRule type="containsText" dxfId="7315" priority="1950" operator="containsText" text="프로젝트">
      <formula>NOT(ISERROR(SEARCH(("프로젝트"),(G337))))</formula>
    </cfRule>
    <cfRule type="containsText" dxfId="7314" priority="1949" operator="containsText" text="기타">
      <formula>NOT(ISERROR(SEARCH(("기타"),(G337))))</formula>
    </cfRule>
    <cfRule type="containsText" dxfId="7313" priority="1941" operator="containsText" text="프로젝트">
      <formula>NOT(ISERROR(SEARCH(("프로젝트"),(G337))))</formula>
    </cfRule>
    <cfRule type="containsText" dxfId="7312" priority="1954" operator="containsText" text="정규교과">
      <formula>NOT(ISERROR(SEARCH(("정규교과"),(G337))))</formula>
    </cfRule>
    <cfRule type="containsText" dxfId="7311" priority="1948" operator="containsText" text="정규교과">
      <formula>NOT(ISERROR(SEARCH(("정규교과"),(G337))))</formula>
    </cfRule>
    <cfRule type="containsText" dxfId="7310" priority="1947" operator="containsText" text="프로젝트">
      <formula>NOT(ISERROR(SEARCH(("프로젝트"),(G337))))</formula>
    </cfRule>
    <cfRule type="containsText" dxfId="7309" priority="1946" operator="containsText" text="기타">
      <formula>NOT(ISERROR(SEARCH(("기타"),(G337))))</formula>
    </cfRule>
    <cfRule type="containsText" dxfId="7308" priority="1945" operator="containsText" text="정규교과">
      <formula>NOT(ISERROR(SEARCH(("정규교과"),(G337))))</formula>
    </cfRule>
    <cfRule type="containsText" dxfId="7307" priority="1944" operator="containsText" text="프로젝트">
      <formula>NOT(ISERROR(SEARCH(("프로젝트"),(G337))))</formula>
    </cfRule>
    <cfRule type="containsText" dxfId="7306" priority="1942" operator="containsText" text="정규교과">
      <formula>NOT(ISERROR(SEARCH(("정규교과"),(G337))))</formula>
    </cfRule>
    <cfRule type="containsText" dxfId="7305" priority="1951" operator="containsText" text="정규교과">
      <formula>NOT(ISERROR(SEARCH(("정규교과"),(G337))))</formula>
    </cfRule>
    <cfRule type="containsText" dxfId="7304" priority="1955" operator="containsText" text="기타">
      <formula>NOT(ISERROR(SEARCH(("기타"),(G337))))</formula>
    </cfRule>
    <cfRule type="containsText" dxfId="7303" priority="1956" operator="containsText" text="프로젝트">
      <formula>NOT(ISERROR(SEARCH(("프로젝트"),(G337))))</formula>
    </cfRule>
    <cfRule type="containsText" dxfId="7302" priority="1943" operator="containsText" text="기타">
      <formula>NOT(ISERROR(SEARCH(("기타"),(G337))))</formula>
    </cfRule>
    <cfRule type="containsText" dxfId="7301" priority="1940" operator="containsText" text="기타">
      <formula>NOT(ISERROR(SEARCH(("기타"),(G337))))</formula>
    </cfRule>
    <cfRule type="containsText" dxfId="7300" priority="1938" operator="containsText" text="프로젝트">
      <formula>NOT(ISERROR(SEARCH(("프로젝트"),(G337))))</formula>
    </cfRule>
    <cfRule type="containsText" dxfId="7299" priority="1939" operator="containsText" text="정규교과">
      <formula>NOT(ISERROR(SEARCH(("정규교과"),(G337))))</formula>
    </cfRule>
  </conditionalFormatting>
  <conditionalFormatting sqref="G341">
    <cfRule type="containsText" dxfId="7298" priority="1806" operator="containsText" text="프로젝트">
      <formula>NOT(ISERROR(SEARCH(("프로젝트"),(G341))))</formula>
    </cfRule>
    <cfRule type="containsText" dxfId="7297" priority="1807" operator="containsText" text="정규교과">
      <formula>NOT(ISERROR(SEARCH(("정규교과"),(G341))))</formula>
    </cfRule>
    <cfRule type="containsText" dxfId="7296" priority="1804" operator="containsText" text="정규교과">
      <formula>NOT(ISERROR(SEARCH(("정규교과"),(G341))))</formula>
    </cfRule>
    <cfRule type="containsText" dxfId="7295" priority="1805" operator="containsText" text="기타">
      <formula>NOT(ISERROR(SEARCH(("기타"),(G341))))</formula>
    </cfRule>
    <cfRule type="containsText" dxfId="7294" priority="1802" operator="containsText" text="기타">
      <formula>NOT(ISERROR(SEARCH(("기타"),(G341))))</formula>
    </cfRule>
    <cfRule type="containsText" dxfId="7293" priority="1801" operator="containsText" text="정규교과">
      <formula>NOT(ISERROR(SEARCH(("정규교과"),(G341))))</formula>
    </cfRule>
    <cfRule type="containsText" dxfId="7292" priority="1800" operator="containsText" text="프로젝트">
      <formula>NOT(ISERROR(SEARCH(("프로젝트"),(G341))))</formula>
    </cfRule>
    <cfRule type="containsText" dxfId="7291" priority="1799" operator="containsText" text="기타">
      <formula>NOT(ISERROR(SEARCH(("기타"),(G341))))</formula>
    </cfRule>
    <cfRule type="containsText" dxfId="7290" priority="1796" operator="containsText" text="기타">
      <formula>NOT(ISERROR(SEARCH(("기타"),(G341))))</formula>
    </cfRule>
    <cfRule type="containsText" dxfId="7289" priority="1795" operator="containsText" text="정규교과">
      <formula>NOT(ISERROR(SEARCH(("정규교과"),(G341))))</formula>
    </cfRule>
    <cfRule type="containsText" dxfId="7288" priority="1794" operator="containsText" text="프로젝트">
      <formula>NOT(ISERROR(SEARCH(("프로젝트"),(G341))))</formula>
    </cfRule>
    <cfRule type="containsText" dxfId="7287" priority="1793" operator="containsText" text="기타">
      <formula>NOT(ISERROR(SEARCH(("기타"),(G341))))</formula>
    </cfRule>
    <cfRule type="containsText" dxfId="7286" priority="1792" operator="containsText" text="정규교과">
      <formula>NOT(ISERROR(SEARCH(("정규교과"),(G341))))</formula>
    </cfRule>
    <cfRule type="containsText" dxfId="7285" priority="1791" operator="containsText" text="프로젝트">
      <formula>NOT(ISERROR(SEARCH(("프로젝트"),(G341))))</formula>
    </cfRule>
    <cfRule type="containsText" dxfId="7284" priority="1808" operator="containsText" text="기타">
      <formula>NOT(ISERROR(SEARCH(("기타"),(G341))))</formula>
    </cfRule>
    <cfRule type="containsText" dxfId="7283" priority="1809" operator="containsText" text="프로젝트">
      <formula>NOT(ISERROR(SEARCH(("프로젝트"),(G341))))</formula>
    </cfRule>
    <cfRule type="containsText" dxfId="7282" priority="1810" operator="containsText" text="정규교과">
      <formula>NOT(ISERROR(SEARCH(("정규교과"),(G341))))</formula>
    </cfRule>
    <cfRule type="containsText" dxfId="7281" priority="1811" operator="containsText" text="기타">
      <formula>NOT(ISERROR(SEARCH(("기타"),(G341))))</formula>
    </cfRule>
    <cfRule type="containsText" dxfId="7280" priority="1798" operator="containsText" text="정규교과">
      <formula>NOT(ISERROR(SEARCH(("정규교과"),(G341))))</formula>
    </cfRule>
    <cfRule type="containsText" dxfId="7279" priority="1797" operator="containsText" text="프로젝트">
      <formula>NOT(ISERROR(SEARCH(("프로젝트"),(G341))))</formula>
    </cfRule>
    <cfRule type="containsText" dxfId="7278" priority="1803" operator="containsText" text="프로젝트">
      <formula>NOT(ISERROR(SEARCH(("프로젝트"),(G341))))</formula>
    </cfRule>
  </conditionalFormatting>
  <conditionalFormatting sqref="G345">
    <cfRule type="containsText" dxfId="7277" priority="1653" operator="containsText" text="프로젝트">
      <formula>NOT(ISERROR(SEARCH(("프로젝트"),(G345))))</formula>
    </cfRule>
    <cfRule type="containsText" dxfId="7276" priority="1657" operator="containsText" text="정규교과">
      <formula>NOT(ISERROR(SEARCH(("정규교과"),(G345))))</formula>
    </cfRule>
    <cfRule type="containsText" dxfId="7275" priority="1654" operator="containsText" text="정규교과">
      <formula>NOT(ISERROR(SEARCH(("정규교과"),(G345))))</formula>
    </cfRule>
    <cfRule type="containsText" dxfId="7274" priority="1655" operator="containsText" text="기타">
      <formula>NOT(ISERROR(SEARCH(("기타"),(G345))))</formula>
    </cfRule>
    <cfRule type="containsText" dxfId="7273" priority="1656" operator="containsText" text="프로젝트">
      <formula>NOT(ISERROR(SEARCH(("프로젝트"),(G345))))</formula>
    </cfRule>
    <cfRule type="containsText" dxfId="7272" priority="1659" operator="containsText" text="프로젝트">
      <formula>NOT(ISERROR(SEARCH(("프로젝트"),(G345))))</formula>
    </cfRule>
    <cfRule type="containsText" dxfId="7271" priority="1660" operator="containsText" text="정규교과">
      <formula>NOT(ISERROR(SEARCH(("정규교과"),(G345))))</formula>
    </cfRule>
    <cfRule type="containsText" dxfId="7270" priority="1658" operator="containsText" text="기타">
      <formula>NOT(ISERROR(SEARCH(("기타"),(G345))))</formula>
    </cfRule>
    <cfRule type="containsText" dxfId="7269" priority="1661" operator="containsText" text="기타">
      <formula>NOT(ISERROR(SEARCH(("기타"),(G345))))</formula>
    </cfRule>
    <cfRule type="containsText" dxfId="7268" priority="1662" operator="containsText" text="프로젝트">
      <formula>NOT(ISERROR(SEARCH(("프로젝트"),(G345))))</formula>
    </cfRule>
    <cfRule type="containsText" dxfId="7267" priority="1663" operator="containsText" text="정규교과">
      <formula>NOT(ISERROR(SEARCH(("정규교과"),(G345))))</formula>
    </cfRule>
    <cfRule type="containsText" dxfId="7266" priority="1664" operator="containsText" text="기타">
      <formula>NOT(ISERROR(SEARCH(("기타"),(G345))))</formula>
    </cfRule>
    <cfRule type="containsText" dxfId="7265" priority="1644" operator="containsText" text="프로젝트">
      <formula>NOT(ISERROR(SEARCH(("프로젝트"),(G345))))</formula>
    </cfRule>
    <cfRule type="containsText" dxfId="7264" priority="1645" operator="containsText" text="정규교과">
      <formula>NOT(ISERROR(SEARCH(("정규교과"),(G345))))</formula>
    </cfRule>
    <cfRule type="containsText" dxfId="7263" priority="1646" operator="containsText" text="기타">
      <formula>NOT(ISERROR(SEARCH(("기타"),(G345))))</formula>
    </cfRule>
    <cfRule type="containsText" dxfId="7262" priority="1647" operator="containsText" text="프로젝트">
      <formula>NOT(ISERROR(SEARCH(("프로젝트"),(G345))))</formula>
    </cfRule>
    <cfRule type="containsText" dxfId="7261" priority="1648" operator="containsText" text="정규교과">
      <formula>NOT(ISERROR(SEARCH(("정규교과"),(G345))))</formula>
    </cfRule>
    <cfRule type="containsText" dxfId="7260" priority="1649" operator="containsText" text="기타">
      <formula>NOT(ISERROR(SEARCH(("기타"),(G345))))</formula>
    </cfRule>
    <cfRule type="containsText" dxfId="7259" priority="1650" operator="containsText" text="프로젝트">
      <formula>NOT(ISERROR(SEARCH(("프로젝트"),(G345))))</formula>
    </cfRule>
    <cfRule type="containsText" dxfId="7258" priority="1651" operator="containsText" text="정규교과">
      <formula>NOT(ISERROR(SEARCH(("정규교과"),(G345))))</formula>
    </cfRule>
    <cfRule type="containsText" dxfId="7257" priority="1652" operator="containsText" text="기타">
      <formula>NOT(ISERROR(SEARCH(("기타"),(G345))))</formula>
    </cfRule>
  </conditionalFormatting>
  <conditionalFormatting sqref="G349">
    <cfRule type="containsText" dxfId="7256" priority="1507" operator="containsText" text="정규교과">
      <formula>NOT(ISERROR(SEARCH(("정규교과"),(G349))))</formula>
    </cfRule>
    <cfRule type="containsText" dxfId="7255" priority="1517" operator="containsText" text="기타">
      <formula>NOT(ISERROR(SEARCH(("기타"),(G349))))</formula>
    </cfRule>
    <cfRule type="containsText" dxfId="7254" priority="1516" operator="containsText" text="정규교과">
      <formula>NOT(ISERROR(SEARCH(("정규교과"),(G349))))</formula>
    </cfRule>
    <cfRule type="containsText" dxfId="7253" priority="1515" operator="containsText" text="프로젝트">
      <formula>NOT(ISERROR(SEARCH(("프로젝트"),(G349))))</formula>
    </cfRule>
    <cfRule type="containsText" dxfId="7252" priority="1514" operator="containsText" text="기타">
      <formula>NOT(ISERROR(SEARCH(("기타"),(G349))))</formula>
    </cfRule>
    <cfRule type="containsText" dxfId="7251" priority="1513" operator="containsText" text="정규교과">
      <formula>NOT(ISERROR(SEARCH(("정규교과"),(G349))))</formula>
    </cfRule>
    <cfRule type="containsText" dxfId="7250" priority="1512" operator="containsText" text="프로젝트">
      <formula>NOT(ISERROR(SEARCH(("프로젝트"),(G349))))</formula>
    </cfRule>
    <cfRule type="containsText" dxfId="7249" priority="1511" operator="containsText" text="기타">
      <formula>NOT(ISERROR(SEARCH(("기타"),(G349))))</formula>
    </cfRule>
    <cfRule type="containsText" dxfId="7248" priority="1510" operator="containsText" text="정규교과">
      <formula>NOT(ISERROR(SEARCH(("정규교과"),(G349))))</formula>
    </cfRule>
    <cfRule type="containsText" dxfId="7247" priority="1509" operator="containsText" text="프로젝트">
      <formula>NOT(ISERROR(SEARCH(("프로젝트"),(G349))))</formula>
    </cfRule>
    <cfRule type="containsText" dxfId="7246" priority="1508" operator="containsText" text="기타">
      <formula>NOT(ISERROR(SEARCH(("기타"),(G349))))</formula>
    </cfRule>
    <cfRule type="containsText" dxfId="7245" priority="1506" operator="containsText" text="프로젝트">
      <formula>NOT(ISERROR(SEARCH(("프로젝트"),(G349))))</formula>
    </cfRule>
    <cfRule type="containsText" dxfId="7244" priority="1505" operator="containsText" text="기타">
      <formula>NOT(ISERROR(SEARCH(("기타"),(G349))))</formula>
    </cfRule>
    <cfRule type="containsText" dxfId="7243" priority="1504" operator="containsText" text="정규교과">
      <formula>NOT(ISERROR(SEARCH(("정규교과"),(G349))))</formula>
    </cfRule>
    <cfRule type="containsText" dxfId="7242" priority="1503" operator="containsText" text="프로젝트">
      <formula>NOT(ISERROR(SEARCH(("프로젝트"),(G349))))</formula>
    </cfRule>
    <cfRule type="containsText" dxfId="7241" priority="1502" operator="containsText" text="기타">
      <formula>NOT(ISERROR(SEARCH(("기타"),(G349))))</formula>
    </cfRule>
    <cfRule type="containsText" dxfId="7240" priority="1501" operator="containsText" text="정규교과">
      <formula>NOT(ISERROR(SEARCH(("정규교과"),(G349))))</formula>
    </cfRule>
    <cfRule type="containsText" dxfId="7239" priority="1500" operator="containsText" text="프로젝트">
      <formula>NOT(ISERROR(SEARCH(("프로젝트"),(G349))))</formula>
    </cfRule>
    <cfRule type="containsText" dxfId="7238" priority="1499" operator="containsText" text="기타">
      <formula>NOT(ISERROR(SEARCH(("기타"),(G349))))</formula>
    </cfRule>
    <cfRule type="containsText" dxfId="7237" priority="1498" operator="containsText" text="정규교과">
      <formula>NOT(ISERROR(SEARCH(("정규교과"),(G349))))</formula>
    </cfRule>
    <cfRule type="containsText" dxfId="7236" priority="1497" operator="containsText" text="프로젝트">
      <formula>NOT(ISERROR(SEARCH(("프로젝트"),(G349))))</formula>
    </cfRule>
  </conditionalFormatting>
  <conditionalFormatting sqref="G355">
    <cfRule type="containsText" dxfId="7235" priority="1297" operator="containsText" text="기타">
      <formula>NOT(ISERROR(SEARCH(("기타"),(G355))))</formula>
    </cfRule>
    <cfRule type="containsText" dxfId="7234" priority="1291" operator="containsText" text="기타">
      <formula>NOT(ISERROR(SEARCH(("기타"),(G355))))</formula>
    </cfRule>
    <cfRule type="containsText" dxfId="7233" priority="1290" operator="containsText" text="정규교과">
      <formula>NOT(ISERROR(SEARCH(("정규교과"),(G355))))</formula>
    </cfRule>
    <cfRule type="containsText" dxfId="7232" priority="1289" operator="containsText" text="프로젝트">
      <formula>NOT(ISERROR(SEARCH(("프로젝트"),(G355))))</formula>
    </cfRule>
    <cfRule type="containsText" dxfId="7231" priority="1288" operator="containsText" text="기타">
      <formula>NOT(ISERROR(SEARCH(("기타"),(G355))))</formula>
    </cfRule>
    <cfRule type="containsText" dxfId="7230" priority="1287" operator="containsText" text="정규교과">
      <formula>NOT(ISERROR(SEARCH(("정규교과"),(G355))))</formula>
    </cfRule>
    <cfRule type="containsText" dxfId="7229" priority="1286" operator="containsText" text="프로젝트">
      <formula>NOT(ISERROR(SEARCH(("프로젝트"),(G355))))</formula>
    </cfRule>
    <cfRule type="containsText" dxfId="7228" priority="1298" operator="containsText" text="프로젝트">
      <formula>NOT(ISERROR(SEARCH(("프로젝트"),(G355))))</formula>
    </cfRule>
    <cfRule type="containsText" dxfId="7227" priority="1285" operator="containsText" text="기타">
      <formula>NOT(ISERROR(SEARCH(("기타"),(G355))))</formula>
    </cfRule>
    <cfRule type="containsText" dxfId="7226" priority="1303" operator="containsText" text="기타">
      <formula>NOT(ISERROR(SEARCH(("기타"),(G355))))</formula>
    </cfRule>
    <cfRule type="containsText" dxfId="7225" priority="1302" operator="containsText" text="정규교과">
      <formula>NOT(ISERROR(SEARCH(("정규교과"),(G355))))</formula>
    </cfRule>
    <cfRule type="containsText" dxfId="7224" priority="1301" operator="containsText" text="프로젝트">
      <formula>NOT(ISERROR(SEARCH(("프로젝트"),(G355))))</formula>
    </cfRule>
    <cfRule type="containsText" dxfId="7223" priority="1300" operator="containsText" text="기타">
      <formula>NOT(ISERROR(SEARCH(("기타"),(G355))))</formula>
    </cfRule>
    <cfRule type="containsText" dxfId="7222" priority="1299" operator="containsText" text="정규교과">
      <formula>NOT(ISERROR(SEARCH(("정규교과"),(G355))))</formula>
    </cfRule>
    <cfRule type="containsText" dxfId="7221" priority="1284" operator="containsText" text="정규교과">
      <formula>NOT(ISERROR(SEARCH(("정규교과"),(G355))))</formula>
    </cfRule>
    <cfRule type="containsText" dxfId="7220" priority="1283" operator="containsText" text="프로젝트">
      <formula>NOT(ISERROR(SEARCH(("프로젝트"),(G355))))</formula>
    </cfRule>
    <cfRule type="containsText" dxfId="7219" priority="1296" operator="containsText" text="정규교과">
      <formula>NOT(ISERROR(SEARCH(("정규교과"),(G355))))</formula>
    </cfRule>
    <cfRule type="containsText" dxfId="7218" priority="1295" operator="containsText" text="프로젝트">
      <formula>NOT(ISERROR(SEARCH(("프로젝트"),(G355))))</formula>
    </cfRule>
    <cfRule type="containsText" dxfId="7217" priority="1294" operator="containsText" text="기타">
      <formula>NOT(ISERROR(SEARCH(("기타"),(G355))))</formula>
    </cfRule>
    <cfRule type="containsText" dxfId="7216" priority="1293" operator="containsText" text="정규교과">
      <formula>NOT(ISERROR(SEARCH(("정규교과"),(G355))))</formula>
    </cfRule>
    <cfRule type="containsText" dxfId="7215" priority="1292" operator="containsText" text="프로젝트">
      <formula>NOT(ISERROR(SEARCH(("프로젝트"),(G355))))</formula>
    </cfRule>
  </conditionalFormatting>
  <conditionalFormatting sqref="G359">
    <cfRule type="containsText" dxfId="7214" priority="1160" operator="containsText" text="정규교과">
      <formula>NOT(ISERROR(SEARCH(("정규교과"),(G359))))</formula>
    </cfRule>
    <cfRule type="containsText" dxfId="7213" priority="1162" operator="containsText" text="프로젝트">
      <formula>NOT(ISERROR(SEARCH(("프로젝트"),(G359))))</formula>
    </cfRule>
    <cfRule type="containsText" dxfId="7212" priority="1158" operator="containsText" text="기타">
      <formula>NOT(ISERROR(SEARCH(("기타"),(G359))))</formula>
    </cfRule>
    <cfRule type="containsText" dxfId="7211" priority="1157" operator="containsText" text="정규교과">
      <formula>NOT(ISERROR(SEARCH(("정규교과"),(G359))))</formula>
    </cfRule>
    <cfRule type="containsText" dxfId="7210" priority="1156" operator="containsText" text="프로젝트">
      <formula>NOT(ISERROR(SEARCH(("프로젝트"),(G359))))</formula>
    </cfRule>
    <cfRule type="containsText" dxfId="7209" priority="1155" operator="containsText" text="기타">
      <formula>NOT(ISERROR(SEARCH(("기타"),(G359))))</formula>
    </cfRule>
    <cfRule type="containsText" dxfId="7208" priority="1153" operator="containsText" text="프로젝트">
      <formula>NOT(ISERROR(SEARCH(("프로젝트"),(G359))))</formula>
    </cfRule>
    <cfRule type="containsText" dxfId="7207" priority="1154" operator="containsText" text="정규교과">
      <formula>NOT(ISERROR(SEARCH(("정규교과"),(G359))))</formula>
    </cfRule>
    <cfRule type="containsText" dxfId="7206" priority="1161" operator="containsText" text="기타">
      <formula>NOT(ISERROR(SEARCH(("기타"),(G359))))</formula>
    </cfRule>
    <cfRule type="containsText" dxfId="7205" priority="1159" operator="containsText" text="프로젝트">
      <formula>NOT(ISERROR(SEARCH(("프로젝트"),(G359))))</formula>
    </cfRule>
    <cfRule type="containsText" dxfId="7204" priority="1171" operator="containsText" text="프로젝트">
      <formula>NOT(ISERROR(SEARCH(("프로젝트"),(G359))))</formula>
    </cfRule>
    <cfRule type="containsText" dxfId="7203" priority="1173" operator="containsText" text="기타">
      <formula>NOT(ISERROR(SEARCH(("기타"),(G359))))</formula>
    </cfRule>
    <cfRule type="containsText" dxfId="7202" priority="1172" operator="containsText" text="정규교과">
      <formula>NOT(ISERROR(SEARCH(("정규교과"),(G359))))</formula>
    </cfRule>
    <cfRule type="containsText" dxfId="7201" priority="1170" operator="containsText" text="기타">
      <formula>NOT(ISERROR(SEARCH(("기타"),(G359))))</formula>
    </cfRule>
    <cfRule type="containsText" dxfId="7200" priority="1169" operator="containsText" text="정규교과">
      <formula>NOT(ISERROR(SEARCH(("정규교과"),(G359))))</formula>
    </cfRule>
    <cfRule type="containsText" dxfId="7199" priority="1168" operator="containsText" text="프로젝트">
      <formula>NOT(ISERROR(SEARCH(("프로젝트"),(G359))))</formula>
    </cfRule>
    <cfRule type="containsText" dxfId="7198" priority="1167" operator="containsText" text="기타">
      <formula>NOT(ISERROR(SEARCH(("기타"),(G359))))</formula>
    </cfRule>
    <cfRule type="containsText" dxfId="7197" priority="1166" operator="containsText" text="정규교과">
      <formula>NOT(ISERROR(SEARCH(("정규교과"),(G359))))</formula>
    </cfRule>
    <cfRule type="containsText" dxfId="7196" priority="1165" operator="containsText" text="프로젝트">
      <formula>NOT(ISERROR(SEARCH(("프로젝트"),(G359))))</formula>
    </cfRule>
    <cfRule type="containsText" dxfId="7195" priority="1164" operator="containsText" text="기타">
      <formula>NOT(ISERROR(SEARCH(("기타"),(G359))))</formula>
    </cfRule>
    <cfRule type="containsText" dxfId="7194" priority="1163" operator="containsText" text="정규교과">
      <formula>NOT(ISERROR(SEARCH(("정규교과"),(G359))))</formula>
    </cfRule>
  </conditionalFormatting>
  <conditionalFormatting sqref="G363">
    <cfRule type="containsText" dxfId="7193" priority="1039" operator="containsText" text="정규교과">
      <formula>NOT(ISERROR(SEARCH(("정규교과"),(G363))))</formula>
    </cfRule>
    <cfRule type="containsText" dxfId="7192" priority="1040" operator="containsText" text="기타">
      <formula>NOT(ISERROR(SEARCH(("기타"),(G363))))</formula>
    </cfRule>
    <cfRule type="containsText" dxfId="7191" priority="1043" operator="containsText" text="기타">
      <formula>NOT(ISERROR(SEARCH(("기타"),(G363))))</formula>
    </cfRule>
    <cfRule type="containsText" dxfId="7190" priority="1037" operator="containsText" text="기타">
      <formula>NOT(ISERROR(SEARCH(("기타"),(G363))))</formula>
    </cfRule>
    <cfRule type="containsText" dxfId="7189" priority="1041" operator="containsText" text="프로젝트">
      <formula>NOT(ISERROR(SEARCH(("프로젝트"),(G363))))</formula>
    </cfRule>
    <cfRule type="containsText" dxfId="7188" priority="1032" operator="containsText" text="프로젝트">
      <formula>NOT(ISERROR(SEARCH(("프로젝트"),(G363))))</formula>
    </cfRule>
    <cfRule type="containsText" dxfId="7187" priority="1033" operator="containsText" text="정규교과">
      <formula>NOT(ISERROR(SEARCH(("정규교과"),(G363))))</formula>
    </cfRule>
    <cfRule type="containsText" dxfId="7186" priority="1038" operator="containsText" text="프로젝트">
      <formula>NOT(ISERROR(SEARCH(("프로젝트"),(G363))))</formula>
    </cfRule>
    <cfRule type="containsText" dxfId="7185" priority="1034" operator="containsText" text="기타">
      <formula>NOT(ISERROR(SEARCH(("기타"),(G363))))</formula>
    </cfRule>
    <cfRule type="containsText" dxfId="7184" priority="1035" operator="containsText" text="프로젝트">
      <formula>NOT(ISERROR(SEARCH(("프로젝트"),(G363))))</formula>
    </cfRule>
    <cfRule type="containsText" dxfId="7183" priority="1031" operator="containsText" text="기타">
      <formula>NOT(ISERROR(SEARCH(("기타"),(G363))))</formula>
    </cfRule>
    <cfRule type="containsText" dxfId="7182" priority="1030" operator="containsText" text="정규교과">
      <formula>NOT(ISERROR(SEARCH(("정규교과"),(G363))))</formula>
    </cfRule>
    <cfRule type="containsText" dxfId="7181" priority="1029" operator="containsText" text="프로젝트">
      <formula>NOT(ISERROR(SEARCH(("프로젝트"),(G363))))</formula>
    </cfRule>
    <cfRule type="containsText" dxfId="7180" priority="1042" operator="containsText" text="정규교과">
      <formula>NOT(ISERROR(SEARCH(("정규교과"),(G363))))</formula>
    </cfRule>
    <cfRule type="containsText" dxfId="7179" priority="1027" operator="containsText" text="정규교과">
      <formula>NOT(ISERROR(SEARCH(("정규교과"),(G363))))</formula>
    </cfRule>
    <cfRule type="containsText" dxfId="7178" priority="1026" operator="containsText" text="프로젝트">
      <formula>NOT(ISERROR(SEARCH(("프로젝트"),(G363))))</formula>
    </cfRule>
    <cfRule type="containsText" dxfId="7177" priority="1025" operator="containsText" text="기타">
      <formula>NOT(ISERROR(SEARCH(("기타"),(G363))))</formula>
    </cfRule>
    <cfRule type="containsText" dxfId="7176" priority="1024" operator="containsText" text="정규교과">
      <formula>NOT(ISERROR(SEARCH(("정규교과"),(G363))))</formula>
    </cfRule>
    <cfRule type="containsText" dxfId="7175" priority="1023" operator="containsText" text="프로젝트">
      <formula>NOT(ISERROR(SEARCH(("프로젝트"),(G363))))</formula>
    </cfRule>
    <cfRule type="containsText" dxfId="7174" priority="1036" operator="containsText" text="정규교과">
      <formula>NOT(ISERROR(SEARCH(("정규교과"),(G363))))</formula>
    </cfRule>
    <cfRule type="containsText" dxfId="7173" priority="1028" operator="containsText" text="기타">
      <formula>NOT(ISERROR(SEARCH(("기타"),(G363))))</formula>
    </cfRule>
  </conditionalFormatting>
  <conditionalFormatting sqref="G368">
    <cfRule type="containsText" dxfId="7172" priority="898" operator="containsText" text="기타">
      <formula>NOT(ISERROR(SEARCH(("기타"),(G368))))</formula>
    </cfRule>
    <cfRule type="containsText" dxfId="7171" priority="897" operator="containsText" text="정규교과">
      <formula>NOT(ISERROR(SEARCH(("정규교과"),(G368))))</formula>
    </cfRule>
    <cfRule type="containsText" dxfId="7170" priority="896" operator="containsText" text="프로젝트">
      <formula>NOT(ISERROR(SEARCH(("프로젝트"),(G368))))</formula>
    </cfRule>
    <cfRule type="containsText" dxfId="7169" priority="912" operator="containsText" text="정규교과">
      <formula>NOT(ISERROR(SEARCH(("정규교과"),(G368))))</formula>
    </cfRule>
    <cfRule type="containsText" dxfId="7168" priority="895" operator="containsText" text="기타">
      <formula>NOT(ISERROR(SEARCH(("기타"),(G368))))</formula>
    </cfRule>
    <cfRule type="containsText" dxfId="7167" priority="907" operator="containsText" text="기타">
      <formula>NOT(ISERROR(SEARCH(("기타"),(G368))))</formula>
    </cfRule>
    <cfRule type="containsText" dxfId="7166" priority="908" operator="containsText" text="프로젝트">
      <formula>NOT(ISERROR(SEARCH(("프로젝트"),(G368))))</formula>
    </cfRule>
    <cfRule type="containsText" dxfId="7165" priority="909" operator="containsText" text="정규교과">
      <formula>NOT(ISERROR(SEARCH(("정규교과"),(G368))))</formula>
    </cfRule>
    <cfRule type="containsText" dxfId="7164" priority="910" operator="containsText" text="기타">
      <formula>NOT(ISERROR(SEARCH(("기타"),(G368))))</formula>
    </cfRule>
    <cfRule type="containsText" dxfId="7163" priority="894" operator="containsText" text="정규교과">
      <formula>NOT(ISERROR(SEARCH(("정규교과"),(G368))))</formula>
    </cfRule>
    <cfRule type="containsText" dxfId="7162" priority="913" operator="containsText" text="기타">
      <formula>NOT(ISERROR(SEARCH(("기타"),(G368))))</formula>
    </cfRule>
    <cfRule type="containsText" dxfId="7161" priority="893" operator="containsText" text="프로젝트">
      <formula>NOT(ISERROR(SEARCH(("프로젝트"),(G368))))</formula>
    </cfRule>
    <cfRule type="containsText" dxfId="7160" priority="906" operator="containsText" text="정규교과">
      <formula>NOT(ISERROR(SEARCH(("정규교과"),(G368))))</formula>
    </cfRule>
    <cfRule type="containsText" dxfId="7159" priority="905" operator="containsText" text="프로젝트">
      <formula>NOT(ISERROR(SEARCH(("프로젝트"),(G368))))</formula>
    </cfRule>
    <cfRule type="containsText" dxfId="7158" priority="904" operator="containsText" text="기타">
      <formula>NOT(ISERROR(SEARCH(("기타"),(G368))))</formula>
    </cfRule>
    <cfRule type="containsText" dxfId="7157" priority="911" operator="containsText" text="프로젝트">
      <formula>NOT(ISERROR(SEARCH(("프로젝트"),(G368))))</formula>
    </cfRule>
    <cfRule type="containsText" dxfId="7156" priority="903" operator="containsText" text="정규교과">
      <formula>NOT(ISERROR(SEARCH(("정규교과"),(G368))))</formula>
    </cfRule>
    <cfRule type="containsText" dxfId="7155" priority="902" operator="containsText" text="프로젝트">
      <formula>NOT(ISERROR(SEARCH(("프로젝트"),(G368))))</formula>
    </cfRule>
    <cfRule type="containsText" dxfId="7154" priority="901" operator="containsText" text="기타">
      <formula>NOT(ISERROR(SEARCH(("기타"),(G368))))</formula>
    </cfRule>
    <cfRule type="containsText" dxfId="7153" priority="900" operator="containsText" text="정규교과">
      <formula>NOT(ISERROR(SEARCH(("정규교과"),(G368))))</formula>
    </cfRule>
    <cfRule type="containsText" dxfId="7152" priority="899" operator="containsText" text="프로젝트">
      <formula>NOT(ISERROR(SEARCH(("프로젝트"),(G368))))</formula>
    </cfRule>
  </conditionalFormatting>
  <conditionalFormatting sqref="G372">
    <cfRule type="containsText" dxfId="7151" priority="781" operator="containsText" text="프로젝트">
      <formula>NOT(ISERROR(SEARCH(("프로젝트"),(G372))))</formula>
    </cfRule>
    <cfRule type="containsText" dxfId="7150" priority="767" operator="containsText" text="정규교과">
      <formula>NOT(ISERROR(SEARCH(("정규교과"),(G372))))</formula>
    </cfRule>
    <cfRule type="containsText" dxfId="7149" priority="768" operator="containsText" text="기타">
      <formula>NOT(ISERROR(SEARCH(("기타"),(G372))))</formula>
    </cfRule>
    <cfRule type="containsText" dxfId="7148" priority="769" operator="containsText" text="프로젝트">
      <formula>NOT(ISERROR(SEARCH(("프로젝트"),(G372))))</formula>
    </cfRule>
    <cfRule type="containsText" dxfId="7147" priority="770" operator="containsText" text="정규교과">
      <formula>NOT(ISERROR(SEARCH(("정규교과"),(G372))))</formula>
    </cfRule>
    <cfRule type="containsText" dxfId="7146" priority="771" operator="containsText" text="기타">
      <formula>NOT(ISERROR(SEARCH(("기타"),(G372))))</formula>
    </cfRule>
    <cfRule type="containsText" dxfId="7145" priority="772" operator="containsText" text="프로젝트">
      <formula>NOT(ISERROR(SEARCH(("프로젝트"),(G372))))</formula>
    </cfRule>
    <cfRule type="containsText" dxfId="7144" priority="773" operator="containsText" text="정규교과">
      <formula>NOT(ISERROR(SEARCH(("정규교과"),(G372))))</formula>
    </cfRule>
    <cfRule type="containsText" dxfId="7143" priority="774" operator="containsText" text="기타">
      <formula>NOT(ISERROR(SEARCH(("기타"),(G372))))</formula>
    </cfRule>
    <cfRule type="containsText" dxfId="7142" priority="775" operator="containsText" text="프로젝트">
      <formula>NOT(ISERROR(SEARCH(("프로젝트"),(G372))))</formula>
    </cfRule>
    <cfRule type="containsText" dxfId="7141" priority="776" operator="containsText" text="정규교과">
      <formula>NOT(ISERROR(SEARCH(("정규교과"),(G372))))</formula>
    </cfRule>
    <cfRule type="containsText" dxfId="7140" priority="777" operator="containsText" text="기타">
      <formula>NOT(ISERROR(SEARCH(("기타"),(G372))))</formula>
    </cfRule>
    <cfRule type="containsText" dxfId="7139" priority="778" operator="containsText" text="프로젝트">
      <formula>NOT(ISERROR(SEARCH(("프로젝트"),(G372))))</formula>
    </cfRule>
    <cfRule type="containsText" dxfId="7138" priority="779" operator="containsText" text="정규교과">
      <formula>NOT(ISERROR(SEARCH(("정규교과"),(G372))))</formula>
    </cfRule>
    <cfRule type="containsText" dxfId="7137" priority="780" operator="containsText" text="기타">
      <formula>NOT(ISERROR(SEARCH(("기타"),(G372))))</formula>
    </cfRule>
    <cfRule type="containsText" dxfId="7136" priority="782" operator="containsText" text="정규교과">
      <formula>NOT(ISERROR(SEARCH(("정규교과"),(G372))))</formula>
    </cfRule>
    <cfRule type="containsText" dxfId="7135" priority="766" operator="containsText" text="프로젝트">
      <formula>NOT(ISERROR(SEARCH(("프로젝트"),(G372))))</formula>
    </cfRule>
    <cfRule type="containsText" dxfId="7134" priority="783" operator="containsText" text="기타">
      <formula>NOT(ISERROR(SEARCH(("기타"),(G372))))</formula>
    </cfRule>
    <cfRule type="containsText" dxfId="7133" priority="763" operator="containsText" text="프로젝트">
      <formula>NOT(ISERROR(SEARCH(("프로젝트"),(G372))))</formula>
    </cfRule>
    <cfRule type="containsText" dxfId="7132" priority="764" operator="containsText" text="정규교과">
      <formula>NOT(ISERROR(SEARCH(("정규교과"),(G372))))</formula>
    </cfRule>
    <cfRule type="containsText" dxfId="7131" priority="765" operator="containsText" text="기타">
      <formula>NOT(ISERROR(SEARCH(("기타"),(G372))))</formula>
    </cfRule>
  </conditionalFormatting>
  <conditionalFormatting sqref="G376">
    <cfRule type="containsText" dxfId="7130" priority="635" operator="containsText" text="기타">
      <formula>NOT(ISERROR(SEARCH(("기타"),(G376))))</formula>
    </cfRule>
    <cfRule type="containsText" dxfId="7129" priority="652" operator="containsText" text="정규교과">
      <formula>NOT(ISERROR(SEARCH(("정규교과"),(G376))))</formula>
    </cfRule>
    <cfRule type="containsText" dxfId="7128" priority="637" operator="containsText" text="정규교과">
      <formula>NOT(ISERROR(SEARCH(("정규교과"),(G376))))</formula>
    </cfRule>
    <cfRule type="containsText" dxfId="7127" priority="638" operator="containsText" text="기타">
      <formula>NOT(ISERROR(SEARCH(("기타"),(G376))))</formula>
    </cfRule>
    <cfRule type="containsText" dxfId="7126" priority="639" operator="containsText" text="프로젝트">
      <formula>NOT(ISERROR(SEARCH(("프로젝트"),(G376))))</formula>
    </cfRule>
    <cfRule type="containsText" dxfId="7125" priority="640" operator="containsText" text="정규교과">
      <formula>NOT(ISERROR(SEARCH(("정규교과"),(G376))))</formula>
    </cfRule>
    <cfRule type="containsText" dxfId="7124" priority="641" operator="containsText" text="기타">
      <formula>NOT(ISERROR(SEARCH(("기타"),(G376))))</formula>
    </cfRule>
    <cfRule type="containsText" dxfId="7123" priority="650" operator="containsText" text="기타">
      <formula>NOT(ISERROR(SEARCH(("기타"),(G376))))</formula>
    </cfRule>
    <cfRule type="containsText" dxfId="7122" priority="649" operator="containsText" text="정규교과">
      <formula>NOT(ISERROR(SEARCH(("정규교과"),(G376))))</formula>
    </cfRule>
    <cfRule type="containsText" dxfId="7121" priority="648" operator="containsText" text="프로젝트">
      <formula>NOT(ISERROR(SEARCH(("프로젝트"),(G376))))</formula>
    </cfRule>
    <cfRule type="containsText" dxfId="7120" priority="647" operator="containsText" text="기타">
      <formula>NOT(ISERROR(SEARCH(("기타"),(G376))))</formula>
    </cfRule>
    <cfRule type="containsText" dxfId="7119" priority="643" operator="containsText" text="정규교과">
      <formula>NOT(ISERROR(SEARCH(("정규교과"),(G376))))</formula>
    </cfRule>
    <cfRule type="containsText" dxfId="7118" priority="644" operator="containsText" text="기타">
      <formula>NOT(ISERROR(SEARCH(("기타"),(G376))))</formula>
    </cfRule>
    <cfRule type="containsText" dxfId="7117" priority="645" operator="containsText" text="프로젝트">
      <formula>NOT(ISERROR(SEARCH(("프로젝트"),(G376))))</formula>
    </cfRule>
    <cfRule type="containsText" dxfId="7116" priority="646" operator="containsText" text="정규교과">
      <formula>NOT(ISERROR(SEARCH(("정규교과"),(G376))))</formula>
    </cfRule>
    <cfRule type="containsText" dxfId="7115" priority="636" operator="containsText" text="프로젝트">
      <formula>NOT(ISERROR(SEARCH(("프로젝트"),(G376))))</formula>
    </cfRule>
    <cfRule type="containsText" dxfId="7114" priority="653" operator="containsText" text="기타">
      <formula>NOT(ISERROR(SEARCH(("기타"),(G376))))</formula>
    </cfRule>
    <cfRule type="containsText" dxfId="7113" priority="651" operator="containsText" text="프로젝트">
      <formula>NOT(ISERROR(SEARCH(("프로젝트"),(G376))))</formula>
    </cfRule>
    <cfRule type="containsText" dxfId="7112" priority="633" operator="containsText" text="프로젝트">
      <formula>NOT(ISERROR(SEARCH(("프로젝트"),(G376))))</formula>
    </cfRule>
    <cfRule type="containsText" dxfId="7111" priority="634" operator="containsText" text="정규교과">
      <formula>NOT(ISERROR(SEARCH(("정규교과"),(G376))))</formula>
    </cfRule>
    <cfRule type="containsText" dxfId="7110" priority="642" operator="containsText" text="프로젝트">
      <formula>NOT(ISERROR(SEARCH(("프로젝트"),(G376))))</formula>
    </cfRule>
  </conditionalFormatting>
  <conditionalFormatting sqref="G380">
    <cfRule type="containsText" dxfId="7109" priority="504" operator="containsText" text="정규교과">
      <formula>NOT(ISERROR(SEARCH(("정규교과"),(G380))))</formula>
    </cfRule>
    <cfRule type="containsText" dxfId="7108" priority="503" operator="containsText" text="프로젝트">
      <formula>NOT(ISERROR(SEARCH(("프로젝트"),(G380))))</formula>
    </cfRule>
    <cfRule type="containsText" dxfId="7107" priority="506" operator="containsText" text="프로젝트">
      <formula>NOT(ISERROR(SEARCH(("프로젝트"),(G380))))</formula>
    </cfRule>
    <cfRule type="containsText" dxfId="7106" priority="523" operator="containsText" text="기타">
      <formula>NOT(ISERROR(SEARCH(("기타"),(G380))))</formula>
    </cfRule>
    <cfRule type="containsText" dxfId="7105" priority="522" operator="containsText" text="정규교과">
      <formula>NOT(ISERROR(SEARCH(("정규교과"),(G380))))</formula>
    </cfRule>
    <cfRule type="containsText" dxfId="7104" priority="521" operator="containsText" text="프로젝트">
      <formula>NOT(ISERROR(SEARCH(("프로젝트"),(G380))))</formula>
    </cfRule>
    <cfRule type="containsText" dxfId="7103" priority="520" operator="containsText" text="기타">
      <formula>NOT(ISERROR(SEARCH(("기타"),(G380))))</formula>
    </cfRule>
    <cfRule type="containsText" dxfId="7102" priority="519" operator="containsText" text="정규교과">
      <formula>NOT(ISERROR(SEARCH(("정규교과"),(G380))))</formula>
    </cfRule>
    <cfRule type="containsText" dxfId="7101" priority="518" operator="containsText" text="프로젝트">
      <formula>NOT(ISERROR(SEARCH(("프로젝트"),(G380))))</formula>
    </cfRule>
    <cfRule type="containsText" dxfId="7100" priority="517" operator="containsText" text="기타">
      <formula>NOT(ISERROR(SEARCH(("기타"),(G380))))</formula>
    </cfRule>
    <cfRule type="containsText" dxfId="7099" priority="516" operator="containsText" text="정규교과">
      <formula>NOT(ISERROR(SEARCH(("정규교과"),(G380))))</formula>
    </cfRule>
    <cfRule type="containsText" dxfId="7098" priority="515" operator="containsText" text="프로젝트">
      <formula>NOT(ISERROR(SEARCH(("프로젝트"),(G380))))</formula>
    </cfRule>
    <cfRule type="containsText" dxfId="7097" priority="514" operator="containsText" text="기타">
      <formula>NOT(ISERROR(SEARCH(("기타"),(G380))))</formula>
    </cfRule>
    <cfRule type="containsText" dxfId="7096" priority="513" operator="containsText" text="정규교과">
      <formula>NOT(ISERROR(SEARCH(("정규교과"),(G380))))</formula>
    </cfRule>
    <cfRule type="containsText" dxfId="7095" priority="512" operator="containsText" text="프로젝트">
      <formula>NOT(ISERROR(SEARCH(("프로젝트"),(G380))))</formula>
    </cfRule>
    <cfRule type="containsText" dxfId="7094" priority="511" operator="containsText" text="기타">
      <formula>NOT(ISERROR(SEARCH(("기타"),(G380))))</formula>
    </cfRule>
    <cfRule type="containsText" dxfId="7093" priority="510" operator="containsText" text="정규교과">
      <formula>NOT(ISERROR(SEARCH(("정규교과"),(G380))))</formula>
    </cfRule>
    <cfRule type="containsText" dxfId="7092" priority="509" operator="containsText" text="프로젝트">
      <formula>NOT(ISERROR(SEARCH(("프로젝트"),(G380))))</formula>
    </cfRule>
    <cfRule type="containsText" dxfId="7091" priority="508" operator="containsText" text="기타">
      <formula>NOT(ISERROR(SEARCH(("기타"),(G380))))</formula>
    </cfRule>
    <cfRule type="containsText" dxfId="7090" priority="507" operator="containsText" text="정규교과">
      <formula>NOT(ISERROR(SEARCH(("정규교과"),(G380))))</formula>
    </cfRule>
    <cfRule type="containsText" dxfId="7089" priority="505" operator="containsText" text="기타">
      <formula>NOT(ISERROR(SEARCH(("기타"),(G380))))</formula>
    </cfRule>
  </conditionalFormatting>
  <conditionalFormatting sqref="G384">
    <cfRule type="containsText" dxfId="7088" priority="390" operator="containsText" text="기타">
      <formula>NOT(ISERROR(SEARCH(("기타"),(G384))))</formula>
    </cfRule>
    <cfRule type="containsText" dxfId="7087" priority="386" operator="containsText" text="정규교과">
      <formula>NOT(ISERROR(SEARCH(("정규교과"),(G384))))</formula>
    </cfRule>
    <cfRule type="containsText" dxfId="7086" priority="387" operator="containsText" text="기타">
      <formula>NOT(ISERROR(SEARCH(("기타"),(G384))))</formula>
    </cfRule>
    <cfRule type="containsText" dxfId="7085" priority="388" operator="containsText" text="프로젝트">
      <formula>NOT(ISERROR(SEARCH(("프로젝트"),(G384))))</formula>
    </cfRule>
    <cfRule type="containsText" dxfId="7084" priority="389" operator="containsText" text="정규교과">
      <formula>NOT(ISERROR(SEARCH(("정규교과"),(G384))))</formula>
    </cfRule>
    <cfRule type="containsText" dxfId="7083" priority="393" operator="containsText" text="기타">
      <formula>NOT(ISERROR(SEARCH(("기타"),(G384))))</formula>
    </cfRule>
    <cfRule type="containsText" dxfId="7082" priority="379" operator="containsText" text="프로젝트">
      <formula>NOT(ISERROR(SEARCH(("프로젝트"),(G384))))</formula>
    </cfRule>
    <cfRule type="containsText" dxfId="7081" priority="391" operator="containsText" text="프로젝트">
      <formula>NOT(ISERROR(SEARCH(("프로젝트"),(G384))))</formula>
    </cfRule>
    <cfRule type="containsText" dxfId="7080" priority="392" operator="containsText" text="정규교과">
      <formula>NOT(ISERROR(SEARCH(("정규교과"),(G384))))</formula>
    </cfRule>
    <cfRule type="containsText" dxfId="7079" priority="373" operator="containsText" text="프로젝트">
      <formula>NOT(ISERROR(SEARCH(("프로젝트"),(G384))))</formula>
    </cfRule>
    <cfRule type="containsText" dxfId="7078" priority="374" operator="containsText" text="정규교과">
      <formula>NOT(ISERROR(SEARCH(("정규교과"),(G384))))</formula>
    </cfRule>
    <cfRule type="containsText" dxfId="7077" priority="375" operator="containsText" text="기타">
      <formula>NOT(ISERROR(SEARCH(("기타"),(G384))))</formula>
    </cfRule>
    <cfRule type="containsText" dxfId="7076" priority="376" operator="containsText" text="프로젝트">
      <formula>NOT(ISERROR(SEARCH(("프로젝트"),(G384))))</formula>
    </cfRule>
    <cfRule type="containsText" dxfId="7075" priority="377" operator="containsText" text="정규교과">
      <formula>NOT(ISERROR(SEARCH(("정규교과"),(G384))))</formula>
    </cfRule>
    <cfRule type="containsText" dxfId="7074" priority="378" operator="containsText" text="기타">
      <formula>NOT(ISERROR(SEARCH(("기타"),(G384))))</formula>
    </cfRule>
    <cfRule type="containsText" dxfId="7073" priority="380" operator="containsText" text="정규교과">
      <formula>NOT(ISERROR(SEARCH(("정규교과"),(G384))))</formula>
    </cfRule>
    <cfRule type="containsText" dxfId="7072" priority="381" operator="containsText" text="기타">
      <formula>NOT(ISERROR(SEARCH(("기타"),(G384))))</formula>
    </cfRule>
    <cfRule type="containsText" dxfId="7071" priority="382" operator="containsText" text="프로젝트">
      <formula>NOT(ISERROR(SEARCH(("프로젝트"),(G384))))</formula>
    </cfRule>
    <cfRule type="containsText" dxfId="7070" priority="383" operator="containsText" text="정규교과">
      <formula>NOT(ISERROR(SEARCH(("정규교과"),(G384))))</formula>
    </cfRule>
    <cfRule type="containsText" dxfId="7069" priority="384" operator="containsText" text="기타">
      <formula>NOT(ISERROR(SEARCH(("기타"),(G384))))</formula>
    </cfRule>
    <cfRule type="containsText" dxfId="7068" priority="385" operator="containsText" text="프로젝트">
      <formula>NOT(ISERROR(SEARCH(("프로젝트"),(G384))))</formula>
    </cfRule>
  </conditionalFormatting>
  <conditionalFormatting sqref="G219:H219">
    <cfRule type="containsText" dxfId="7067" priority="4519" operator="containsText" text="기타">
      <formula>NOT(ISERROR(SEARCH(("기타"),(G219))))</formula>
    </cfRule>
    <cfRule type="containsText" dxfId="7066" priority="4505" operator="containsText" text="프로젝트">
      <formula>NOT(ISERROR(SEARCH(("프로젝트"),(G219))))</formula>
    </cfRule>
    <cfRule type="containsText" dxfId="7065" priority="4506" operator="containsText" text="정규교과">
      <formula>NOT(ISERROR(SEARCH(("정규교과"),(G219))))</formula>
    </cfRule>
    <cfRule type="containsText" dxfId="7064" priority="4501" operator="containsText" text="프로젝트">
      <formula>NOT(ISERROR(SEARCH(("프로젝트"),(G219))))</formula>
    </cfRule>
    <cfRule type="containsText" dxfId="7063" priority="4507" operator="containsText" text="기타">
      <formula>NOT(ISERROR(SEARCH(("기타"),(G219))))</formula>
    </cfRule>
    <cfRule type="containsText" dxfId="7062" priority="4508" operator="containsText" text="프로젝트">
      <formula>NOT(ISERROR(SEARCH(("프로젝트"),(G219))))</formula>
    </cfRule>
    <cfRule type="containsText" dxfId="7061" priority="4509" operator="containsText" text="정규교과">
      <formula>NOT(ISERROR(SEARCH(("정규교과"),(G219))))</formula>
    </cfRule>
    <cfRule type="containsText" dxfId="7060" priority="4511" operator="containsText" text="프로젝트">
      <formula>NOT(ISERROR(SEARCH(("프로젝트"),(G219))))</formula>
    </cfRule>
    <cfRule type="containsText" dxfId="7059" priority="4510" operator="containsText" text="기타">
      <formula>NOT(ISERROR(SEARCH(("기타"),(G219))))</formula>
    </cfRule>
    <cfRule type="containsText" dxfId="7058" priority="4513" operator="containsText" text="기타">
      <formula>NOT(ISERROR(SEARCH(("기타"),(G219))))</formula>
    </cfRule>
    <cfRule type="containsText" dxfId="7057" priority="4514" operator="containsText" text="프로젝트">
      <formula>NOT(ISERROR(SEARCH(("프로젝트"),(G219))))</formula>
    </cfRule>
    <cfRule type="containsText" dxfId="7056" priority="4515" operator="containsText" text="정규교과">
      <formula>NOT(ISERROR(SEARCH(("정규교과"),(G219))))</formula>
    </cfRule>
    <cfRule type="containsText" dxfId="7055" priority="4516" operator="containsText" text="기타">
      <formula>NOT(ISERROR(SEARCH(("기타"),(G219))))</formula>
    </cfRule>
    <cfRule type="containsText" dxfId="7054" priority="4517" operator="containsText" text="프로젝트">
      <formula>NOT(ISERROR(SEARCH(("프로젝트"),(G219))))</formula>
    </cfRule>
    <cfRule type="containsText" dxfId="7053" priority="4518" operator="containsText" text="정규교과">
      <formula>NOT(ISERROR(SEARCH(("정규교과"),(G219))))</formula>
    </cfRule>
    <cfRule type="containsText" dxfId="7052" priority="4512" operator="containsText" text="정규교과">
      <formula>NOT(ISERROR(SEARCH(("정규교과"),(G219))))</formula>
    </cfRule>
    <cfRule type="containsText" dxfId="7051" priority="4500" operator="containsText" text="기타">
      <formula>NOT(ISERROR(SEARCH(("기타"),(G219))))</formula>
    </cfRule>
    <cfRule type="containsText" dxfId="7050" priority="4502" operator="containsText" text="정규교과">
      <formula>NOT(ISERROR(SEARCH(("정규교과"),(G219))))</formula>
    </cfRule>
    <cfRule type="containsText" dxfId="7049" priority="4499" operator="containsText" text="정규교과">
      <formula>NOT(ISERROR(SEARCH(("정규교과"),(G219))))</formula>
    </cfRule>
    <cfRule type="containsText" dxfId="7048" priority="4498" operator="containsText" text="프로젝트">
      <formula>NOT(ISERROR(SEARCH(("프로젝트"),(G219))))</formula>
    </cfRule>
    <cfRule type="containsText" dxfId="7047" priority="4497" operator="containsText" text="기타">
      <formula>NOT(ISERROR(SEARCH(("기타"),(G219))))</formula>
    </cfRule>
    <cfRule type="containsText" dxfId="7046" priority="4504" operator="containsText" text="휴강">
      <formula>NOT(ISERROR(SEARCH(("휴강"),(G219))))</formula>
    </cfRule>
    <cfRule type="containsText" dxfId="7045" priority="4496" operator="containsText" text="정규교과">
      <formula>NOT(ISERROR(SEARCH(("정규교과"),(G219))))</formula>
    </cfRule>
    <cfRule type="containsText" dxfId="7044" priority="4495" operator="containsText" text="프로젝트">
      <formula>NOT(ISERROR(SEARCH(("프로젝트"),(G219))))</formula>
    </cfRule>
    <cfRule type="containsText" dxfId="7043" priority="4494" operator="containsText" text="기타">
      <formula>NOT(ISERROR(SEARCH(("기타"),(G219))))</formula>
    </cfRule>
    <cfRule type="containsText" dxfId="7042" priority="4493" operator="containsText" text="정규교과">
      <formula>NOT(ISERROR(SEARCH(("정규교과"),(G219))))</formula>
    </cfRule>
    <cfRule type="containsText" dxfId="7041" priority="4492" operator="containsText" text="프로젝트">
      <formula>NOT(ISERROR(SEARCH(("프로젝트"),(G219))))</formula>
    </cfRule>
    <cfRule type="containsText" dxfId="7040" priority="4503" operator="containsText" text="기타">
      <formula>NOT(ISERROR(SEARCH(("기타"),(G219))))</formula>
    </cfRule>
  </conditionalFormatting>
  <conditionalFormatting sqref="G223:H223">
    <cfRule type="containsText" dxfId="7039" priority="4476" operator="containsText" text="휴강">
      <formula>NOT(ISERROR(SEARCH(("휴강"),(G223))))</formula>
    </cfRule>
    <cfRule type="containsText" dxfId="7038" priority="4475" operator="containsText" text="기타">
      <formula>NOT(ISERROR(SEARCH(("기타"),(G223))))</formula>
    </cfRule>
    <cfRule type="containsText" dxfId="7037" priority="4474" operator="containsText" text="정규교과">
      <formula>NOT(ISERROR(SEARCH(("정규교과"),(G223))))</formula>
    </cfRule>
    <cfRule type="containsText" dxfId="7036" priority="4473" operator="containsText" text="프로젝트">
      <formula>NOT(ISERROR(SEARCH(("프로젝트"),(G223))))</formula>
    </cfRule>
    <cfRule type="containsText" dxfId="7035" priority="4472" operator="containsText" text="기타">
      <formula>NOT(ISERROR(SEARCH(("기타"),(G223))))</formula>
    </cfRule>
    <cfRule type="containsText" dxfId="7034" priority="4471" operator="containsText" text="정규교과">
      <formula>NOT(ISERROR(SEARCH(("정규교과"),(G223))))</formula>
    </cfRule>
    <cfRule type="containsText" dxfId="7033" priority="4470" operator="containsText" text="프로젝트">
      <formula>NOT(ISERROR(SEARCH(("프로젝트"),(G223))))</formula>
    </cfRule>
    <cfRule type="containsText" dxfId="7032" priority="4491" operator="containsText" text="기타">
      <formula>NOT(ISERROR(SEARCH(("기타"),(G223))))</formula>
    </cfRule>
    <cfRule type="containsText" dxfId="7031" priority="4490" operator="containsText" text="정규교과">
      <formula>NOT(ISERROR(SEARCH(("정규교과"),(G223))))</formula>
    </cfRule>
    <cfRule type="containsText" dxfId="7030" priority="4489" operator="containsText" text="프로젝트">
      <formula>NOT(ISERROR(SEARCH(("프로젝트"),(G223))))</formula>
    </cfRule>
    <cfRule type="containsText" dxfId="7029" priority="4488" operator="containsText" text="기타">
      <formula>NOT(ISERROR(SEARCH(("기타"),(G223))))</formula>
    </cfRule>
    <cfRule type="containsText" dxfId="7028" priority="4487" operator="containsText" text="정규교과">
      <formula>NOT(ISERROR(SEARCH(("정규교과"),(G223))))</formula>
    </cfRule>
    <cfRule type="containsText" dxfId="7027" priority="4486" operator="containsText" text="프로젝트">
      <formula>NOT(ISERROR(SEARCH(("프로젝트"),(G223))))</formula>
    </cfRule>
    <cfRule type="containsText" dxfId="7026" priority="4485" operator="containsText" text="기타">
      <formula>NOT(ISERROR(SEARCH(("기타"),(G223))))</formula>
    </cfRule>
    <cfRule type="containsText" dxfId="7025" priority="4484" operator="containsText" text="정규교과">
      <formula>NOT(ISERROR(SEARCH(("정규교과"),(G223))))</formula>
    </cfRule>
    <cfRule type="containsText" dxfId="7024" priority="4483" operator="containsText" text="프로젝트">
      <formula>NOT(ISERROR(SEARCH(("프로젝트"),(G223))))</formula>
    </cfRule>
    <cfRule type="containsText" dxfId="7023" priority="4482" operator="containsText" text="기타">
      <formula>NOT(ISERROR(SEARCH(("기타"),(G223))))</formula>
    </cfRule>
    <cfRule type="containsText" dxfId="7022" priority="4481" operator="containsText" text="정규교과">
      <formula>NOT(ISERROR(SEARCH(("정규교과"),(G223))))</formula>
    </cfRule>
    <cfRule type="containsText" dxfId="7021" priority="4480" operator="containsText" text="프로젝트">
      <formula>NOT(ISERROR(SEARCH(("프로젝트"),(G223))))</formula>
    </cfRule>
    <cfRule type="containsText" dxfId="7020" priority="4479" operator="containsText" text="기타">
      <formula>NOT(ISERROR(SEARCH(("기타"),(G223))))</formula>
    </cfRule>
    <cfRule type="containsText" dxfId="7019" priority="4478" operator="containsText" text="정규교과">
      <formula>NOT(ISERROR(SEARCH(("정규교과"),(G223))))</formula>
    </cfRule>
    <cfRule type="containsText" dxfId="7018" priority="4469" operator="containsText" text="기타">
      <formula>NOT(ISERROR(SEARCH(("기타"),(G223))))</formula>
    </cfRule>
    <cfRule type="containsText" dxfId="7017" priority="4468" operator="containsText" text="정규교과">
      <formula>NOT(ISERROR(SEARCH(("정규교과"),(G223))))</formula>
    </cfRule>
    <cfRule type="containsText" dxfId="7016" priority="4467" operator="containsText" text="프로젝트">
      <formula>NOT(ISERROR(SEARCH(("프로젝트"),(G223))))</formula>
    </cfRule>
    <cfRule type="containsText" dxfId="7015" priority="4466" operator="containsText" text="기타">
      <formula>NOT(ISERROR(SEARCH(("기타"),(G223))))</formula>
    </cfRule>
    <cfRule type="containsText" dxfId="7014" priority="4465" operator="containsText" text="정규교과">
      <formula>NOT(ISERROR(SEARCH(("정규교과"),(G223))))</formula>
    </cfRule>
    <cfRule type="containsText" dxfId="7013" priority="4464" operator="containsText" text="프로젝트">
      <formula>NOT(ISERROR(SEARCH(("프로젝트"),(G223))))</formula>
    </cfRule>
    <cfRule type="containsText" dxfId="7012" priority="4477" operator="containsText" text="프로젝트">
      <formula>NOT(ISERROR(SEARCH(("프로젝트"),(G223))))</formula>
    </cfRule>
  </conditionalFormatting>
  <conditionalFormatting sqref="G228:H228">
    <cfRule type="containsText" dxfId="7011" priority="4442" operator="containsText" text="프로젝트">
      <formula>NOT(ISERROR(SEARCH(("프로젝트"),(G228))))</formula>
    </cfRule>
    <cfRule type="containsText" dxfId="7010" priority="4462" operator="containsText" text="정규교과">
      <formula>NOT(ISERROR(SEARCH(("정규교과"),(G228))))</formula>
    </cfRule>
    <cfRule type="containsText" dxfId="7009" priority="4463" operator="containsText" text="기타">
      <formula>NOT(ISERROR(SEARCH(("기타"),(G228))))</formula>
    </cfRule>
    <cfRule type="containsText" dxfId="7008" priority="4457" operator="containsText" text="기타">
      <formula>NOT(ISERROR(SEARCH(("기타"),(G228))))</formula>
    </cfRule>
    <cfRule type="containsText" dxfId="7007" priority="4444" operator="containsText" text="기타">
      <formula>NOT(ISERROR(SEARCH(("기타"),(G228))))</formula>
    </cfRule>
    <cfRule type="containsText" dxfId="7006" priority="4441" operator="containsText" text="기타">
      <formula>NOT(ISERROR(SEARCH(("기타"),(G228))))</formula>
    </cfRule>
    <cfRule type="containsText" dxfId="7005" priority="4440" operator="containsText" text="정규교과">
      <formula>NOT(ISERROR(SEARCH(("정규교과"),(G228))))</formula>
    </cfRule>
    <cfRule type="containsText" dxfId="7004" priority="4445" operator="containsText" text="프로젝트">
      <formula>NOT(ISERROR(SEARCH(("프로젝트"),(G228))))</formula>
    </cfRule>
    <cfRule type="containsText" dxfId="7003" priority="4446" operator="containsText" text="정규교과">
      <formula>NOT(ISERROR(SEARCH(("정규교과"),(G228))))</formula>
    </cfRule>
    <cfRule type="containsText" dxfId="7002" priority="4447" operator="containsText" text="기타">
      <formula>NOT(ISERROR(SEARCH(("기타"),(G228))))</formula>
    </cfRule>
    <cfRule type="containsText" dxfId="7001" priority="4448" operator="containsText" text="휴강">
      <formula>NOT(ISERROR(SEARCH(("휴강"),(G228))))</formula>
    </cfRule>
    <cfRule type="containsText" dxfId="7000" priority="4458" operator="containsText" text="프로젝트">
      <formula>NOT(ISERROR(SEARCH(("프로젝트"),(G228))))</formula>
    </cfRule>
    <cfRule type="containsText" dxfId="6999" priority="4449" operator="containsText" text="프로젝트">
      <formula>NOT(ISERROR(SEARCH(("프로젝트"),(G228))))</formula>
    </cfRule>
    <cfRule type="containsText" dxfId="6998" priority="4450" operator="containsText" text="정규교과">
      <formula>NOT(ISERROR(SEARCH(("정규교과"),(G228))))</formula>
    </cfRule>
    <cfRule type="containsText" dxfId="6997" priority="4451" operator="containsText" text="기타">
      <formula>NOT(ISERROR(SEARCH(("기타"),(G228))))</formula>
    </cfRule>
    <cfRule type="containsText" dxfId="6996" priority="4452" operator="containsText" text="프로젝트">
      <formula>NOT(ISERROR(SEARCH(("프로젝트"),(G228))))</formula>
    </cfRule>
    <cfRule type="containsText" dxfId="6995" priority="4453" operator="containsText" text="정규교과">
      <formula>NOT(ISERROR(SEARCH(("정규교과"),(G228))))</formula>
    </cfRule>
    <cfRule type="containsText" dxfId="6994" priority="4455" operator="containsText" text="프로젝트">
      <formula>NOT(ISERROR(SEARCH(("프로젝트"),(G228))))</formula>
    </cfRule>
    <cfRule type="containsText" dxfId="6993" priority="4459" operator="containsText" text="정규교과">
      <formula>NOT(ISERROR(SEARCH(("정규교과"),(G228))))</formula>
    </cfRule>
    <cfRule type="containsText" dxfId="6992" priority="4460" operator="containsText" text="기타">
      <formula>NOT(ISERROR(SEARCH(("기타"),(G228))))</formula>
    </cfRule>
    <cfRule type="containsText" dxfId="6991" priority="4461" operator="containsText" text="프로젝트">
      <formula>NOT(ISERROR(SEARCH(("프로젝트"),(G228))))</formula>
    </cfRule>
    <cfRule type="containsText" dxfId="6990" priority="4456" operator="containsText" text="정규교과">
      <formula>NOT(ISERROR(SEARCH(("정규교과"),(G228))))</formula>
    </cfRule>
    <cfRule type="containsText" dxfId="6989" priority="4443" operator="containsText" text="정규교과">
      <formula>NOT(ISERROR(SEARCH(("정규교과"),(G228))))</formula>
    </cfRule>
    <cfRule type="containsText" dxfId="6988" priority="4454" operator="containsText" text="기타">
      <formula>NOT(ISERROR(SEARCH(("기타"),(G228))))</formula>
    </cfRule>
    <cfRule type="containsText" dxfId="6987" priority="4439" operator="containsText" text="프로젝트">
      <formula>NOT(ISERROR(SEARCH(("프로젝트"),(G228))))</formula>
    </cfRule>
    <cfRule type="containsText" dxfId="6986" priority="4438" operator="containsText" text="기타">
      <formula>NOT(ISERROR(SEARCH(("기타"),(G228))))</formula>
    </cfRule>
    <cfRule type="containsText" dxfId="6985" priority="4437" operator="containsText" text="정규교과">
      <formula>NOT(ISERROR(SEARCH(("정규교과"),(G228))))</formula>
    </cfRule>
    <cfRule type="containsText" dxfId="6984" priority="4436" operator="containsText" text="프로젝트">
      <formula>NOT(ISERROR(SEARCH(("프로젝트"),(G228))))</formula>
    </cfRule>
  </conditionalFormatting>
  <conditionalFormatting sqref="G48:I48">
    <cfRule type="containsText" dxfId="6983" priority="20334" operator="containsText" text="기타">
      <formula>NOT(ISERROR(SEARCH(("기타"),(G48))))</formula>
    </cfRule>
    <cfRule type="containsText" dxfId="6982" priority="20332" operator="containsText" text="프로젝트">
      <formula>NOT(ISERROR(SEARCH(("프로젝트"),(G48))))</formula>
    </cfRule>
    <cfRule type="containsText" dxfId="6981" priority="20333" operator="containsText" text="정규교과">
      <formula>NOT(ISERROR(SEARCH(("정규교과"),(G48))))</formula>
    </cfRule>
  </conditionalFormatting>
  <conditionalFormatting sqref="G53:I53">
    <cfRule type="containsText" dxfId="6980" priority="20341" operator="containsText" text="프로젝트">
      <formula>NOT(ISERROR(SEARCH(("프로젝트"),(G53))))</formula>
    </cfRule>
    <cfRule type="containsText" dxfId="6979" priority="20342" operator="containsText" text="정규교과">
      <formula>NOT(ISERROR(SEARCH(("정규교과"),(G53))))</formula>
    </cfRule>
    <cfRule type="containsText" dxfId="6978" priority="20343" operator="containsText" text="기타">
      <formula>NOT(ISERROR(SEARCH(("기타"),(G53))))</formula>
    </cfRule>
  </conditionalFormatting>
  <conditionalFormatting sqref="G57:I57">
    <cfRule type="containsText" dxfId="6977" priority="20350" operator="containsText" text="프로젝트">
      <formula>NOT(ISERROR(SEARCH(("프로젝트"),(G57))))</formula>
    </cfRule>
    <cfRule type="containsText" dxfId="6976" priority="20352" operator="containsText" text="기타">
      <formula>NOT(ISERROR(SEARCH(("기타"),(G57))))</formula>
    </cfRule>
    <cfRule type="containsText" dxfId="6975" priority="20354" operator="containsText" text="정규교과">
      <formula>NOT(ISERROR(SEARCH(("정규교과"),(G57))))</formula>
    </cfRule>
    <cfRule type="containsText" dxfId="6974" priority="20355" operator="containsText" text="기타">
      <formula>NOT(ISERROR(SEARCH(("기타"),(G57))))</formula>
    </cfRule>
    <cfRule type="containsText" dxfId="6973" priority="20353" operator="containsText" text="프로젝트">
      <formula>NOT(ISERROR(SEARCH(("프로젝트"),(G57))))</formula>
    </cfRule>
    <cfRule type="containsText" dxfId="6972" priority="20349" operator="containsText" text="기타">
      <formula>NOT(ISERROR(SEARCH(("기타"),(G57))))</formula>
    </cfRule>
    <cfRule type="containsText" dxfId="6971" priority="20347" operator="containsText" text="프로젝트">
      <formula>NOT(ISERROR(SEARCH(("프로젝트"),(G57))))</formula>
    </cfRule>
    <cfRule type="containsText" dxfId="6970" priority="20351" operator="containsText" text="정규교과">
      <formula>NOT(ISERROR(SEARCH(("정규교과"),(G57))))</formula>
    </cfRule>
    <cfRule type="containsText" dxfId="6969" priority="20348" operator="containsText" text="정규교과">
      <formula>NOT(ISERROR(SEARCH(("정규교과"),(G57))))</formula>
    </cfRule>
  </conditionalFormatting>
  <conditionalFormatting sqref="G61:I61">
    <cfRule type="containsText" dxfId="6968" priority="20360" operator="containsText" text="정규교과">
      <formula>NOT(ISERROR(SEARCH(("정규교과"),(G61))))</formula>
    </cfRule>
    <cfRule type="containsText" dxfId="6967" priority="20359" operator="containsText" text="프로젝트">
      <formula>NOT(ISERROR(SEARCH(("프로젝트"),(G61))))</formula>
    </cfRule>
    <cfRule type="containsText" dxfId="6966" priority="20366" operator="containsText" text="정규교과">
      <formula>NOT(ISERROR(SEARCH(("정규교과"),(G61))))</formula>
    </cfRule>
    <cfRule type="containsText" dxfId="6965" priority="20367" operator="containsText" text="기타">
      <formula>NOT(ISERROR(SEARCH(("기타"),(G61))))</formula>
    </cfRule>
    <cfRule type="containsText" dxfId="6964" priority="20365" operator="containsText" text="프로젝트">
      <formula>NOT(ISERROR(SEARCH(("프로젝트"),(G61))))</formula>
    </cfRule>
    <cfRule type="containsText" dxfId="6963" priority="20364" operator="containsText" text="기타">
      <formula>NOT(ISERROR(SEARCH(("기타"),(G61))))</formula>
    </cfRule>
    <cfRule type="containsText" dxfId="6962" priority="20363" operator="containsText" text="정규교과">
      <formula>NOT(ISERROR(SEARCH(("정규교과"),(G61))))</formula>
    </cfRule>
    <cfRule type="containsText" dxfId="6961" priority="20362" operator="containsText" text="프로젝트">
      <formula>NOT(ISERROR(SEARCH(("프로젝트"),(G61))))</formula>
    </cfRule>
    <cfRule type="containsText" dxfId="6960" priority="20361" operator="containsText" text="기타">
      <formula>NOT(ISERROR(SEARCH(("기타"),(G61))))</formula>
    </cfRule>
  </conditionalFormatting>
  <conditionalFormatting sqref="G65:I65">
    <cfRule type="containsText" dxfId="6959" priority="20377" operator="containsText" text="프로젝트">
      <formula>NOT(ISERROR(SEARCH(("프로젝트"),(G65))))</formula>
    </cfRule>
    <cfRule type="containsText" dxfId="6958" priority="20378" operator="containsText" text="정규교과">
      <formula>NOT(ISERROR(SEARCH(("정규교과"),(G65))))</formula>
    </cfRule>
    <cfRule type="containsText" dxfId="6957" priority="20371" operator="containsText" text="프로젝트">
      <formula>NOT(ISERROR(SEARCH(("프로젝트"),(G65))))</formula>
    </cfRule>
    <cfRule type="containsText" dxfId="6956" priority="20379" operator="containsText" text="기타">
      <formula>NOT(ISERROR(SEARCH(("기타"),(G65))))</formula>
    </cfRule>
    <cfRule type="containsText" dxfId="6955" priority="20372" operator="containsText" text="정규교과">
      <formula>NOT(ISERROR(SEARCH(("정규교과"),(G65))))</formula>
    </cfRule>
    <cfRule type="containsText" dxfId="6954" priority="20373" operator="containsText" text="기타">
      <formula>NOT(ISERROR(SEARCH(("기타"),(G65))))</formula>
    </cfRule>
    <cfRule type="containsText" dxfId="6953" priority="20374" operator="containsText" text="프로젝트">
      <formula>NOT(ISERROR(SEARCH(("프로젝트"),(G65))))</formula>
    </cfRule>
    <cfRule type="containsText" dxfId="6952" priority="20375" operator="containsText" text="정규교과">
      <formula>NOT(ISERROR(SEARCH(("정규교과"),(G65))))</formula>
    </cfRule>
    <cfRule type="containsText" dxfId="6951" priority="20376" operator="containsText" text="기타">
      <formula>NOT(ISERROR(SEARCH(("기타"),(G65))))</formula>
    </cfRule>
  </conditionalFormatting>
  <conditionalFormatting sqref="G69:I69">
    <cfRule type="containsText" dxfId="6950" priority="20386" operator="containsText" text="프로젝트">
      <formula>NOT(ISERROR(SEARCH(("프로젝트"),(G69))))</formula>
    </cfRule>
    <cfRule type="containsText" dxfId="6949" priority="20387" operator="containsText" text="정규교과">
      <formula>NOT(ISERROR(SEARCH(("정규교과"),(G69))))</formula>
    </cfRule>
    <cfRule type="containsText" dxfId="6948" priority="20384" operator="containsText" text="정규교과">
      <formula>NOT(ISERROR(SEARCH(("정규교과"),(G69))))</formula>
    </cfRule>
    <cfRule type="containsText" dxfId="6947" priority="20383" operator="containsText" text="프로젝트">
      <formula>NOT(ISERROR(SEARCH(("프로젝트"),(G69))))</formula>
    </cfRule>
    <cfRule type="containsText" dxfId="6946" priority="20385" operator="containsText" text="기타">
      <formula>NOT(ISERROR(SEARCH(("기타"),(G69))))</formula>
    </cfRule>
    <cfRule type="containsText" dxfId="6945" priority="20391" operator="containsText" text="기타">
      <formula>NOT(ISERROR(SEARCH(("기타"),(G69))))</formula>
    </cfRule>
    <cfRule type="containsText" dxfId="6944" priority="20390" operator="containsText" text="정규교과">
      <formula>NOT(ISERROR(SEARCH(("정규교과"),(G69))))</formula>
    </cfRule>
    <cfRule type="containsText" dxfId="6943" priority="20389" operator="containsText" text="프로젝트">
      <formula>NOT(ISERROR(SEARCH(("프로젝트"),(G69))))</formula>
    </cfRule>
    <cfRule type="containsText" dxfId="6942" priority="20388" operator="containsText" text="기타">
      <formula>NOT(ISERROR(SEARCH(("기타"),(G69))))</formula>
    </cfRule>
  </conditionalFormatting>
  <conditionalFormatting sqref="G180:L180">
    <cfRule type="containsText" dxfId="6941" priority="5464" operator="containsText" text="정규교과">
      <formula>NOT(ISERROR(SEARCH(("정규교과"),(G180))))</formula>
    </cfRule>
    <cfRule type="containsText" dxfId="6940" priority="5465" operator="containsText" text="기타">
      <formula>NOT(ISERROR(SEARCH(("기타"),(G180))))</formula>
    </cfRule>
    <cfRule type="containsText" dxfId="6939" priority="5463" operator="containsText" text="프로젝트">
      <formula>NOT(ISERROR(SEARCH(("프로젝트"),(G180))))</formula>
    </cfRule>
    <cfRule type="containsText" dxfId="6938" priority="5456" operator="containsText" text="휴강">
      <formula>NOT(ISERROR(SEARCH(("휴강"),(G180))))</formula>
    </cfRule>
    <cfRule type="containsText" dxfId="6937" priority="5457" operator="containsText" text="프로젝트">
      <formula>NOT(ISERROR(SEARCH(("프로젝트"),(G180))))</formula>
    </cfRule>
    <cfRule type="containsText" dxfId="6936" priority="5458" operator="containsText" text="정규교과">
      <formula>NOT(ISERROR(SEARCH(("정규교과"),(G180))))</formula>
    </cfRule>
    <cfRule type="containsText" dxfId="6935" priority="5467" operator="containsText" text="정규교과">
      <formula>NOT(ISERROR(SEARCH(("정규교과"),(G180))))</formula>
    </cfRule>
    <cfRule type="containsText" dxfId="6934" priority="5459" operator="containsText" text="기타">
      <formula>NOT(ISERROR(SEARCH(("기타"),(G180))))</formula>
    </cfRule>
    <cfRule type="containsText" dxfId="6933" priority="5460" operator="containsText" text="프로젝트">
      <formula>NOT(ISERROR(SEARCH(("프로젝트"),(G180))))</formula>
    </cfRule>
    <cfRule type="containsText" dxfId="6932" priority="5461" operator="containsText" text="정규교과">
      <formula>NOT(ISERROR(SEARCH(("정규교과"),(G180))))</formula>
    </cfRule>
    <cfRule type="containsText" dxfId="6931" priority="5462" operator="containsText" text="기타">
      <formula>NOT(ISERROR(SEARCH(("기타"),(G180))))</formula>
    </cfRule>
    <cfRule type="containsText" dxfId="6930" priority="5466" operator="containsText" text="프로젝트">
      <formula>NOT(ISERROR(SEARCH(("프로젝트"),(G180))))</formula>
    </cfRule>
    <cfRule type="containsText" dxfId="6929" priority="5468" operator="containsText" text="기타">
      <formula>NOT(ISERROR(SEARCH(("기타"),(G180))))</formula>
    </cfRule>
    <cfRule type="containsText" dxfId="6928" priority="5469" operator="containsText" text="프로젝트">
      <formula>NOT(ISERROR(SEARCH(("프로젝트"),(G180))))</formula>
    </cfRule>
    <cfRule type="containsText" dxfId="6927" priority="5470" operator="containsText" text="정규교과">
      <formula>NOT(ISERROR(SEARCH(("정규교과"),(G180))))</formula>
    </cfRule>
    <cfRule type="containsText" dxfId="6926" priority="5471" operator="containsText" text="기타">
      <formula>NOT(ISERROR(SEARCH(("기타"),(G180))))</formula>
    </cfRule>
  </conditionalFormatting>
  <conditionalFormatting sqref="G320:M320 D321:M323 G324:M324 D325:M327 G328:M328 D329:M332 G333:M333 D334:M336 F337:M337 D338:M340 F341:M341 D342:M344 F345:M345 D346:M348 F349:M349 D350:M352">
    <cfRule type="containsText" dxfId="6925" priority="14436" operator="containsText" text="프로젝트">
      <formula>NOT(ISERROR(SEARCH(("프로젝트"),(D320))))</formula>
    </cfRule>
  </conditionalFormatting>
  <conditionalFormatting sqref="G324:M324">
    <cfRule type="containsText" dxfId="6924" priority="14441" operator="containsText" text="기타">
      <formula>NOT(ISERROR(SEARCH(("기타"),(G324))))</formula>
    </cfRule>
    <cfRule type="containsText" dxfId="6923" priority="14440" operator="containsText" text="정규교과">
      <formula>NOT(ISERROR(SEARCH(("정규교과"),(G324))))</formula>
    </cfRule>
    <cfRule type="containsText" dxfId="6922" priority="14439" operator="containsText" text="프로젝트">
      <formula>NOT(ISERROR(SEARCH(("프로젝트"),(G324))))</formula>
    </cfRule>
  </conditionalFormatting>
  <conditionalFormatting sqref="G328:M328">
    <cfRule type="containsText" dxfId="6921" priority="14442" operator="containsText" text="프로젝트">
      <formula>NOT(ISERROR(SEARCH(("프로젝트"),(G328))))</formula>
    </cfRule>
    <cfRule type="containsText" dxfId="6920" priority="14443" operator="containsText" text="정규교과">
      <formula>NOT(ISERROR(SEARCH(("정규교과"),(G328))))</formula>
    </cfRule>
    <cfRule type="containsText" dxfId="6919" priority="14444" operator="containsText" text="기타">
      <formula>NOT(ISERROR(SEARCH(("기타"),(G328))))</formula>
    </cfRule>
    <cfRule type="containsText" dxfId="6918" priority="14447" operator="containsText" text="기타">
      <formula>NOT(ISERROR(SEARCH(("기타"),(G328))))</formula>
    </cfRule>
    <cfRule type="containsText" dxfId="6917" priority="14446" operator="containsText" text="정규교과">
      <formula>NOT(ISERROR(SEARCH(("정규교과"),(G328))))</formula>
    </cfRule>
    <cfRule type="containsText" dxfId="6916" priority="14445" operator="containsText" text="프로젝트">
      <formula>NOT(ISERROR(SEARCH(("프로젝트"),(G328))))</formula>
    </cfRule>
  </conditionalFormatting>
  <conditionalFormatting sqref="G333:M333">
    <cfRule type="containsText" dxfId="6915" priority="14453" operator="containsText" text="기타">
      <formula>NOT(ISERROR(SEARCH(("기타"),(G333))))</formula>
    </cfRule>
    <cfRule type="containsText" dxfId="6914" priority="14456" operator="containsText" text="기타">
      <formula>NOT(ISERROR(SEARCH(("기타"),(G333))))</formula>
    </cfRule>
    <cfRule type="containsText" dxfId="6913" priority="14452" operator="containsText" text="정규교과">
      <formula>NOT(ISERROR(SEARCH(("정규교과"),(G333))))</formula>
    </cfRule>
    <cfRule type="containsText" dxfId="6912" priority="14451" operator="containsText" text="프로젝트">
      <formula>NOT(ISERROR(SEARCH(("프로젝트"),(G333))))</formula>
    </cfRule>
    <cfRule type="containsText" dxfId="6911" priority="14454" operator="containsText" text="프로젝트">
      <formula>NOT(ISERROR(SEARCH(("프로젝트"),(G333))))</formula>
    </cfRule>
    <cfRule type="containsText" dxfId="6910" priority="14455" operator="containsText" text="정규교과">
      <formula>NOT(ISERROR(SEARCH(("정규교과"),(G333))))</formula>
    </cfRule>
  </conditionalFormatting>
  <conditionalFormatting sqref="H110">
    <cfRule type="containsText" dxfId="6909" priority="8831" operator="containsText" text="정규교과">
      <formula>NOT(ISERROR(SEARCH(("정규교과"),(H110))))</formula>
    </cfRule>
    <cfRule type="containsText" dxfId="6908" priority="8832" operator="containsText" text="기타">
      <formula>NOT(ISERROR(SEARCH(("기타"),(H110))))</formula>
    </cfRule>
    <cfRule type="containsText" dxfId="6907" priority="8833" operator="containsText" text="프로젝트">
      <formula>NOT(ISERROR(SEARCH(("프로젝트"),(H110))))</formula>
    </cfRule>
    <cfRule type="containsText" dxfId="6906" priority="8825" operator="containsText" text="정규교과">
      <formula>NOT(ISERROR(SEARCH(("정규교과"),(H110))))</formula>
    </cfRule>
    <cfRule type="containsText" dxfId="6905" priority="8829" operator="containsText" text="기타">
      <formula>NOT(ISERROR(SEARCH(("기타"),(H110))))</formula>
    </cfRule>
    <cfRule type="containsText" dxfId="6904" priority="8834" operator="containsText" text="정규교과">
      <formula>NOT(ISERROR(SEARCH(("정규교과"),(H110))))</formula>
    </cfRule>
    <cfRule type="containsText" dxfId="6903" priority="8835" operator="containsText" text="기타">
      <formula>NOT(ISERROR(SEARCH(("기타"),(H110))))</formula>
    </cfRule>
    <cfRule type="containsText" dxfId="6902" priority="8827" operator="containsText" text="프로젝트">
      <formula>NOT(ISERROR(SEARCH(("프로젝트"),(H110))))</formula>
    </cfRule>
    <cfRule type="containsText" dxfId="6901" priority="8830" operator="containsText" text="프로젝트">
      <formula>NOT(ISERROR(SEARCH(("프로젝트"),(H110))))</formula>
    </cfRule>
    <cfRule type="containsText" dxfId="6900" priority="8828" operator="containsText" text="정규교과">
      <formula>NOT(ISERROR(SEARCH(("정규교과"),(H110))))</formula>
    </cfRule>
    <cfRule type="containsText" dxfId="6899" priority="8826" operator="containsText" text="기타">
      <formula>NOT(ISERROR(SEARCH(("기타"),(H110))))</formula>
    </cfRule>
    <cfRule type="containsText" dxfId="6898" priority="8824" operator="containsText" text="프로젝트">
      <formula>NOT(ISERROR(SEARCH(("프로젝트"),(H110))))</formula>
    </cfRule>
    <cfRule type="containsText" dxfId="6897" priority="8823" operator="containsText" text="기타">
      <formula>NOT(ISERROR(SEARCH(("기타"),(H110))))</formula>
    </cfRule>
    <cfRule type="containsText" dxfId="6896" priority="8822" operator="containsText" text="정규교과">
      <formula>NOT(ISERROR(SEARCH(("정규교과"),(H110))))</formula>
    </cfRule>
    <cfRule type="containsText" dxfId="6895" priority="8821" operator="containsText" text="프로젝트">
      <formula>NOT(ISERROR(SEARCH(("프로젝트"),(H110))))</formula>
    </cfRule>
    <cfRule type="containsText" dxfId="6894" priority="8820" operator="containsText" text="휴강">
      <formula>NOT(ISERROR(SEARCH(("휴강"),(H110))))</formula>
    </cfRule>
  </conditionalFormatting>
  <conditionalFormatting sqref="H114">
    <cfRule type="containsText" dxfId="6893" priority="8744" operator="containsText" text="프로젝트">
      <formula>NOT(ISERROR(SEARCH(("프로젝트"),(H114))))</formula>
    </cfRule>
    <cfRule type="containsText" dxfId="6892" priority="8750" operator="containsText" text="프로젝트">
      <formula>NOT(ISERROR(SEARCH(("프로젝트"),(H114))))</formula>
    </cfRule>
    <cfRule type="containsText" dxfId="6891" priority="8749" operator="containsText" text="기타">
      <formula>NOT(ISERROR(SEARCH(("기타"),(H114))))</formula>
    </cfRule>
    <cfRule type="containsText" dxfId="6890" priority="8748" operator="containsText" text="정규교과">
      <formula>NOT(ISERROR(SEARCH(("정규교과"),(H114))))</formula>
    </cfRule>
    <cfRule type="containsText" dxfId="6889" priority="8742" operator="containsText" text="정규교과">
      <formula>NOT(ISERROR(SEARCH(("정규교과"),(H114))))</formula>
    </cfRule>
    <cfRule type="containsText" dxfId="6888" priority="8755" operator="containsText" text="기타">
      <formula>NOT(ISERROR(SEARCH(("기타"),(H114))))</formula>
    </cfRule>
    <cfRule type="containsText" dxfId="6887" priority="8752" operator="containsText" text="기타">
      <formula>NOT(ISERROR(SEARCH(("기타"),(H114))))</formula>
    </cfRule>
    <cfRule type="containsText" dxfId="6886" priority="8740" operator="containsText" text="휴강">
      <formula>NOT(ISERROR(SEARCH(("휴강"),(H114))))</formula>
    </cfRule>
    <cfRule type="containsText" dxfId="6885" priority="8753" operator="containsText" text="프로젝트">
      <formula>NOT(ISERROR(SEARCH(("프로젝트"),(H114))))</formula>
    </cfRule>
    <cfRule type="containsText" dxfId="6884" priority="8747" operator="containsText" text="프로젝트">
      <formula>NOT(ISERROR(SEARCH(("프로젝트"),(H114))))</formula>
    </cfRule>
    <cfRule type="containsText" dxfId="6883" priority="8746" operator="containsText" text="기타">
      <formula>NOT(ISERROR(SEARCH(("기타"),(H114))))</formula>
    </cfRule>
    <cfRule type="containsText" dxfId="6882" priority="8745" operator="containsText" text="정규교과">
      <formula>NOT(ISERROR(SEARCH(("정규교과"),(H114))))</formula>
    </cfRule>
    <cfRule type="containsText" dxfId="6881" priority="8743" operator="containsText" text="기타">
      <formula>NOT(ISERROR(SEARCH(("기타"),(H114))))</formula>
    </cfRule>
    <cfRule type="containsText" dxfId="6880" priority="8751" operator="containsText" text="정규교과">
      <formula>NOT(ISERROR(SEARCH(("정규교과"),(H114))))</formula>
    </cfRule>
    <cfRule type="containsText" dxfId="6879" priority="8741" operator="containsText" text="프로젝트">
      <formula>NOT(ISERROR(SEARCH(("프로젝트"),(H114))))</formula>
    </cfRule>
    <cfRule type="containsText" dxfId="6878" priority="8754" operator="containsText" text="정규교과">
      <formula>NOT(ISERROR(SEARCH(("정규교과"),(H114))))</formula>
    </cfRule>
  </conditionalFormatting>
  <conditionalFormatting sqref="H118">
    <cfRule type="containsText" dxfId="6877" priority="8665" operator="containsText" text="정규교과">
      <formula>NOT(ISERROR(SEARCH(("정규교과"),(H118))))</formula>
    </cfRule>
    <cfRule type="containsText" dxfId="6876" priority="8670" operator="containsText" text="프로젝트">
      <formula>NOT(ISERROR(SEARCH(("프로젝트"),(H118))))</formula>
    </cfRule>
    <cfRule type="containsText" dxfId="6875" priority="8671" operator="containsText" text="정규교과">
      <formula>NOT(ISERROR(SEARCH(("정규교과"),(H118))))</formula>
    </cfRule>
    <cfRule type="containsText" dxfId="6874" priority="8672" operator="containsText" text="기타">
      <formula>NOT(ISERROR(SEARCH(("기타"),(H118))))</formula>
    </cfRule>
    <cfRule type="containsText" dxfId="6873" priority="8673" operator="containsText" text="프로젝트">
      <formula>NOT(ISERROR(SEARCH(("프로젝트"),(H118))))</formula>
    </cfRule>
    <cfRule type="containsText" dxfId="6872" priority="8675" operator="containsText" text="기타">
      <formula>NOT(ISERROR(SEARCH(("기타"),(H118))))</formula>
    </cfRule>
    <cfRule type="containsText" dxfId="6871" priority="8666" operator="containsText" text="기타">
      <formula>NOT(ISERROR(SEARCH(("기타"),(H118))))</formula>
    </cfRule>
    <cfRule type="containsText" dxfId="6870" priority="8662" operator="containsText" text="정규교과">
      <formula>NOT(ISERROR(SEARCH(("정규교과"),(H118))))</formula>
    </cfRule>
    <cfRule type="containsText" dxfId="6869" priority="8664" operator="containsText" text="프로젝트">
      <formula>NOT(ISERROR(SEARCH(("프로젝트"),(H118))))</formula>
    </cfRule>
    <cfRule type="containsText" dxfId="6868" priority="8674" operator="containsText" text="정규교과">
      <formula>NOT(ISERROR(SEARCH(("정규교과"),(H118))))</formula>
    </cfRule>
    <cfRule type="containsText" dxfId="6867" priority="8663" operator="containsText" text="기타">
      <formula>NOT(ISERROR(SEARCH(("기타"),(H118))))</formula>
    </cfRule>
    <cfRule type="containsText" dxfId="6866" priority="8669" operator="containsText" text="기타">
      <formula>NOT(ISERROR(SEARCH(("기타"),(H118))))</formula>
    </cfRule>
    <cfRule type="containsText" dxfId="6865" priority="8661" operator="containsText" text="프로젝트">
      <formula>NOT(ISERROR(SEARCH(("프로젝트"),(H118))))</formula>
    </cfRule>
    <cfRule type="containsText" dxfId="6864" priority="8660" operator="containsText" text="휴강">
      <formula>NOT(ISERROR(SEARCH(("휴강"),(H118))))</formula>
    </cfRule>
    <cfRule type="containsText" dxfId="6863" priority="8668" operator="containsText" text="정규교과">
      <formula>NOT(ISERROR(SEARCH(("정규교과"),(H118))))</formula>
    </cfRule>
    <cfRule type="containsText" dxfId="6862" priority="8667" operator="containsText" text="프로젝트">
      <formula>NOT(ISERROR(SEARCH(("프로젝트"),(H118))))</formula>
    </cfRule>
  </conditionalFormatting>
  <conditionalFormatting sqref="H123">
    <cfRule type="containsText" dxfId="6861" priority="8583" operator="containsText" text="기타">
      <formula>NOT(ISERROR(SEARCH(("기타"),(H123))))</formula>
    </cfRule>
    <cfRule type="containsText" dxfId="6860" priority="8582" operator="containsText" text="정규교과">
      <formula>NOT(ISERROR(SEARCH(("정규교과"),(H123))))</formula>
    </cfRule>
    <cfRule type="containsText" dxfId="6859" priority="8585" operator="containsText" text="정규교과">
      <formula>NOT(ISERROR(SEARCH(("정규교과"),(H123))))</formula>
    </cfRule>
    <cfRule type="containsText" dxfId="6858" priority="8581" operator="containsText" text="프로젝트">
      <formula>NOT(ISERROR(SEARCH(("프로젝트"),(H123))))</formula>
    </cfRule>
    <cfRule type="containsText" dxfId="6857" priority="8580" operator="containsText" text="휴강">
      <formula>NOT(ISERROR(SEARCH(("휴강"),(H123))))</formula>
    </cfRule>
    <cfRule type="containsText" dxfId="6856" priority="8586" operator="containsText" text="기타">
      <formula>NOT(ISERROR(SEARCH(("기타"),(H123))))</formula>
    </cfRule>
    <cfRule type="containsText" dxfId="6855" priority="8595" operator="containsText" text="기타">
      <formula>NOT(ISERROR(SEARCH(("기타"),(H123))))</formula>
    </cfRule>
    <cfRule type="containsText" dxfId="6854" priority="8594" operator="containsText" text="정규교과">
      <formula>NOT(ISERROR(SEARCH(("정규교과"),(H123))))</formula>
    </cfRule>
    <cfRule type="containsText" dxfId="6853" priority="8593" operator="containsText" text="프로젝트">
      <formula>NOT(ISERROR(SEARCH(("프로젝트"),(H123))))</formula>
    </cfRule>
    <cfRule type="containsText" dxfId="6852" priority="8592" operator="containsText" text="기타">
      <formula>NOT(ISERROR(SEARCH(("기타"),(H123))))</formula>
    </cfRule>
    <cfRule type="containsText" dxfId="6851" priority="8591" operator="containsText" text="정규교과">
      <formula>NOT(ISERROR(SEARCH(("정규교과"),(H123))))</formula>
    </cfRule>
    <cfRule type="containsText" dxfId="6850" priority="8584" operator="containsText" text="프로젝트">
      <formula>NOT(ISERROR(SEARCH(("프로젝트"),(H123))))</formula>
    </cfRule>
    <cfRule type="containsText" dxfId="6849" priority="8590" operator="containsText" text="프로젝트">
      <formula>NOT(ISERROR(SEARCH(("프로젝트"),(H123))))</formula>
    </cfRule>
    <cfRule type="containsText" dxfId="6848" priority="8587" operator="containsText" text="프로젝트">
      <formula>NOT(ISERROR(SEARCH(("프로젝트"),(H123))))</formula>
    </cfRule>
    <cfRule type="containsText" dxfId="6847" priority="8589" operator="containsText" text="기타">
      <formula>NOT(ISERROR(SEARCH(("기타"),(H123))))</formula>
    </cfRule>
    <cfRule type="containsText" dxfId="6846" priority="8588" operator="containsText" text="정규교과">
      <formula>NOT(ISERROR(SEARCH(("정규교과"),(H123))))</formula>
    </cfRule>
  </conditionalFormatting>
  <conditionalFormatting sqref="H127">
    <cfRule type="containsText" dxfId="6845" priority="8512" operator="containsText" text="기타">
      <formula>NOT(ISERROR(SEARCH(("기타"),(H127))))</formula>
    </cfRule>
    <cfRule type="containsText" dxfId="6844" priority="8511" operator="containsText" text="정규교과">
      <formula>NOT(ISERROR(SEARCH(("정규교과"),(H127))))</formula>
    </cfRule>
    <cfRule type="containsText" dxfId="6843" priority="8510" operator="containsText" text="프로젝트">
      <formula>NOT(ISERROR(SEARCH(("프로젝트"),(H127))))</formula>
    </cfRule>
    <cfRule type="containsText" dxfId="6842" priority="8509" operator="containsText" text="기타">
      <formula>NOT(ISERROR(SEARCH(("기타"),(H127))))</formula>
    </cfRule>
    <cfRule type="containsText" dxfId="6841" priority="8508" operator="containsText" text="정규교과">
      <formula>NOT(ISERROR(SEARCH(("정규교과"),(H127))))</formula>
    </cfRule>
    <cfRule type="containsText" dxfId="6840" priority="8515" operator="containsText" text="기타">
      <formula>NOT(ISERROR(SEARCH(("기타"),(H127))))</formula>
    </cfRule>
    <cfRule type="containsText" dxfId="6839" priority="8506" operator="containsText" text="기타">
      <formula>NOT(ISERROR(SEARCH(("기타"),(H127))))</formula>
    </cfRule>
    <cfRule type="containsText" dxfId="6838" priority="8505" operator="containsText" text="정규교과">
      <formula>NOT(ISERROR(SEARCH(("정규교과"),(H127))))</formula>
    </cfRule>
    <cfRule type="containsText" dxfId="6837" priority="8504" operator="containsText" text="프로젝트">
      <formula>NOT(ISERROR(SEARCH(("프로젝트"),(H127))))</formula>
    </cfRule>
    <cfRule type="containsText" dxfId="6836" priority="8503" operator="containsText" text="기타">
      <formula>NOT(ISERROR(SEARCH(("기타"),(H127))))</formula>
    </cfRule>
    <cfRule type="containsText" dxfId="6835" priority="8502" operator="containsText" text="정규교과">
      <formula>NOT(ISERROR(SEARCH(("정규교과"),(H127))))</formula>
    </cfRule>
    <cfRule type="containsText" dxfId="6834" priority="8501" operator="containsText" text="프로젝트">
      <formula>NOT(ISERROR(SEARCH(("프로젝트"),(H127))))</formula>
    </cfRule>
    <cfRule type="containsText" dxfId="6833" priority="8500" operator="containsText" text="휴강">
      <formula>NOT(ISERROR(SEARCH(("휴강"),(H127))))</formula>
    </cfRule>
    <cfRule type="containsText" dxfId="6832" priority="8514" operator="containsText" text="정규교과">
      <formula>NOT(ISERROR(SEARCH(("정규교과"),(H127))))</formula>
    </cfRule>
    <cfRule type="containsText" dxfId="6831" priority="8513" operator="containsText" text="프로젝트">
      <formula>NOT(ISERROR(SEARCH(("프로젝트"),(H127))))</formula>
    </cfRule>
    <cfRule type="containsText" dxfId="6830" priority="8507" operator="containsText" text="프로젝트">
      <formula>NOT(ISERROR(SEARCH(("프로젝트"),(H127))))</formula>
    </cfRule>
  </conditionalFormatting>
  <conditionalFormatting sqref="H131">
    <cfRule type="containsText" dxfId="6829" priority="8431" operator="containsText" text="정규교과">
      <formula>NOT(ISERROR(SEARCH(("정규교과"),(H131))))</formula>
    </cfRule>
    <cfRule type="containsText" dxfId="6828" priority="8432" operator="containsText" text="기타">
      <formula>NOT(ISERROR(SEARCH(("기타"),(H131))))</formula>
    </cfRule>
    <cfRule type="containsText" dxfId="6827" priority="8433" operator="containsText" text="프로젝트">
      <formula>NOT(ISERROR(SEARCH(("프로젝트"),(H131))))</formula>
    </cfRule>
    <cfRule type="containsText" dxfId="6826" priority="8434" operator="containsText" text="정규교과">
      <formula>NOT(ISERROR(SEARCH(("정규교과"),(H131))))</formula>
    </cfRule>
    <cfRule type="containsText" dxfId="6825" priority="8435" operator="containsText" text="기타">
      <formula>NOT(ISERROR(SEARCH(("기타"),(H131))))</formula>
    </cfRule>
    <cfRule type="containsText" dxfId="6824" priority="8427" operator="containsText" text="프로젝트">
      <formula>NOT(ISERROR(SEARCH(("프로젝트"),(H131))))</formula>
    </cfRule>
    <cfRule type="containsText" dxfId="6823" priority="8420" operator="containsText" text="휴강">
      <formula>NOT(ISERROR(SEARCH(("휴강"),(H131))))</formula>
    </cfRule>
    <cfRule type="containsText" dxfId="6822" priority="8421" operator="containsText" text="프로젝트">
      <formula>NOT(ISERROR(SEARCH(("프로젝트"),(H131))))</formula>
    </cfRule>
    <cfRule type="containsText" dxfId="6821" priority="8422" operator="containsText" text="정규교과">
      <formula>NOT(ISERROR(SEARCH(("정규교과"),(H131))))</formula>
    </cfRule>
    <cfRule type="containsText" dxfId="6820" priority="8423" operator="containsText" text="기타">
      <formula>NOT(ISERROR(SEARCH(("기타"),(H131))))</formula>
    </cfRule>
    <cfRule type="containsText" dxfId="6819" priority="8424" operator="containsText" text="프로젝트">
      <formula>NOT(ISERROR(SEARCH(("프로젝트"),(H131))))</formula>
    </cfRule>
    <cfRule type="containsText" dxfId="6818" priority="8425" operator="containsText" text="정규교과">
      <formula>NOT(ISERROR(SEARCH(("정규교과"),(H131))))</formula>
    </cfRule>
    <cfRule type="containsText" dxfId="6817" priority="8426" operator="containsText" text="기타">
      <formula>NOT(ISERROR(SEARCH(("기타"),(H131))))</formula>
    </cfRule>
    <cfRule type="containsText" dxfId="6816" priority="8428" operator="containsText" text="정규교과">
      <formula>NOT(ISERROR(SEARCH(("정규교과"),(H131))))</formula>
    </cfRule>
    <cfRule type="containsText" dxfId="6815" priority="8429" operator="containsText" text="기타">
      <formula>NOT(ISERROR(SEARCH(("기타"),(H131))))</formula>
    </cfRule>
    <cfRule type="containsText" dxfId="6814" priority="8430" operator="containsText" text="프로젝트">
      <formula>NOT(ISERROR(SEARCH(("프로젝트"),(H131))))</formula>
    </cfRule>
  </conditionalFormatting>
  <conditionalFormatting sqref="H135">
    <cfRule type="containsText" dxfId="6813" priority="8355" operator="containsText" text="기타">
      <formula>NOT(ISERROR(SEARCH(("기타"),(H135))))</formula>
    </cfRule>
    <cfRule type="containsText" dxfId="6812" priority="8346" operator="containsText" text="기타">
      <formula>NOT(ISERROR(SEARCH(("기타"),(H135))))</formula>
    </cfRule>
    <cfRule type="containsText" dxfId="6811" priority="8343" operator="containsText" text="기타">
      <formula>NOT(ISERROR(SEARCH(("기타"),(H135))))</formula>
    </cfRule>
    <cfRule type="containsText" dxfId="6810" priority="8351" operator="containsText" text="정규교과">
      <formula>NOT(ISERROR(SEARCH(("정규교과"),(H135))))</formula>
    </cfRule>
    <cfRule type="containsText" dxfId="6809" priority="8345" operator="containsText" text="정규교과">
      <formula>NOT(ISERROR(SEARCH(("정규교과"),(H135))))</formula>
    </cfRule>
    <cfRule type="containsText" dxfId="6808" priority="8344" operator="containsText" text="프로젝트">
      <formula>NOT(ISERROR(SEARCH(("프로젝트"),(H135))))</formula>
    </cfRule>
    <cfRule type="containsText" dxfId="6807" priority="8348" operator="containsText" text="정규교과">
      <formula>NOT(ISERROR(SEARCH(("정규교과"),(H135))))</formula>
    </cfRule>
    <cfRule type="containsText" dxfId="6806" priority="8354" operator="containsText" text="정규교과">
      <formula>NOT(ISERROR(SEARCH(("정규교과"),(H135))))</formula>
    </cfRule>
    <cfRule type="containsText" dxfId="6805" priority="8349" operator="containsText" text="기타">
      <formula>NOT(ISERROR(SEARCH(("기타"),(H135))))</formula>
    </cfRule>
    <cfRule type="containsText" dxfId="6804" priority="8342" operator="containsText" text="정규교과">
      <formula>NOT(ISERROR(SEARCH(("정규교과"),(H135))))</formula>
    </cfRule>
    <cfRule type="containsText" dxfId="6803" priority="8341" operator="containsText" text="프로젝트">
      <formula>NOT(ISERROR(SEARCH(("프로젝트"),(H135))))</formula>
    </cfRule>
    <cfRule type="containsText" dxfId="6802" priority="8340" operator="containsText" text="휴강">
      <formula>NOT(ISERROR(SEARCH(("휴강"),(H135))))</formula>
    </cfRule>
    <cfRule type="containsText" dxfId="6801" priority="8353" operator="containsText" text="프로젝트">
      <formula>NOT(ISERROR(SEARCH(("프로젝트"),(H135))))</formula>
    </cfRule>
    <cfRule type="containsText" dxfId="6800" priority="8350" operator="containsText" text="프로젝트">
      <formula>NOT(ISERROR(SEARCH(("프로젝트"),(H135))))</formula>
    </cfRule>
    <cfRule type="containsText" dxfId="6799" priority="8347" operator="containsText" text="프로젝트">
      <formula>NOT(ISERROR(SEARCH(("프로젝트"),(H135))))</formula>
    </cfRule>
    <cfRule type="containsText" dxfId="6798" priority="8352" operator="containsText" text="기타">
      <formula>NOT(ISERROR(SEARCH(("기타"),(H135))))</formula>
    </cfRule>
  </conditionalFormatting>
  <conditionalFormatting sqref="H139">
    <cfRule type="containsText" dxfId="6797" priority="8265" operator="containsText" text="정규교과">
      <formula>NOT(ISERROR(SEARCH(("정규교과"),(H139))))</formula>
    </cfRule>
    <cfRule type="containsText" dxfId="6796" priority="8266" operator="containsText" text="기타">
      <formula>NOT(ISERROR(SEARCH(("기타"),(H139))))</formula>
    </cfRule>
    <cfRule type="containsText" dxfId="6795" priority="8267" operator="containsText" text="프로젝트">
      <formula>NOT(ISERROR(SEARCH(("프로젝트"),(H139))))</formula>
    </cfRule>
    <cfRule type="containsText" dxfId="6794" priority="8268" operator="containsText" text="정규교과">
      <formula>NOT(ISERROR(SEARCH(("정규교과"),(H139))))</formula>
    </cfRule>
    <cfRule type="containsText" dxfId="6793" priority="8269" operator="containsText" text="기타">
      <formula>NOT(ISERROR(SEARCH(("기타"),(H139))))</formula>
    </cfRule>
    <cfRule type="containsText" dxfId="6792" priority="8275" operator="containsText" text="기타">
      <formula>NOT(ISERROR(SEARCH(("기타"),(H139))))</formula>
    </cfRule>
    <cfRule type="containsText" dxfId="6791" priority="8273" operator="containsText" text="프로젝트">
      <formula>NOT(ISERROR(SEARCH(("프로젝트"),(H139))))</formula>
    </cfRule>
    <cfRule type="containsText" dxfId="6790" priority="8274" operator="containsText" text="정규교과">
      <formula>NOT(ISERROR(SEARCH(("정규교과"),(H139))))</formula>
    </cfRule>
    <cfRule type="containsText" dxfId="6789" priority="8270" operator="containsText" text="프로젝트">
      <formula>NOT(ISERROR(SEARCH(("프로젝트"),(H139))))</formula>
    </cfRule>
    <cfRule type="containsText" dxfId="6788" priority="8272" operator="containsText" text="기타">
      <formula>NOT(ISERROR(SEARCH(("기타"),(H139))))</formula>
    </cfRule>
    <cfRule type="containsText" dxfId="6787" priority="8271" operator="containsText" text="정규교과">
      <formula>NOT(ISERROR(SEARCH(("정규교과"),(H139))))</formula>
    </cfRule>
    <cfRule type="containsText" dxfId="6786" priority="8264" operator="containsText" text="프로젝트">
      <formula>NOT(ISERROR(SEARCH(("프로젝트"),(H139))))</formula>
    </cfRule>
    <cfRule type="containsText" dxfId="6785" priority="8263" operator="containsText" text="기타">
      <formula>NOT(ISERROR(SEARCH(("기타"),(H139))))</formula>
    </cfRule>
    <cfRule type="containsText" dxfId="6784" priority="8261" operator="containsText" text="프로젝트">
      <formula>NOT(ISERROR(SEARCH(("프로젝트"),(H139))))</formula>
    </cfRule>
    <cfRule type="containsText" dxfId="6783" priority="8262" operator="containsText" text="정규교과">
      <formula>NOT(ISERROR(SEARCH(("정규교과"),(H139))))</formula>
    </cfRule>
    <cfRule type="containsText" dxfId="6782" priority="8260" operator="containsText" text="휴강">
      <formula>NOT(ISERROR(SEARCH(("휴강"),(H139))))</formula>
    </cfRule>
  </conditionalFormatting>
  <conditionalFormatting sqref="H184">
    <cfRule type="containsText" dxfId="6781" priority="5450" operator="containsText" text="프로젝트">
      <formula>NOT(ISERROR(SEARCH(("프로젝트"),(H184))))</formula>
    </cfRule>
    <cfRule type="containsText" dxfId="6780" priority="5442" operator="containsText" text="정규교과">
      <formula>NOT(ISERROR(SEARCH(("정규교과"),(H184))))</formula>
    </cfRule>
    <cfRule type="containsText" dxfId="6779" priority="5453" operator="containsText" text="프로젝트">
      <formula>NOT(ISERROR(SEARCH(("프로젝트"),(H184))))</formula>
    </cfRule>
    <cfRule type="containsText" dxfId="6778" priority="5448" operator="containsText" text="정규교과">
      <formula>NOT(ISERROR(SEARCH(("정규교과"),(H184))))</formula>
    </cfRule>
    <cfRule type="containsText" dxfId="6777" priority="5452" operator="containsText" text="기타">
      <formula>NOT(ISERROR(SEARCH(("기타"),(H184))))</formula>
    </cfRule>
    <cfRule type="containsText" dxfId="6776" priority="5440" operator="containsText" text="휴강">
      <formula>NOT(ISERROR(SEARCH(("휴강"),(H184))))</formula>
    </cfRule>
    <cfRule type="containsText" dxfId="6775" priority="5451" operator="containsText" text="정규교과">
      <formula>NOT(ISERROR(SEARCH(("정규교과"),(H184))))</formula>
    </cfRule>
    <cfRule type="containsText" dxfId="6774" priority="5449" operator="containsText" text="기타">
      <formula>NOT(ISERROR(SEARCH(("기타"),(H184))))</formula>
    </cfRule>
    <cfRule type="containsText" dxfId="6773" priority="5445" operator="containsText" text="정규교과">
      <formula>NOT(ISERROR(SEARCH(("정규교과"),(H184))))</formula>
    </cfRule>
    <cfRule type="containsText" dxfId="6772" priority="5441" operator="containsText" text="프로젝트">
      <formula>NOT(ISERROR(SEARCH(("프로젝트"),(H184))))</formula>
    </cfRule>
    <cfRule type="containsText" dxfId="6771" priority="5443" operator="containsText" text="기타">
      <formula>NOT(ISERROR(SEARCH(("기타"),(H184))))</formula>
    </cfRule>
    <cfRule type="containsText" dxfId="6770" priority="5444" operator="containsText" text="프로젝트">
      <formula>NOT(ISERROR(SEARCH(("프로젝트"),(H184))))</formula>
    </cfRule>
    <cfRule type="containsText" dxfId="6769" priority="5454" operator="containsText" text="정규교과">
      <formula>NOT(ISERROR(SEARCH(("정규교과"),(H184))))</formula>
    </cfRule>
    <cfRule type="containsText" dxfId="6768" priority="5455" operator="containsText" text="기타">
      <formula>NOT(ISERROR(SEARCH(("기타"),(H184))))</formula>
    </cfRule>
    <cfRule type="containsText" dxfId="6767" priority="5447" operator="containsText" text="프로젝트">
      <formula>NOT(ISERROR(SEARCH(("프로젝트"),(H184))))</formula>
    </cfRule>
    <cfRule type="containsText" dxfId="6766" priority="5446" operator="containsText" text="기타">
      <formula>NOT(ISERROR(SEARCH(("기타"),(H184))))</formula>
    </cfRule>
  </conditionalFormatting>
  <conditionalFormatting sqref="H188">
    <cfRule type="containsText" dxfId="6765" priority="5434" operator="containsText" text="프로젝트">
      <formula>NOT(ISERROR(SEARCH(("프로젝트"),(H188))))</formula>
    </cfRule>
    <cfRule type="containsText" dxfId="6764" priority="5435" operator="containsText" text="정규교과">
      <formula>NOT(ISERROR(SEARCH(("정규교과"),(H188))))</formula>
    </cfRule>
    <cfRule type="containsText" dxfId="6763" priority="5424" operator="containsText" text="휴강">
      <formula>NOT(ISERROR(SEARCH(("휴강"),(H188))))</formula>
    </cfRule>
    <cfRule type="containsText" dxfId="6762" priority="5437" operator="containsText" text="프로젝트">
      <formula>NOT(ISERROR(SEARCH(("프로젝트"),(H188))))</formula>
    </cfRule>
    <cfRule type="containsText" dxfId="6761" priority="5431" operator="containsText" text="프로젝트">
      <formula>NOT(ISERROR(SEARCH(("프로젝트"),(H188))))</formula>
    </cfRule>
    <cfRule type="containsText" dxfId="6760" priority="5438" operator="containsText" text="정규교과">
      <formula>NOT(ISERROR(SEARCH(("정규교과"),(H188))))</formula>
    </cfRule>
    <cfRule type="containsText" dxfId="6759" priority="5439" operator="containsText" text="기타">
      <formula>NOT(ISERROR(SEARCH(("기타"),(H188))))</formula>
    </cfRule>
    <cfRule type="containsText" dxfId="6758" priority="5430" operator="containsText" text="기타">
      <formula>NOT(ISERROR(SEARCH(("기타"),(H188))))</formula>
    </cfRule>
    <cfRule type="containsText" dxfId="6757" priority="5425" operator="containsText" text="프로젝트">
      <formula>NOT(ISERROR(SEARCH(("프로젝트"),(H188))))</formula>
    </cfRule>
    <cfRule type="containsText" dxfId="6756" priority="5427" operator="containsText" text="기타">
      <formula>NOT(ISERROR(SEARCH(("기타"),(H188))))</formula>
    </cfRule>
    <cfRule type="containsText" dxfId="6755" priority="5429" operator="containsText" text="정규교과">
      <formula>NOT(ISERROR(SEARCH(("정규교과"),(H188))))</formula>
    </cfRule>
    <cfRule type="containsText" dxfId="6754" priority="5436" operator="containsText" text="기타">
      <formula>NOT(ISERROR(SEARCH(("기타"),(H188))))</formula>
    </cfRule>
    <cfRule type="containsText" dxfId="6753" priority="5426" operator="containsText" text="정규교과">
      <formula>NOT(ISERROR(SEARCH(("정규교과"),(H188))))</formula>
    </cfRule>
    <cfRule type="containsText" dxfId="6752" priority="5432" operator="containsText" text="정규교과">
      <formula>NOT(ISERROR(SEARCH(("정규교과"),(H188))))</formula>
    </cfRule>
    <cfRule type="containsText" dxfId="6751" priority="5428" operator="containsText" text="프로젝트">
      <formula>NOT(ISERROR(SEARCH(("프로젝트"),(H188))))</formula>
    </cfRule>
    <cfRule type="containsText" dxfId="6750" priority="5433" operator="containsText" text="기타">
      <formula>NOT(ISERROR(SEARCH(("기타"),(H188))))</formula>
    </cfRule>
  </conditionalFormatting>
  <conditionalFormatting sqref="H193">
    <cfRule type="containsText" dxfId="6749" priority="5418" operator="containsText" text="프로젝트">
      <formula>NOT(ISERROR(SEARCH(("프로젝트"),(H193))))</formula>
    </cfRule>
    <cfRule type="containsText" dxfId="6748" priority="5414" operator="containsText" text="기타">
      <formula>NOT(ISERROR(SEARCH(("기타"),(H193))))</formula>
    </cfRule>
    <cfRule type="containsText" dxfId="6747" priority="5413" operator="containsText" text="정규교과">
      <formula>NOT(ISERROR(SEARCH(("정규교과"),(H193))))</formula>
    </cfRule>
    <cfRule type="containsText" dxfId="6746" priority="5412" operator="containsText" text="프로젝트">
      <formula>NOT(ISERROR(SEARCH(("프로젝트"),(H193))))</formula>
    </cfRule>
    <cfRule type="containsText" dxfId="6745" priority="5411" operator="containsText" text="기타">
      <formula>NOT(ISERROR(SEARCH(("기타"),(H193))))</formula>
    </cfRule>
    <cfRule type="containsText" dxfId="6744" priority="5416" operator="containsText" text="정규교과">
      <formula>NOT(ISERROR(SEARCH(("정규교과"),(H193))))</formula>
    </cfRule>
    <cfRule type="containsText" dxfId="6743" priority="5415" operator="containsText" text="프로젝트">
      <formula>NOT(ISERROR(SEARCH(("프로젝트"),(H193))))</formula>
    </cfRule>
    <cfRule type="containsText" dxfId="6742" priority="5410" operator="containsText" text="정규교과">
      <formula>NOT(ISERROR(SEARCH(("정규교과"),(H193))))</formula>
    </cfRule>
    <cfRule type="containsText" dxfId="6741" priority="5423" operator="containsText" text="기타">
      <formula>NOT(ISERROR(SEARCH(("기타"),(H193))))</formula>
    </cfRule>
    <cfRule type="containsText" dxfId="6740" priority="5408" operator="containsText" text="휴강">
      <formula>NOT(ISERROR(SEARCH(("휴강"),(H193))))</formula>
    </cfRule>
    <cfRule type="containsText" dxfId="6739" priority="5422" operator="containsText" text="정규교과">
      <formula>NOT(ISERROR(SEARCH(("정규교과"),(H193))))</formula>
    </cfRule>
    <cfRule type="containsText" dxfId="6738" priority="5421" operator="containsText" text="프로젝트">
      <formula>NOT(ISERROR(SEARCH(("프로젝트"),(H193))))</formula>
    </cfRule>
    <cfRule type="containsText" dxfId="6737" priority="5409" operator="containsText" text="프로젝트">
      <formula>NOT(ISERROR(SEARCH(("프로젝트"),(H193))))</formula>
    </cfRule>
    <cfRule type="containsText" dxfId="6736" priority="5420" operator="containsText" text="기타">
      <formula>NOT(ISERROR(SEARCH(("기타"),(H193))))</formula>
    </cfRule>
    <cfRule type="containsText" dxfId="6735" priority="5419" operator="containsText" text="정규교과">
      <formula>NOT(ISERROR(SEARCH(("정규교과"),(H193))))</formula>
    </cfRule>
    <cfRule type="containsText" dxfId="6734" priority="5417" operator="containsText" text="기타">
      <formula>NOT(ISERROR(SEARCH(("기타"),(H193))))</formula>
    </cfRule>
  </conditionalFormatting>
  <conditionalFormatting sqref="H197">
    <cfRule type="containsText" dxfId="6733" priority="5405" operator="containsText" text="프로젝트">
      <formula>NOT(ISERROR(SEARCH(("프로젝트"),(H197))))</formula>
    </cfRule>
    <cfRule type="containsText" dxfId="6732" priority="5394" operator="containsText" text="정규교과">
      <formula>NOT(ISERROR(SEARCH(("정규교과"),(H197))))</formula>
    </cfRule>
    <cfRule type="containsText" dxfId="6731" priority="5393" operator="containsText" text="프로젝트">
      <formula>NOT(ISERROR(SEARCH(("프로젝트"),(H197))))</formula>
    </cfRule>
    <cfRule type="containsText" dxfId="6730" priority="5407" operator="containsText" text="기타">
      <formula>NOT(ISERROR(SEARCH(("기타"),(H197))))</formula>
    </cfRule>
    <cfRule type="containsText" dxfId="6729" priority="5406" operator="containsText" text="정규교과">
      <formula>NOT(ISERROR(SEARCH(("정규교과"),(H197))))</formula>
    </cfRule>
    <cfRule type="containsText" dxfId="6728" priority="5404" operator="containsText" text="기타">
      <formula>NOT(ISERROR(SEARCH(("기타"),(H197))))</formula>
    </cfRule>
    <cfRule type="containsText" dxfId="6727" priority="5392" operator="containsText" text="휴강">
      <formula>NOT(ISERROR(SEARCH(("휴강"),(H197))))</formula>
    </cfRule>
    <cfRule type="containsText" dxfId="6726" priority="5403" operator="containsText" text="정규교과">
      <formula>NOT(ISERROR(SEARCH(("정규교과"),(H197))))</formula>
    </cfRule>
    <cfRule type="containsText" dxfId="6725" priority="5402" operator="containsText" text="프로젝트">
      <formula>NOT(ISERROR(SEARCH(("프로젝트"),(H197))))</formula>
    </cfRule>
    <cfRule type="containsText" dxfId="6724" priority="5401" operator="containsText" text="기타">
      <formula>NOT(ISERROR(SEARCH(("기타"),(H197))))</formula>
    </cfRule>
    <cfRule type="containsText" dxfId="6723" priority="5400" operator="containsText" text="정규교과">
      <formula>NOT(ISERROR(SEARCH(("정규교과"),(H197))))</formula>
    </cfRule>
    <cfRule type="containsText" dxfId="6722" priority="5399" operator="containsText" text="프로젝트">
      <formula>NOT(ISERROR(SEARCH(("프로젝트"),(H197))))</formula>
    </cfRule>
    <cfRule type="containsText" dxfId="6721" priority="5398" operator="containsText" text="기타">
      <formula>NOT(ISERROR(SEARCH(("기타"),(H197))))</formula>
    </cfRule>
    <cfRule type="containsText" dxfId="6720" priority="5397" operator="containsText" text="정규교과">
      <formula>NOT(ISERROR(SEARCH(("정규교과"),(H197))))</formula>
    </cfRule>
    <cfRule type="containsText" dxfId="6719" priority="5396" operator="containsText" text="프로젝트">
      <formula>NOT(ISERROR(SEARCH(("프로젝트"),(H197))))</formula>
    </cfRule>
    <cfRule type="containsText" dxfId="6718" priority="5395" operator="containsText" text="기타">
      <formula>NOT(ISERROR(SEARCH(("기타"),(H197))))</formula>
    </cfRule>
  </conditionalFormatting>
  <conditionalFormatting sqref="H201">
    <cfRule type="containsText" dxfId="6717" priority="5381" operator="containsText" text="정규교과">
      <formula>NOT(ISERROR(SEARCH(("정규교과"),(H201))))</formula>
    </cfRule>
    <cfRule type="containsText" dxfId="6716" priority="5383" operator="containsText" text="프로젝트">
      <formula>NOT(ISERROR(SEARCH(("프로젝트"),(H201))))</formula>
    </cfRule>
    <cfRule type="containsText" dxfId="6715" priority="5384" operator="containsText" text="정규교과">
      <formula>NOT(ISERROR(SEARCH(("정규교과"),(H201))))</formula>
    </cfRule>
    <cfRule type="containsText" dxfId="6714" priority="5385" operator="containsText" text="기타">
      <formula>NOT(ISERROR(SEARCH(("기타"),(H201))))</formula>
    </cfRule>
    <cfRule type="containsText" dxfId="6713" priority="5386" operator="containsText" text="프로젝트">
      <formula>NOT(ISERROR(SEARCH(("프로젝트"),(H201))))</formula>
    </cfRule>
    <cfRule type="containsText" dxfId="6712" priority="5387" operator="containsText" text="정규교과">
      <formula>NOT(ISERROR(SEARCH(("정규교과"),(H201))))</formula>
    </cfRule>
    <cfRule type="containsText" dxfId="6711" priority="5388" operator="containsText" text="기타">
      <formula>NOT(ISERROR(SEARCH(("기타"),(H201))))</formula>
    </cfRule>
    <cfRule type="containsText" dxfId="6710" priority="5389" operator="containsText" text="프로젝트">
      <formula>NOT(ISERROR(SEARCH(("프로젝트"),(H201))))</formula>
    </cfRule>
    <cfRule type="containsText" dxfId="6709" priority="5377" operator="containsText" text="프로젝트">
      <formula>NOT(ISERROR(SEARCH(("프로젝트"),(H201))))</formula>
    </cfRule>
    <cfRule type="containsText" dxfId="6708" priority="5376" operator="containsText" text="휴강">
      <formula>NOT(ISERROR(SEARCH(("휴강"),(H201))))</formula>
    </cfRule>
    <cfRule type="containsText" dxfId="6707" priority="5382" operator="containsText" text="기타">
      <formula>NOT(ISERROR(SEARCH(("기타"),(H201))))</formula>
    </cfRule>
    <cfRule type="containsText" dxfId="6706" priority="5391" operator="containsText" text="기타">
      <formula>NOT(ISERROR(SEARCH(("기타"),(H201))))</formula>
    </cfRule>
    <cfRule type="containsText" dxfId="6705" priority="5390" operator="containsText" text="정규교과">
      <formula>NOT(ISERROR(SEARCH(("정규교과"),(H201))))</formula>
    </cfRule>
    <cfRule type="containsText" dxfId="6704" priority="5378" operator="containsText" text="정규교과">
      <formula>NOT(ISERROR(SEARCH(("정규교과"),(H201))))</formula>
    </cfRule>
    <cfRule type="containsText" dxfId="6703" priority="5379" operator="containsText" text="기타">
      <formula>NOT(ISERROR(SEARCH(("기타"),(H201))))</formula>
    </cfRule>
    <cfRule type="containsText" dxfId="6702" priority="5380" operator="containsText" text="프로젝트">
      <formula>NOT(ISERROR(SEARCH(("프로젝트"),(H201))))</formula>
    </cfRule>
  </conditionalFormatting>
  <conditionalFormatting sqref="H205">
    <cfRule type="containsText" dxfId="6701" priority="5373" operator="containsText" text="프로젝트">
      <formula>NOT(ISERROR(SEARCH(("프로젝트"),(H205))))</formula>
    </cfRule>
    <cfRule type="containsText" dxfId="6700" priority="5374" operator="containsText" text="정규교과">
      <formula>NOT(ISERROR(SEARCH(("정규교과"),(H205))))</formula>
    </cfRule>
    <cfRule type="containsText" dxfId="6699" priority="5367" operator="containsText" text="프로젝트">
      <formula>NOT(ISERROR(SEARCH(("프로젝트"),(H205))))</formula>
    </cfRule>
    <cfRule type="containsText" dxfId="6698" priority="5368" operator="containsText" text="정규교과">
      <formula>NOT(ISERROR(SEARCH(("정규교과"),(H205))))</formula>
    </cfRule>
    <cfRule type="containsText" dxfId="6697" priority="5369" operator="containsText" text="기타">
      <formula>NOT(ISERROR(SEARCH(("기타"),(H205))))</formula>
    </cfRule>
    <cfRule type="containsText" dxfId="6696" priority="5370" operator="containsText" text="프로젝트">
      <formula>NOT(ISERROR(SEARCH(("프로젝트"),(H205))))</formula>
    </cfRule>
    <cfRule type="containsText" dxfId="6695" priority="5371" operator="containsText" text="정규교과">
      <formula>NOT(ISERROR(SEARCH(("정규교과"),(H205))))</formula>
    </cfRule>
    <cfRule type="containsText" dxfId="6694" priority="5372" operator="containsText" text="기타">
      <formula>NOT(ISERROR(SEARCH(("기타"),(H205))))</formula>
    </cfRule>
    <cfRule type="containsText" dxfId="6693" priority="5362" operator="containsText" text="정규교과">
      <formula>NOT(ISERROR(SEARCH(("정규교과"),(H205))))</formula>
    </cfRule>
    <cfRule type="containsText" dxfId="6692" priority="5375" operator="containsText" text="기타">
      <formula>NOT(ISERROR(SEARCH(("기타"),(H205))))</formula>
    </cfRule>
    <cfRule type="containsText" dxfId="6691" priority="5360" operator="containsText" text="휴강">
      <formula>NOT(ISERROR(SEARCH(("휴강"),(H205))))</formula>
    </cfRule>
    <cfRule type="containsText" dxfId="6690" priority="5361" operator="containsText" text="프로젝트">
      <formula>NOT(ISERROR(SEARCH(("프로젝트"),(H205))))</formula>
    </cfRule>
    <cfRule type="containsText" dxfId="6689" priority="5363" operator="containsText" text="기타">
      <formula>NOT(ISERROR(SEARCH(("기타"),(H205))))</formula>
    </cfRule>
    <cfRule type="containsText" dxfId="6688" priority="5364" operator="containsText" text="프로젝트">
      <formula>NOT(ISERROR(SEARCH(("프로젝트"),(H205))))</formula>
    </cfRule>
    <cfRule type="containsText" dxfId="6687" priority="5365" operator="containsText" text="정규교과">
      <formula>NOT(ISERROR(SEARCH(("정규교과"),(H205))))</formula>
    </cfRule>
    <cfRule type="containsText" dxfId="6686" priority="5366" operator="containsText" text="기타">
      <formula>NOT(ISERROR(SEARCH(("기타"),(H205))))</formula>
    </cfRule>
  </conditionalFormatting>
  <conditionalFormatting sqref="H209">
    <cfRule type="containsText" dxfId="6685" priority="5352" operator="containsText" text="정규교과">
      <formula>NOT(ISERROR(SEARCH(("정규교과"),(H209))))</formula>
    </cfRule>
    <cfRule type="containsText" dxfId="6684" priority="5347" operator="containsText" text="기타">
      <formula>NOT(ISERROR(SEARCH(("기타"),(H209))))</formula>
    </cfRule>
    <cfRule type="containsText" dxfId="6683" priority="5348" operator="containsText" text="프로젝트">
      <formula>NOT(ISERROR(SEARCH(("프로젝트"),(H209))))</formula>
    </cfRule>
    <cfRule type="containsText" dxfId="6682" priority="5349" operator="containsText" text="정규교과">
      <formula>NOT(ISERROR(SEARCH(("정규교과"),(H209))))</formula>
    </cfRule>
    <cfRule type="containsText" dxfId="6681" priority="5350" operator="containsText" text="기타">
      <formula>NOT(ISERROR(SEARCH(("기타"),(H209))))</formula>
    </cfRule>
    <cfRule type="containsText" dxfId="6680" priority="5351" operator="containsText" text="프로젝트">
      <formula>NOT(ISERROR(SEARCH(("프로젝트"),(H209))))</formula>
    </cfRule>
    <cfRule type="containsText" dxfId="6679" priority="5358" operator="containsText" text="정규교과">
      <formula>NOT(ISERROR(SEARCH(("정규교과"),(H209))))</formula>
    </cfRule>
    <cfRule type="containsText" dxfId="6678" priority="5353" operator="containsText" text="기타">
      <formula>NOT(ISERROR(SEARCH(("기타"),(H209))))</formula>
    </cfRule>
    <cfRule type="containsText" dxfId="6677" priority="5354" operator="containsText" text="프로젝트">
      <formula>NOT(ISERROR(SEARCH(("프로젝트"),(H209))))</formula>
    </cfRule>
    <cfRule type="containsText" dxfId="6676" priority="5359" operator="containsText" text="기타">
      <formula>NOT(ISERROR(SEARCH(("기타"),(H209))))</formula>
    </cfRule>
    <cfRule type="containsText" dxfId="6675" priority="5356" operator="containsText" text="기타">
      <formula>NOT(ISERROR(SEARCH(("기타"),(H209))))</formula>
    </cfRule>
    <cfRule type="containsText" dxfId="6674" priority="5357" operator="containsText" text="프로젝트">
      <formula>NOT(ISERROR(SEARCH(("프로젝트"),(H209))))</formula>
    </cfRule>
    <cfRule type="containsText" dxfId="6673" priority="5355" operator="containsText" text="정규교과">
      <formula>NOT(ISERROR(SEARCH(("정규교과"),(H209))))</formula>
    </cfRule>
    <cfRule type="containsText" dxfId="6672" priority="5345" operator="containsText" text="프로젝트">
      <formula>NOT(ISERROR(SEARCH(("프로젝트"),(H209))))</formula>
    </cfRule>
    <cfRule type="containsText" dxfId="6671" priority="5344" operator="containsText" text="휴강">
      <formula>NOT(ISERROR(SEARCH(("휴강"),(H209))))</formula>
    </cfRule>
    <cfRule type="containsText" dxfId="6670" priority="5346" operator="containsText" text="정규교과">
      <formula>NOT(ISERROR(SEARCH(("정규교과"),(H209))))</formula>
    </cfRule>
  </conditionalFormatting>
  <conditionalFormatting sqref="H250">
    <cfRule type="containsText" dxfId="6669" priority="3820" operator="containsText" text="프로젝트">
      <formula>NOT(ISERROR(SEARCH(("프로젝트"),(H250))))</formula>
    </cfRule>
    <cfRule type="containsText" dxfId="6668" priority="3821" operator="containsText" text="정규교과">
      <formula>NOT(ISERROR(SEARCH(("정규교과"),(H250))))</formula>
    </cfRule>
    <cfRule type="containsText" dxfId="6667" priority="3819" operator="containsText" text="기타">
      <formula>NOT(ISERROR(SEARCH(("기타"),(H250))))</formula>
    </cfRule>
    <cfRule type="containsText" dxfId="6666" priority="3818" operator="containsText" text="정규교과">
      <formula>NOT(ISERROR(SEARCH(("정규교과"),(H250))))</formula>
    </cfRule>
    <cfRule type="containsText" dxfId="6665" priority="3817" operator="containsText" text="프로젝트">
      <formula>NOT(ISERROR(SEARCH(("프로젝트"),(H250))))</formula>
    </cfRule>
    <cfRule type="containsText" dxfId="6664" priority="3813" operator="containsText" text="기타">
      <formula>NOT(ISERROR(SEARCH(("기타"),(H250))))</formula>
    </cfRule>
    <cfRule type="containsText" dxfId="6663" priority="3822" operator="containsText" text="기타">
      <formula>NOT(ISERROR(SEARCH(("기타"),(H250))))</formula>
    </cfRule>
    <cfRule type="containsText" dxfId="6662" priority="3816" operator="containsText" text="기타">
      <formula>NOT(ISERROR(SEARCH(("기타"),(H250))))</formula>
    </cfRule>
    <cfRule type="containsText" dxfId="6661" priority="3811" operator="containsText" text="프로젝트">
      <formula>NOT(ISERROR(SEARCH(("프로젝트"),(H250))))</formula>
    </cfRule>
    <cfRule type="containsText" dxfId="6660" priority="3812" operator="containsText" text="정규교과">
      <formula>NOT(ISERROR(SEARCH(("정규교과"),(H250))))</formula>
    </cfRule>
    <cfRule type="containsText" dxfId="6659" priority="3815" operator="containsText" text="정규교과">
      <formula>NOT(ISERROR(SEARCH(("정규교과"),(H250))))</formula>
    </cfRule>
    <cfRule type="containsText" dxfId="6658" priority="3814" operator="containsText" text="프로젝트">
      <formula>NOT(ISERROR(SEARCH(("프로젝트"),(H250))))</formula>
    </cfRule>
  </conditionalFormatting>
  <conditionalFormatting sqref="H254">
    <cfRule type="containsText" dxfId="6657" priority="3702" operator="containsText" text="기타">
      <formula>NOT(ISERROR(SEARCH(("기타"),(H254))))</formula>
    </cfRule>
    <cfRule type="containsText" dxfId="6656" priority="3704" operator="containsText" text="정규교과">
      <formula>NOT(ISERROR(SEARCH(("정규교과"),(H254))))</formula>
    </cfRule>
    <cfRule type="containsText" dxfId="6655" priority="3705" operator="containsText" text="기타">
      <formula>NOT(ISERROR(SEARCH(("기타"),(H254))))</formula>
    </cfRule>
    <cfRule type="containsText" dxfId="6654" priority="3706" operator="containsText" text="프로젝트">
      <formula>NOT(ISERROR(SEARCH(("프로젝트"),(H254))))</formula>
    </cfRule>
    <cfRule type="containsText" dxfId="6653" priority="3707" operator="containsText" text="정규교과">
      <formula>NOT(ISERROR(SEARCH(("정규교과"),(H254))))</formula>
    </cfRule>
    <cfRule type="containsText" dxfId="6652" priority="3708" operator="containsText" text="기타">
      <formula>NOT(ISERROR(SEARCH(("기타"),(H254))))</formula>
    </cfRule>
    <cfRule type="containsText" dxfId="6651" priority="3709" operator="containsText" text="프로젝트">
      <formula>NOT(ISERROR(SEARCH(("프로젝트"),(H254))))</formula>
    </cfRule>
    <cfRule type="containsText" dxfId="6650" priority="3710" operator="containsText" text="정규교과">
      <formula>NOT(ISERROR(SEARCH(("정규교과"),(H254))))</formula>
    </cfRule>
    <cfRule type="containsText" dxfId="6649" priority="3711" operator="containsText" text="기타">
      <formula>NOT(ISERROR(SEARCH(("기타"),(H254))))</formula>
    </cfRule>
    <cfRule type="containsText" dxfId="6648" priority="3703" operator="containsText" text="프로젝트">
      <formula>NOT(ISERROR(SEARCH(("프로젝트"),(H254))))</formula>
    </cfRule>
    <cfRule type="containsText" dxfId="6647" priority="3700" operator="containsText" text="프로젝트">
      <formula>NOT(ISERROR(SEARCH(("프로젝트"),(H254))))</formula>
    </cfRule>
    <cfRule type="containsText" dxfId="6646" priority="3701" operator="containsText" text="정규교과">
      <formula>NOT(ISERROR(SEARCH(("정규교과"),(H254))))</formula>
    </cfRule>
  </conditionalFormatting>
  <conditionalFormatting sqref="H258">
    <cfRule type="containsText" dxfId="6645" priority="3599" operator="containsText" text="정규교과">
      <formula>NOT(ISERROR(SEARCH(("정규교과"),(H258))))</formula>
    </cfRule>
    <cfRule type="containsText" dxfId="6644" priority="3598" operator="containsText" text="프로젝트">
      <formula>NOT(ISERROR(SEARCH(("프로젝트"),(H258))))</formula>
    </cfRule>
    <cfRule type="containsText" dxfId="6643" priority="3597" operator="containsText" text="기타">
      <formula>NOT(ISERROR(SEARCH(("기타"),(H258))))</formula>
    </cfRule>
    <cfRule type="containsText" dxfId="6642" priority="3596" operator="containsText" text="정규교과">
      <formula>NOT(ISERROR(SEARCH(("정규교과"),(H258))))</formula>
    </cfRule>
    <cfRule type="containsText" dxfId="6641" priority="3595" operator="containsText" text="프로젝트">
      <formula>NOT(ISERROR(SEARCH(("프로젝트"),(H258))))</formula>
    </cfRule>
    <cfRule type="containsText" dxfId="6640" priority="3589" operator="containsText" text="프로젝트">
      <formula>NOT(ISERROR(SEARCH(("프로젝트"),(H258))))</formula>
    </cfRule>
    <cfRule type="containsText" dxfId="6639" priority="3593" operator="containsText" text="정규교과">
      <formula>NOT(ISERROR(SEARCH(("정규교과"),(H258))))</formula>
    </cfRule>
    <cfRule type="containsText" dxfId="6638" priority="3592" operator="containsText" text="프로젝트">
      <formula>NOT(ISERROR(SEARCH(("프로젝트"),(H258))))</formula>
    </cfRule>
    <cfRule type="containsText" dxfId="6637" priority="3591" operator="containsText" text="기타">
      <formula>NOT(ISERROR(SEARCH(("기타"),(H258))))</formula>
    </cfRule>
    <cfRule type="containsText" dxfId="6636" priority="3590" operator="containsText" text="정규교과">
      <formula>NOT(ISERROR(SEARCH(("정규교과"),(H258))))</formula>
    </cfRule>
    <cfRule type="containsText" dxfId="6635" priority="3594" operator="containsText" text="기타">
      <formula>NOT(ISERROR(SEARCH(("기타"),(H258))))</formula>
    </cfRule>
    <cfRule type="containsText" dxfId="6634" priority="3600" operator="containsText" text="기타">
      <formula>NOT(ISERROR(SEARCH(("기타"),(H258))))</formula>
    </cfRule>
  </conditionalFormatting>
  <conditionalFormatting sqref="H263">
    <cfRule type="containsText" dxfId="6633" priority="3488" operator="containsText" text="정규교과">
      <formula>NOT(ISERROR(SEARCH(("정규교과"),(H263))))</formula>
    </cfRule>
    <cfRule type="containsText" dxfId="6632" priority="3489" operator="containsText" text="기타">
      <formula>NOT(ISERROR(SEARCH(("기타"),(H263))))</formula>
    </cfRule>
    <cfRule type="containsText" dxfId="6631" priority="3481" operator="containsText" text="프로젝트">
      <formula>NOT(ISERROR(SEARCH(("프로젝트"),(H263))))</formula>
    </cfRule>
    <cfRule type="containsText" dxfId="6630" priority="3485" operator="containsText" text="정규교과">
      <formula>NOT(ISERROR(SEARCH(("정규교과"),(H263))))</formula>
    </cfRule>
    <cfRule type="containsText" dxfId="6629" priority="3482" operator="containsText" text="정규교과">
      <formula>NOT(ISERROR(SEARCH(("정규교과"),(H263))))</formula>
    </cfRule>
    <cfRule type="containsText" dxfId="6628" priority="3483" operator="containsText" text="기타">
      <formula>NOT(ISERROR(SEARCH(("기타"),(H263))))</formula>
    </cfRule>
    <cfRule type="containsText" dxfId="6627" priority="3484" operator="containsText" text="프로젝트">
      <formula>NOT(ISERROR(SEARCH(("프로젝트"),(H263))))</formula>
    </cfRule>
    <cfRule type="containsText" dxfId="6626" priority="3479" operator="containsText" text="정규교과">
      <formula>NOT(ISERROR(SEARCH(("정규교과"),(H263))))</formula>
    </cfRule>
    <cfRule type="containsText" dxfId="6625" priority="3480" operator="containsText" text="기타">
      <formula>NOT(ISERROR(SEARCH(("기타"),(H263))))</formula>
    </cfRule>
    <cfRule type="containsText" dxfId="6624" priority="3478" operator="containsText" text="프로젝트">
      <formula>NOT(ISERROR(SEARCH(("프로젝트"),(H263))))</formula>
    </cfRule>
    <cfRule type="containsText" dxfId="6623" priority="3486" operator="containsText" text="기타">
      <formula>NOT(ISERROR(SEARCH(("기타"),(H263))))</formula>
    </cfRule>
    <cfRule type="containsText" dxfId="6622" priority="3487" operator="containsText" text="프로젝트">
      <formula>NOT(ISERROR(SEARCH(("프로젝트"),(H263))))</formula>
    </cfRule>
  </conditionalFormatting>
  <conditionalFormatting sqref="H267">
    <cfRule type="containsText" dxfId="6621" priority="3378" operator="containsText" text="기타">
      <formula>NOT(ISERROR(SEARCH(("기타"),(H267))))</formula>
    </cfRule>
    <cfRule type="containsText" dxfId="6620" priority="3372" operator="containsText" text="기타">
      <formula>NOT(ISERROR(SEARCH(("기타"),(H267))))</formula>
    </cfRule>
    <cfRule type="containsText" dxfId="6619" priority="3373" operator="containsText" text="프로젝트">
      <formula>NOT(ISERROR(SEARCH(("프로젝트"),(H267))))</formula>
    </cfRule>
    <cfRule type="containsText" dxfId="6618" priority="3377" operator="containsText" text="정규교과">
      <formula>NOT(ISERROR(SEARCH(("정규교과"),(H267))))</formula>
    </cfRule>
    <cfRule type="containsText" dxfId="6617" priority="3367" operator="containsText" text="프로젝트">
      <formula>NOT(ISERROR(SEARCH(("프로젝트"),(H267))))</formula>
    </cfRule>
    <cfRule type="containsText" dxfId="6616" priority="3371" operator="containsText" text="정규교과">
      <formula>NOT(ISERROR(SEARCH(("정규교과"),(H267))))</formula>
    </cfRule>
    <cfRule type="containsText" dxfId="6615" priority="3370" operator="containsText" text="프로젝트">
      <formula>NOT(ISERROR(SEARCH(("프로젝트"),(H267))))</formula>
    </cfRule>
    <cfRule type="containsText" dxfId="6614" priority="3369" operator="containsText" text="기타">
      <formula>NOT(ISERROR(SEARCH(("기타"),(H267))))</formula>
    </cfRule>
    <cfRule type="containsText" dxfId="6613" priority="3368" operator="containsText" text="정규교과">
      <formula>NOT(ISERROR(SEARCH(("정규교과"),(H267))))</formula>
    </cfRule>
    <cfRule type="containsText" dxfId="6612" priority="3375" operator="containsText" text="기타">
      <formula>NOT(ISERROR(SEARCH(("기타"),(H267))))</formula>
    </cfRule>
    <cfRule type="containsText" dxfId="6611" priority="3374" operator="containsText" text="정규교과">
      <formula>NOT(ISERROR(SEARCH(("정규교과"),(H267))))</formula>
    </cfRule>
    <cfRule type="containsText" dxfId="6610" priority="3376" operator="containsText" text="프로젝트">
      <formula>NOT(ISERROR(SEARCH(("프로젝트"),(H267))))</formula>
    </cfRule>
  </conditionalFormatting>
  <conditionalFormatting sqref="H271">
    <cfRule type="containsText" dxfId="6609" priority="3265" operator="containsText" text="프로젝트">
      <formula>NOT(ISERROR(SEARCH(("프로젝트"),(H271))))</formula>
    </cfRule>
    <cfRule type="containsText" dxfId="6608" priority="3263" operator="containsText" text="정규교과">
      <formula>NOT(ISERROR(SEARCH(("정규교과"),(H271))))</formula>
    </cfRule>
    <cfRule type="containsText" dxfId="6607" priority="3262" operator="containsText" text="프로젝트">
      <formula>NOT(ISERROR(SEARCH(("프로젝트"),(H271))))</formula>
    </cfRule>
    <cfRule type="containsText" dxfId="6606" priority="3261" operator="containsText" text="기타">
      <formula>NOT(ISERROR(SEARCH(("기타"),(H271))))</formula>
    </cfRule>
    <cfRule type="containsText" dxfId="6605" priority="3260" operator="containsText" text="정규교과">
      <formula>NOT(ISERROR(SEARCH(("정규교과"),(H271))))</formula>
    </cfRule>
    <cfRule type="containsText" dxfId="6604" priority="3259" operator="containsText" text="프로젝트">
      <formula>NOT(ISERROR(SEARCH(("프로젝트"),(H271))))</formula>
    </cfRule>
    <cfRule type="containsText" dxfId="6603" priority="3258" operator="containsText" text="기타">
      <formula>NOT(ISERROR(SEARCH(("기타"),(H271))))</formula>
    </cfRule>
    <cfRule type="containsText" dxfId="6602" priority="3257" operator="containsText" text="정규교과">
      <formula>NOT(ISERROR(SEARCH(("정규교과"),(H271))))</formula>
    </cfRule>
    <cfRule type="containsText" dxfId="6601" priority="3266" operator="containsText" text="정규교과">
      <formula>NOT(ISERROR(SEARCH(("정규교과"),(H271))))</formula>
    </cfRule>
    <cfRule type="containsText" dxfId="6600" priority="3267" operator="containsText" text="기타">
      <formula>NOT(ISERROR(SEARCH(("기타"),(H271))))</formula>
    </cfRule>
    <cfRule type="containsText" dxfId="6599" priority="3256" operator="containsText" text="프로젝트">
      <formula>NOT(ISERROR(SEARCH(("프로젝트"),(H271))))</formula>
    </cfRule>
    <cfRule type="containsText" dxfId="6598" priority="3264" operator="containsText" text="기타">
      <formula>NOT(ISERROR(SEARCH(("기타"),(H271))))</formula>
    </cfRule>
  </conditionalFormatting>
  <conditionalFormatting sqref="H275">
    <cfRule type="containsText" dxfId="6597" priority="3151" operator="containsText" text="프로젝트">
      <formula>NOT(ISERROR(SEARCH(("프로젝트"),(H275))))</formula>
    </cfRule>
    <cfRule type="containsText" dxfId="6596" priority="3152" operator="containsText" text="정규교과">
      <formula>NOT(ISERROR(SEARCH(("정규교과"),(H275))))</formula>
    </cfRule>
    <cfRule type="containsText" dxfId="6595" priority="3153" operator="containsText" text="기타">
      <formula>NOT(ISERROR(SEARCH(("기타"),(H275))))</formula>
    </cfRule>
    <cfRule type="containsText" dxfId="6594" priority="3154" operator="containsText" text="프로젝트">
      <formula>NOT(ISERROR(SEARCH(("프로젝트"),(H275))))</formula>
    </cfRule>
    <cfRule type="containsText" dxfId="6593" priority="3155" operator="containsText" text="정규교과">
      <formula>NOT(ISERROR(SEARCH(("정규교과"),(H275))))</formula>
    </cfRule>
    <cfRule type="containsText" dxfId="6592" priority="3147" operator="containsText" text="기타">
      <formula>NOT(ISERROR(SEARCH(("기타"),(H275))))</formula>
    </cfRule>
    <cfRule type="containsText" dxfId="6591" priority="3150" operator="containsText" text="기타">
      <formula>NOT(ISERROR(SEARCH(("기타"),(H275))))</formula>
    </cfRule>
    <cfRule type="containsText" dxfId="6590" priority="3149" operator="containsText" text="정규교과">
      <formula>NOT(ISERROR(SEARCH(("정규교과"),(H275))))</formula>
    </cfRule>
    <cfRule type="containsText" dxfId="6589" priority="3148" operator="containsText" text="프로젝트">
      <formula>NOT(ISERROR(SEARCH(("프로젝트"),(H275))))</formula>
    </cfRule>
    <cfRule type="containsText" dxfId="6588" priority="3156" operator="containsText" text="기타">
      <formula>NOT(ISERROR(SEARCH(("기타"),(H275))))</formula>
    </cfRule>
    <cfRule type="containsText" dxfId="6587" priority="3146" operator="containsText" text="정규교과">
      <formula>NOT(ISERROR(SEARCH(("정규교과"),(H275))))</formula>
    </cfRule>
    <cfRule type="containsText" dxfId="6586" priority="3145" operator="containsText" text="프로젝트">
      <formula>NOT(ISERROR(SEARCH(("프로젝트"),(H275))))</formula>
    </cfRule>
  </conditionalFormatting>
  <conditionalFormatting sqref="H279">
    <cfRule type="containsText" dxfId="6585" priority="3034" operator="containsText" text="프로젝트">
      <formula>NOT(ISERROR(SEARCH(("프로젝트"),(H279))))</formula>
    </cfRule>
    <cfRule type="containsText" dxfId="6584" priority="3045" operator="containsText" text="기타">
      <formula>NOT(ISERROR(SEARCH(("기타"),(H279))))</formula>
    </cfRule>
    <cfRule type="containsText" dxfId="6583" priority="3044" operator="containsText" text="정규교과">
      <formula>NOT(ISERROR(SEARCH(("정규교과"),(H279))))</formula>
    </cfRule>
    <cfRule type="containsText" dxfId="6582" priority="3043" operator="containsText" text="프로젝트">
      <formula>NOT(ISERROR(SEARCH(("프로젝트"),(H279))))</formula>
    </cfRule>
    <cfRule type="containsText" dxfId="6581" priority="3042" operator="containsText" text="기타">
      <formula>NOT(ISERROR(SEARCH(("기타"),(H279))))</formula>
    </cfRule>
    <cfRule type="containsText" dxfId="6580" priority="3041" operator="containsText" text="정규교과">
      <formula>NOT(ISERROR(SEARCH(("정규교과"),(H279))))</formula>
    </cfRule>
    <cfRule type="containsText" dxfId="6579" priority="3040" operator="containsText" text="프로젝트">
      <formula>NOT(ISERROR(SEARCH(("프로젝트"),(H279))))</formula>
    </cfRule>
    <cfRule type="containsText" dxfId="6578" priority="3039" operator="containsText" text="기타">
      <formula>NOT(ISERROR(SEARCH(("기타"),(H279))))</formula>
    </cfRule>
    <cfRule type="containsText" dxfId="6577" priority="3038" operator="containsText" text="정규교과">
      <formula>NOT(ISERROR(SEARCH(("정규교과"),(H279))))</formula>
    </cfRule>
    <cfRule type="containsText" dxfId="6576" priority="3037" operator="containsText" text="프로젝트">
      <formula>NOT(ISERROR(SEARCH(("프로젝트"),(H279))))</formula>
    </cfRule>
    <cfRule type="containsText" dxfId="6575" priority="3036" operator="containsText" text="기타">
      <formula>NOT(ISERROR(SEARCH(("기타"),(H279))))</formula>
    </cfRule>
    <cfRule type="containsText" dxfId="6574" priority="3035" operator="containsText" text="정규교과">
      <formula>NOT(ISERROR(SEARCH(("정규교과"),(H279))))</formula>
    </cfRule>
  </conditionalFormatting>
  <conditionalFormatting sqref="H320">
    <cfRule type="containsText" dxfId="6573" priority="2515" operator="containsText" text="정규교과">
      <formula>NOT(ISERROR(SEARCH(("정규교과"),(H320))))</formula>
    </cfRule>
    <cfRule type="containsText" dxfId="6572" priority="2509" operator="containsText" text="정규교과">
      <formula>NOT(ISERROR(SEARCH(("정규교과"),(H320))))</formula>
    </cfRule>
    <cfRule type="containsText" dxfId="6571" priority="2520" operator="containsText" text="프로젝트">
      <formula>NOT(ISERROR(SEARCH(("프로젝트"),(H320))))</formula>
    </cfRule>
    <cfRule type="containsText" dxfId="6570" priority="2519" operator="containsText" text="기타">
      <formula>NOT(ISERROR(SEARCH(("기타"),(H320))))</formula>
    </cfRule>
    <cfRule type="containsText" dxfId="6569" priority="2518" operator="containsText" text="정규교과">
      <formula>NOT(ISERROR(SEARCH(("정규교과"),(H320))))</formula>
    </cfRule>
    <cfRule type="containsText" dxfId="6568" priority="2517" operator="containsText" text="프로젝트">
      <formula>NOT(ISERROR(SEARCH(("프로젝트"),(H320))))</formula>
    </cfRule>
    <cfRule type="containsText" dxfId="6567" priority="2516" operator="containsText" text="기타">
      <formula>NOT(ISERROR(SEARCH(("기타"),(H320))))</formula>
    </cfRule>
    <cfRule type="containsText" dxfId="6566" priority="2508" operator="containsText" text="프로젝트">
      <formula>NOT(ISERROR(SEARCH(("프로젝트"),(H320))))</formula>
    </cfRule>
    <cfRule type="containsText" dxfId="6565" priority="2514" operator="containsText" text="프로젝트">
      <formula>NOT(ISERROR(SEARCH(("프로젝트"),(H320))))</formula>
    </cfRule>
    <cfRule type="containsText" dxfId="6564" priority="2513" operator="containsText" text="기타">
      <formula>NOT(ISERROR(SEARCH(("기타"),(H320))))</formula>
    </cfRule>
    <cfRule type="containsText" dxfId="6563" priority="2512" operator="containsText" text="정규교과">
      <formula>NOT(ISERROR(SEARCH(("정규교과"),(H320))))</formula>
    </cfRule>
    <cfRule type="containsText" dxfId="6562" priority="2511" operator="containsText" text="프로젝트">
      <formula>NOT(ISERROR(SEARCH(("프로젝트"),(H320))))</formula>
    </cfRule>
    <cfRule type="containsText" dxfId="6561" priority="2522" operator="containsText" text="기타">
      <formula>NOT(ISERROR(SEARCH(("기타"),(H320))))</formula>
    </cfRule>
    <cfRule type="containsText" dxfId="6560" priority="2523" operator="containsText" text="프로젝트">
      <formula>NOT(ISERROR(SEARCH(("프로젝트"),(H320))))</formula>
    </cfRule>
    <cfRule type="containsText" dxfId="6559" priority="2524" operator="containsText" text="정규교과">
      <formula>NOT(ISERROR(SEARCH(("정규교과"),(H320))))</formula>
    </cfRule>
    <cfRule type="containsText" dxfId="6558" priority="2525" operator="containsText" text="기타">
      <formula>NOT(ISERROR(SEARCH(("기타"),(H320))))</formula>
    </cfRule>
    <cfRule type="containsText" dxfId="6557" priority="2505" operator="containsText" text="프로젝트">
      <formula>NOT(ISERROR(SEARCH(("프로젝트"),(H320))))</formula>
    </cfRule>
    <cfRule type="containsText" dxfId="6556" priority="2507" operator="containsText" text="기타">
      <formula>NOT(ISERROR(SEARCH(("기타"),(H320))))</formula>
    </cfRule>
    <cfRule type="containsText" dxfId="6555" priority="2510" operator="containsText" text="기타">
      <formula>NOT(ISERROR(SEARCH(("기타"),(H320))))</formula>
    </cfRule>
    <cfRule type="containsText" dxfId="6554" priority="2506" operator="containsText" text="정규교과">
      <formula>NOT(ISERROR(SEARCH(("정규교과"),(H320))))</formula>
    </cfRule>
    <cfRule type="containsText" dxfId="6553" priority="2521" operator="containsText" text="정규교과">
      <formula>NOT(ISERROR(SEARCH(("정규교과"),(H320))))</formula>
    </cfRule>
  </conditionalFormatting>
  <conditionalFormatting sqref="H324">
    <cfRule type="containsText" dxfId="6552" priority="2367" operator="containsText" text="프로젝트">
      <formula>NOT(ISERROR(SEARCH(("프로젝트"),(H324))))</formula>
    </cfRule>
    <cfRule type="containsText" dxfId="6551" priority="2366" operator="containsText" text="기타">
      <formula>NOT(ISERROR(SEARCH(("기타"),(H324))))</formula>
    </cfRule>
    <cfRule type="containsText" dxfId="6550" priority="2365" operator="containsText" text="정규교과">
      <formula>NOT(ISERROR(SEARCH(("정규교과"),(H324))))</formula>
    </cfRule>
    <cfRule type="containsText" dxfId="6549" priority="2364" operator="containsText" text="프로젝트">
      <formula>NOT(ISERROR(SEARCH(("프로젝트"),(H324))))</formula>
    </cfRule>
    <cfRule type="containsText" dxfId="6548" priority="2363" operator="containsText" text="기타">
      <formula>NOT(ISERROR(SEARCH(("기타"),(H324))))</formula>
    </cfRule>
    <cfRule type="containsText" dxfId="6547" priority="2362" operator="containsText" text="정규교과">
      <formula>NOT(ISERROR(SEARCH(("정규교과"),(H324))))</formula>
    </cfRule>
    <cfRule type="containsText" dxfId="6546" priority="2361" operator="containsText" text="프로젝트">
      <formula>NOT(ISERROR(SEARCH(("프로젝트"),(H324))))</formula>
    </cfRule>
    <cfRule type="containsText" dxfId="6545" priority="2360" operator="containsText" text="기타">
      <formula>NOT(ISERROR(SEARCH(("기타"),(H324))))</formula>
    </cfRule>
    <cfRule type="containsText" dxfId="6544" priority="2359" operator="containsText" text="정규교과">
      <formula>NOT(ISERROR(SEARCH(("정규교과"),(H324))))</formula>
    </cfRule>
    <cfRule type="containsText" dxfId="6543" priority="2358" operator="containsText" text="프로젝트">
      <formula>NOT(ISERROR(SEARCH(("프로젝트"),(H324))))</formula>
    </cfRule>
    <cfRule type="containsText" dxfId="6542" priority="2375" operator="containsText" text="기타">
      <formula>NOT(ISERROR(SEARCH(("기타"),(H324))))</formula>
    </cfRule>
    <cfRule type="containsText" dxfId="6541" priority="2378" operator="containsText" text="기타">
      <formula>NOT(ISERROR(SEARCH(("기타"),(H324))))</formula>
    </cfRule>
    <cfRule type="containsText" dxfId="6540" priority="2377" operator="containsText" text="정규교과">
      <formula>NOT(ISERROR(SEARCH(("정규교과"),(H324))))</formula>
    </cfRule>
    <cfRule type="containsText" dxfId="6539" priority="2371" operator="containsText" text="정규교과">
      <formula>NOT(ISERROR(SEARCH(("정규교과"),(H324))))</formula>
    </cfRule>
    <cfRule type="containsText" dxfId="6538" priority="2368" operator="containsText" text="정규교과">
      <formula>NOT(ISERROR(SEARCH(("정규교과"),(H324))))</formula>
    </cfRule>
    <cfRule type="containsText" dxfId="6537" priority="2369" operator="containsText" text="기타">
      <formula>NOT(ISERROR(SEARCH(("기타"),(H324))))</formula>
    </cfRule>
    <cfRule type="containsText" dxfId="6536" priority="2374" operator="containsText" text="정규교과">
      <formula>NOT(ISERROR(SEARCH(("정규교과"),(H324))))</formula>
    </cfRule>
    <cfRule type="containsText" dxfId="6535" priority="2373" operator="containsText" text="프로젝트">
      <formula>NOT(ISERROR(SEARCH(("프로젝트"),(H324))))</formula>
    </cfRule>
    <cfRule type="containsText" dxfId="6534" priority="2372" operator="containsText" text="기타">
      <formula>NOT(ISERROR(SEARCH(("기타"),(H324))))</formula>
    </cfRule>
    <cfRule type="containsText" dxfId="6533" priority="2376" operator="containsText" text="프로젝트">
      <formula>NOT(ISERROR(SEARCH(("프로젝트"),(H324))))</formula>
    </cfRule>
    <cfRule type="containsText" dxfId="6532" priority="2370" operator="containsText" text="프로젝트">
      <formula>NOT(ISERROR(SEARCH(("프로젝트"),(H324))))</formula>
    </cfRule>
  </conditionalFormatting>
  <conditionalFormatting sqref="H328">
    <cfRule type="containsText" dxfId="6531" priority="2226" operator="containsText" text="프로젝트">
      <formula>NOT(ISERROR(SEARCH(("프로젝트"),(H328))))</formula>
    </cfRule>
    <cfRule type="containsText" dxfId="6530" priority="2221" operator="containsText" text="정규교과">
      <formula>NOT(ISERROR(SEARCH(("정규교과"),(H328))))</formula>
    </cfRule>
    <cfRule type="containsText" dxfId="6529" priority="2225" operator="containsText" text="기타">
      <formula>NOT(ISERROR(SEARCH(("기타"),(H328))))</formula>
    </cfRule>
    <cfRule type="containsText" dxfId="6528" priority="2224" operator="containsText" text="정규교과">
      <formula>NOT(ISERROR(SEARCH(("정규교과"),(H328))))</formula>
    </cfRule>
    <cfRule type="containsText" dxfId="6527" priority="2223" operator="containsText" text="프로젝트">
      <formula>NOT(ISERROR(SEARCH(("프로젝트"),(H328))))</formula>
    </cfRule>
    <cfRule type="containsText" dxfId="6526" priority="2222" operator="containsText" text="기타">
      <formula>NOT(ISERROR(SEARCH(("기타"),(H328))))</formula>
    </cfRule>
    <cfRule type="containsText" dxfId="6525" priority="2220" operator="containsText" text="프로젝트">
      <formula>NOT(ISERROR(SEARCH(("프로젝트"),(H328))))</formula>
    </cfRule>
    <cfRule type="containsText" dxfId="6524" priority="2228" operator="containsText" text="기타">
      <formula>NOT(ISERROR(SEARCH(("기타"),(H328))))</formula>
    </cfRule>
    <cfRule type="containsText" dxfId="6523" priority="2229" operator="containsText" text="프로젝트">
      <formula>NOT(ISERROR(SEARCH(("프로젝트"),(H328))))</formula>
    </cfRule>
    <cfRule type="containsText" dxfId="6522" priority="2218" operator="containsText" text="정규교과">
      <formula>NOT(ISERROR(SEARCH(("정규교과"),(H328))))</formula>
    </cfRule>
    <cfRule type="containsText" dxfId="6521" priority="2217" operator="containsText" text="프로젝트">
      <formula>NOT(ISERROR(SEARCH(("프로젝트"),(H328))))</formula>
    </cfRule>
    <cfRule type="containsText" dxfId="6520" priority="2219" operator="containsText" text="기타">
      <formula>NOT(ISERROR(SEARCH(("기타"),(H328))))</formula>
    </cfRule>
    <cfRule type="containsText" dxfId="6519" priority="2211" operator="containsText" text="프로젝트">
      <formula>NOT(ISERROR(SEARCH(("프로젝트"),(H328))))</formula>
    </cfRule>
    <cfRule type="containsText" dxfId="6518" priority="2227" operator="containsText" text="정규교과">
      <formula>NOT(ISERROR(SEARCH(("정규교과"),(H328))))</formula>
    </cfRule>
    <cfRule type="containsText" dxfId="6517" priority="2214" operator="containsText" text="프로젝트">
      <formula>NOT(ISERROR(SEARCH(("프로젝트"),(H328))))</formula>
    </cfRule>
    <cfRule type="containsText" dxfId="6516" priority="2213" operator="containsText" text="기타">
      <formula>NOT(ISERROR(SEARCH(("기타"),(H328))))</formula>
    </cfRule>
    <cfRule type="containsText" dxfId="6515" priority="2231" operator="containsText" text="기타">
      <formula>NOT(ISERROR(SEARCH(("기타"),(H328))))</formula>
    </cfRule>
    <cfRule type="containsText" dxfId="6514" priority="2212" operator="containsText" text="정규교과">
      <formula>NOT(ISERROR(SEARCH(("정규교과"),(H328))))</formula>
    </cfRule>
    <cfRule type="containsText" dxfId="6513" priority="2230" operator="containsText" text="정규교과">
      <formula>NOT(ISERROR(SEARCH(("정규교과"),(H328))))</formula>
    </cfRule>
    <cfRule type="containsText" dxfId="6512" priority="2216" operator="containsText" text="기타">
      <formula>NOT(ISERROR(SEARCH(("기타"),(H328))))</formula>
    </cfRule>
    <cfRule type="containsText" dxfId="6511" priority="2215" operator="containsText" text="정규교과">
      <formula>NOT(ISERROR(SEARCH(("정규교과"),(H328))))</formula>
    </cfRule>
  </conditionalFormatting>
  <conditionalFormatting sqref="H333">
    <cfRule type="containsText" dxfId="6510" priority="2067" operator="containsText" text="프로젝트">
      <formula>NOT(ISERROR(SEARCH(("프로젝트"),(H333))))</formula>
    </cfRule>
    <cfRule type="containsText" dxfId="6509" priority="2068" operator="containsText" text="정규교과">
      <formula>NOT(ISERROR(SEARCH(("정규교과"),(H333))))</formula>
    </cfRule>
    <cfRule type="containsText" dxfId="6508" priority="2069" operator="containsText" text="기타">
      <formula>NOT(ISERROR(SEARCH(("기타"),(H333))))</formula>
    </cfRule>
    <cfRule type="containsText" dxfId="6507" priority="2071" operator="containsText" text="정규교과">
      <formula>NOT(ISERROR(SEARCH(("정규교과"),(H333))))</formula>
    </cfRule>
    <cfRule type="containsText" dxfId="6506" priority="2072" operator="containsText" text="기타">
      <formula>NOT(ISERROR(SEARCH(("기타"),(H333))))</formula>
    </cfRule>
    <cfRule type="containsText" dxfId="6505" priority="2073" operator="containsText" text="프로젝트">
      <formula>NOT(ISERROR(SEARCH(("프로젝트"),(H333))))</formula>
    </cfRule>
    <cfRule type="containsText" dxfId="6504" priority="2074" operator="containsText" text="정규교과">
      <formula>NOT(ISERROR(SEARCH(("정규교과"),(H333))))</formula>
    </cfRule>
    <cfRule type="containsText" dxfId="6503" priority="2075" operator="containsText" text="기타">
      <formula>NOT(ISERROR(SEARCH(("기타"),(H333))))</formula>
    </cfRule>
    <cfRule type="containsText" dxfId="6502" priority="2076" operator="containsText" text="프로젝트">
      <formula>NOT(ISERROR(SEARCH(("프로젝트"),(H333))))</formula>
    </cfRule>
    <cfRule type="containsText" dxfId="6501" priority="2077" operator="containsText" text="정규교과">
      <formula>NOT(ISERROR(SEARCH(("정규교과"),(H333))))</formula>
    </cfRule>
    <cfRule type="containsText" dxfId="6500" priority="2078" operator="containsText" text="기타">
      <formula>NOT(ISERROR(SEARCH(("기타"),(H333))))</formula>
    </cfRule>
    <cfRule type="containsText" dxfId="6499" priority="2079" operator="containsText" text="프로젝트">
      <formula>NOT(ISERROR(SEARCH(("프로젝트"),(H333))))</formula>
    </cfRule>
    <cfRule type="containsText" dxfId="6498" priority="2080" operator="containsText" text="정규교과">
      <formula>NOT(ISERROR(SEARCH(("정규교과"),(H333))))</formula>
    </cfRule>
    <cfRule type="containsText" dxfId="6497" priority="2081" operator="containsText" text="기타">
      <formula>NOT(ISERROR(SEARCH(("기타"),(H333))))</formula>
    </cfRule>
    <cfRule type="containsText" dxfId="6496" priority="2082" operator="containsText" text="프로젝트">
      <formula>NOT(ISERROR(SEARCH(("프로젝트"),(H333))))</formula>
    </cfRule>
    <cfRule type="containsText" dxfId="6495" priority="2083" operator="containsText" text="정규교과">
      <formula>NOT(ISERROR(SEARCH(("정규교과"),(H333))))</formula>
    </cfRule>
    <cfRule type="containsText" dxfId="6494" priority="2084" operator="containsText" text="기타">
      <formula>NOT(ISERROR(SEARCH(("기타"),(H333))))</formula>
    </cfRule>
    <cfRule type="containsText" dxfId="6493" priority="2070" operator="containsText" text="프로젝트">
      <formula>NOT(ISERROR(SEARCH(("프로젝트"),(H333))))</formula>
    </cfRule>
    <cfRule type="containsText" dxfId="6492" priority="2064" operator="containsText" text="프로젝트">
      <formula>NOT(ISERROR(SEARCH(("프로젝트"),(H333))))</formula>
    </cfRule>
    <cfRule type="containsText" dxfId="6491" priority="2065" operator="containsText" text="정규교과">
      <formula>NOT(ISERROR(SEARCH(("정규교과"),(H333))))</formula>
    </cfRule>
    <cfRule type="containsText" dxfId="6490" priority="2066" operator="containsText" text="기타">
      <formula>NOT(ISERROR(SEARCH(("기타"),(H333))))</formula>
    </cfRule>
  </conditionalFormatting>
  <conditionalFormatting sqref="H337">
    <cfRule type="containsText" dxfId="6489" priority="1933" operator="containsText" text="정규교과">
      <formula>NOT(ISERROR(SEARCH(("정규교과"),(H337))))</formula>
    </cfRule>
    <cfRule type="containsText" dxfId="6488" priority="1920" operator="containsText" text="프로젝트">
      <formula>NOT(ISERROR(SEARCH(("프로젝트"),(H337))))</formula>
    </cfRule>
    <cfRule type="containsText" dxfId="6487" priority="1921" operator="containsText" text="정규교과">
      <formula>NOT(ISERROR(SEARCH(("정규교과"),(H337))))</formula>
    </cfRule>
    <cfRule type="containsText" dxfId="6486" priority="1934" operator="containsText" text="기타">
      <formula>NOT(ISERROR(SEARCH(("기타"),(H337))))</formula>
    </cfRule>
    <cfRule type="containsText" dxfId="6485" priority="1923" operator="containsText" text="프로젝트">
      <formula>NOT(ISERROR(SEARCH(("프로젝트"),(H337))))</formula>
    </cfRule>
    <cfRule type="containsText" dxfId="6484" priority="1936" operator="containsText" text="정규교과">
      <formula>NOT(ISERROR(SEARCH(("정규교과"),(H337))))</formula>
    </cfRule>
    <cfRule type="containsText" dxfId="6483" priority="1930" operator="containsText" text="정규교과">
      <formula>NOT(ISERROR(SEARCH(("정규교과"),(H337))))</formula>
    </cfRule>
    <cfRule type="containsText" dxfId="6482" priority="1917" operator="containsText" text="프로젝트">
      <formula>NOT(ISERROR(SEARCH(("프로젝트"),(H337))))</formula>
    </cfRule>
    <cfRule type="containsText" dxfId="6481" priority="1918" operator="containsText" text="정규교과">
      <formula>NOT(ISERROR(SEARCH(("정규교과"),(H337))))</formula>
    </cfRule>
    <cfRule type="containsText" dxfId="6480" priority="1924" operator="containsText" text="정규교과">
      <formula>NOT(ISERROR(SEARCH(("정규교과"),(H337))))</formula>
    </cfRule>
    <cfRule type="containsText" dxfId="6479" priority="1922" operator="containsText" text="기타">
      <formula>NOT(ISERROR(SEARCH(("기타"),(H337))))</formula>
    </cfRule>
    <cfRule type="containsText" dxfId="6478" priority="1925" operator="containsText" text="기타">
      <formula>NOT(ISERROR(SEARCH(("기타"),(H337))))</formula>
    </cfRule>
    <cfRule type="containsText" dxfId="6477" priority="1926" operator="containsText" text="프로젝트">
      <formula>NOT(ISERROR(SEARCH(("프로젝트"),(H337))))</formula>
    </cfRule>
    <cfRule type="containsText" dxfId="6476" priority="1927" operator="containsText" text="정규교과">
      <formula>NOT(ISERROR(SEARCH(("정규교과"),(H337))))</formula>
    </cfRule>
    <cfRule type="containsText" dxfId="6475" priority="1928" operator="containsText" text="기타">
      <formula>NOT(ISERROR(SEARCH(("기타"),(H337))))</formula>
    </cfRule>
    <cfRule type="containsText" dxfId="6474" priority="1929" operator="containsText" text="프로젝트">
      <formula>NOT(ISERROR(SEARCH(("프로젝트"),(H337))))</formula>
    </cfRule>
    <cfRule type="containsText" dxfId="6473" priority="1931" operator="containsText" text="기타">
      <formula>NOT(ISERROR(SEARCH(("기타"),(H337))))</formula>
    </cfRule>
    <cfRule type="containsText" dxfId="6472" priority="1932" operator="containsText" text="프로젝트">
      <formula>NOT(ISERROR(SEARCH(("프로젝트"),(H337))))</formula>
    </cfRule>
    <cfRule type="containsText" dxfId="6471" priority="1937" operator="containsText" text="기타">
      <formula>NOT(ISERROR(SEARCH(("기타"),(H337))))</formula>
    </cfRule>
    <cfRule type="containsText" dxfId="6470" priority="1935" operator="containsText" text="프로젝트">
      <formula>NOT(ISERROR(SEARCH(("프로젝트"),(H337))))</formula>
    </cfRule>
    <cfRule type="containsText" dxfId="6469" priority="1919" operator="containsText" text="기타">
      <formula>NOT(ISERROR(SEARCH(("기타"),(H337))))</formula>
    </cfRule>
  </conditionalFormatting>
  <conditionalFormatting sqref="H341">
    <cfRule type="containsText" dxfId="6468" priority="1778" operator="containsText" text="기타">
      <formula>NOT(ISERROR(SEARCH(("기타"),(H341))))</formula>
    </cfRule>
    <cfRule type="containsText" dxfId="6467" priority="1790" operator="containsText" text="기타">
      <formula>NOT(ISERROR(SEARCH(("기타"),(H341))))</formula>
    </cfRule>
    <cfRule type="containsText" dxfId="6466" priority="1771" operator="containsText" text="정규교과">
      <formula>NOT(ISERROR(SEARCH(("정규교과"),(H341))))</formula>
    </cfRule>
    <cfRule type="containsText" dxfId="6465" priority="1783" operator="containsText" text="정규교과">
      <formula>NOT(ISERROR(SEARCH(("정규교과"),(H341))))</formula>
    </cfRule>
    <cfRule type="containsText" dxfId="6464" priority="1770" operator="containsText" text="프로젝트">
      <formula>NOT(ISERROR(SEARCH(("프로젝트"),(H341))))</formula>
    </cfRule>
    <cfRule type="containsText" dxfId="6463" priority="1772" operator="containsText" text="기타">
      <formula>NOT(ISERROR(SEARCH(("기타"),(H341))))</formula>
    </cfRule>
    <cfRule type="containsText" dxfId="6462" priority="1773" operator="containsText" text="프로젝트">
      <formula>NOT(ISERROR(SEARCH(("프로젝트"),(H341))))</formula>
    </cfRule>
    <cfRule type="containsText" dxfId="6461" priority="1774" operator="containsText" text="정규교과">
      <formula>NOT(ISERROR(SEARCH(("정규교과"),(H341))))</formula>
    </cfRule>
    <cfRule type="containsText" dxfId="6460" priority="1775" operator="containsText" text="기타">
      <formula>NOT(ISERROR(SEARCH(("기타"),(H341))))</formula>
    </cfRule>
    <cfRule type="containsText" dxfId="6459" priority="1776" operator="containsText" text="프로젝트">
      <formula>NOT(ISERROR(SEARCH(("프로젝트"),(H341))))</formula>
    </cfRule>
    <cfRule type="containsText" dxfId="6458" priority="1777" operator="containsText" text="정규교과">
      <formula>NOT(ISERROR(SEARCH(("정규교과"),(H341))))</formula>
    </cfRule>
    <cfRule type="containsText" dxfId="6457" priority="1779" operator="containsText" text="프로젝트">
      <formula>NOT(ISERROR(SEARCH(("프로젝트"),(H341))))</formula>
    </cfRule>
    <cfRule type="containsText" dxfId="6456" priority="1780" operator="containsText" text="정규교과">
      <formula>NOT(ISERROR(SEARCH(("정규교과"),(H341))))</formula>
    </cfRule>
    <cfRule type="containsText" dxfId="6455" priority="1781" operator="containsText" text="기타">
      <formula>NOT(ISERROR(SEARCH(("기타"),(H341))))</formula>
    </cfRule>
    <cfRule type="containsText" dxfId="6454" priority="1782" operator="containsText" text="프로젝트">
      <formula>NOT(ISERROR(SEARCH(("프로젝트"),(H341))))</formula>
    </cfRule>
    <cfRule type="containsText" dxfId="6453" priority="1789" operator="containsText" text="정규교과">
      <formula>NOT(ISERROR(SEARCH(("정규교과"),(H341))))</formula>
    </cfRule>
    <cfRule type="containsText" dxfId="6452" priority="1788" operator="containsText" text="프로젝트">
      <formula>NOT(ISERROR(SEARCH(("프로젝트"),(H341))))</formula>
    </cfRule>
    <cfRule type="containsText" dxfId="6451" priority="1787" operator="containsText" text="기타">
      <formula>NOT(ISERROR(SEARCH(("기타"),(H341))))</formula>
    </cfRule>
    <cfRule type="containsText" dxfId="6450" priority="1786" operator="containsText" text="정규교과">
      <formula>NOT(ISERROR(SEARCH(("정규교과"),(H341))))</formula>
    </cfRule>
    <cfRule type="containsText" dxfId="6449" priority="1785" operator="containsText" text="프로젝트">
      <formula>NOT(ISERROR(SEARCH(("프로젝트"),(H341))))</formula>
    </cfRule>
    <cfRule type="containsText" dxfId="6448" priority="1784" operator="containsText" text="기타">
      <formula>NOT(ISERROR(SEARCH(("기타"),(H341))))</formula>
    </cfRule>
  </conditionalFormatting>
  <conditionalFormatting sqref="H345">
    <cfRule type="containsText" dxfId="6447" priority="1624" operator="containsText" text="정규교과">
      <formula>NOT(ISERROR(SEARCH(("정규교과"),(H345))))</formula>
    </cfRule>
    <cfRule type="containsText" dxfId="6446" priority="1628" operator="containsText" text="기타">
      <formula>NOT(ISERROR(SEARCH(("기타"),(H345))))</formula>
    </cfRule>
    <cfRule type="containsText" dxfId="6445" priority="1642" operator="containsText" text="정규교과">
      <formula>NOT(ISERROR(SEARCH(("정규교과"),(H345))))</formula>
    </cfRule>
    <cfRule type="containsText" dxfId="6444" priority="1641" operator="containsText" text="프로젝트">
      <formula>NOT(ISERROR(SEARCH(("프로젝트"),(H345))))</formula>
    </cfRule>
    <cfRule type="containsText" dxfId="6443" priority="1640" operator="containsText" text="기타">
      <formula>NOT(ISERROR(SEARCH(("기타"),(H345))))</formula>
    </cfRule>
    <cfRule type="containsText" dxfId="6442" priority="1639" operator="containsText" text="정규교과">
      <formula>NOT(ISERROR(SEARCH(("정규교과"),(H345))))</formula>
    </cfRule>
    <cfRule type="containsText" dxfId="6441" priority="1638" operator="containsText" text="프로젝트">
      <formula>NOT(ISERROR(SEARCH(("프로젝트"),(H345))))</formula>
    </cfRule>
    <cfRule type="containsText" dxfId="6440" priority="1637" operator="containsText" text="기타">
      <formula>NOT(ISERROR(SEARCH(("기타"),(H345))))</formula>
    </cfRule>
    <cfRule type="containsText" dxfId="6439" priority="1630" operator="containsText" text="정규교과">
      <formula>NOT(ISERROR(SEARCH(("정규교과"),(H345))))</formula>
    </cfRule>
    <cfRule type="containsText" dxfId="6438" priority="1636" operator="containsText" text="정규교과">
      <formula>NOT(ISERROR(SEARCH(("정규교과"),(H345))))</formula>
    </cfRule>
    <cfRule type="containsText" dxfId="6437" priority="1627" operator="containsText" text="정규교과">
      <formula>NOT(ISERROR(SEARCH(("정규교과"),(H345))))</formula>
    </cfRule>
    <cfRule type="containsText" dxfId="6436" priority="1635" operator="containsText" text="프로젝트">
      <formula>NOT(ISERROR(SEARCH(("프로젝트"),(H345))))</formula>
    </cfRule>
    <cfRule type="containsText" dxfId="6435" priority="1634" operator="containsText" text="기타">
      <formula>NOT(ISERROR(SEARCH(("기타"),(H345))))</formula>
    </cfRule>
    <cfRule type="containsText" dxfId="6434" priority="1633" operator="containsText" text="정규교과">
      <formula>NOT(ISERROR(SEARCH(("정규교과"),(H345))))</formula>
    </cfRule>
    <cfRule type="containsText" dxfId="6433" priority="1632" operator="containsText" text="프로젝트">
      <formula>NOT(ISERROR(SEARCH(("프로젝트"),(H345))))</formula>
    </cfRule>
    <cfRule type="containsText" dxfId="6432" priority="1631" operator="containsText" text="기타">
      <formula>NOT(ISERROR(SEARCH(("기타"),(H345))))</formula>
    </cfRule>
    <cfRule type="containsText" dxfId="6431" priority="1629" operator="containsText" text="프로젝트">
      <formula>NOT(ISERROR(SEARCH(("프로젝트"),(H345))))</formula>
    </cfRule>
    <cfRule type="containsText" dxfId="6430" priority="1623" operator="containsText" text="프로젝트">
      <formula>NOT(ISERROR(SEARCH(("프로젝트"),(H345))))</formula>
    </cfRule>
    <cfRule type="containsText" dxfId="6429" priority="1625" operator="containsText" text="기타">
      <formula>NOT(ISERROR(SEARCH(("기타"),(H345))))</formula>
    </cfRule>
    <cfRule type="containsText" dxfId="6428" priority="1626" operator="containsText" text="프로젝트">
      <formula>NOT(ISERROR(SEARCH(("프로젝트"),(H345))))</formula>
    </cfRule>
    <cfRule type="containsText" dxfId="6427" priority="1643" operator="containsText" text="기타">
      <formula>NOT(ISERROR(SEARCH(("기타"),(H345))))</formula>
    </cfRule>
  </conditionalFormatting>
  <conditionalFormatting sqref="H349">
    <cfRule type="containsText" dxfId="6426" priority="1494" operator="containsText" text="프로젝트">
      <formula>NOT(ISERROR(SEARCH(("프로젝트"),(H349))))</formula>
    </cfRule>
    <cfRule type="containsText" dxfId="6425" priority="1495" operator="containsText" text="정규교과">
      <formula>NOT(ISERROR(SEARCH(("정규교과"),(H349))))</formula>
    </cfRule>
    <cfRule type="containsText" dxfId="6424" priority="1493" operator="containsText" text="기타">
      <formula>NOT(ISERROR(SEARCH(("기타"),(H349))))</formula>
    </cfRule>
    <cfRule type="containsText" dxfId="6423" priority="1492" operator="containsText" text="정규교과">
      <formula>NOT(ISERROR(SEARCH(("정규교과"),(H349))))</formula>
    </cfRule>
    <cfRule type="containsText" dxfId="6422" priority="1491" operator="containsText" text="프로젝트">
      <formula>NOT(ISERROR(SEARCH(("프로젝트"),(H349))))</formula>
    </cfRule>
    <cfRule type="containsText" dxfId="6421" priority="1490" operator="containsText" text="기타">
      <formula>NOT(ISERROR(SEARCH(("기타"),(H349))))</formula>
    </cfRule>
    <cfRule type="containsText" dxfId="6420" priority="1489" operator="containsText" text="정규교과">
      <formula>NOT(ISERROR(SEARCH(("정규교과"),(H349))))</formula>
    </cfRule>
    <cfRule type="containsText" dxfId="6419" priority="1488" operator="containsText" text="프로젝트">
      <formula>NOT(ISERROR(SEARCH(("프로젝트"),(H349))))</formula>
    </cfRule>
    <cfRule type="containsText" dxfId="6418" priority="1486" operator="containsText" text="정규교과">
      <formula>NOT(ISERROR(SEARCH(("정규교과"),(H349))))</formula>
    </cfRule>
    <cfRule type="containsText" dxfId="6417" priority="1485" operator="containsText" text="프로젝트">
      <formula>NOT(ISERROR(SEARCH(("프로젝트"),(H349))))</formula>
    </cfRule>
    <cfRule type="containsText" dxfId="6416" priority="1496" operator="containsText" text="기타">
      <formula>NOT(ISERROR(SEARCH(("기타"),(H349))))</formula>
    </cfRule>
    <cfRule type="containsText" dxfId="6415" priority="1484" operator="containsText" text="기타">
      <formula>NOT(ISERROR(SEARCH(("기타"),(H349))))</formula>
    </cfRule>
    <cfRule type="containsText" dxfId="6414" priority="1483" operator="containsText" text="정규교과">
      <formula>NOT(ISERROR(SEARCH(("정규교과"),(H349))))</formula>
    </cfRule>
    <cfRule type="containsText" dxfId="6413" priority="1482" operator="containsText" text="프로젝트">
      <formula>NOT(ISERROR(SEARCH(("프로젝트"),(H349))))</formula>
    </cfRule>
    <cfRule type="containsText" dxfId="6412" priority="1481" operator="containsText" text="기타">
      <formula>NOT(ISERROR(SEARCH(("기타"),(H349))))</formula>
    </cfRule>
    <cfRule type="containsText" dxfId="6411" priority="1480" operator="containsText" text="정규교과">
      <formula>NOT(ISERROR(SEARCH(("정규교과"),(H349))))</formula>
    </cfRule>
    <cfRule type="containsText" dxfId="6410" priority="1479" operator="containsText" text="프로젝트">
      <formula>NOT(ISERROR(SEARCH(("프로젝트"),(H349))))</formula>
    </cfRule>
    <cfRule type="containsText" dxfId="6409" priority="1478" operator="containsText" text="기타">
      <formula>NOT(ISERROR(SEARCH(("기타"),(H349))))</formula>
    </cfRule>
    <cfRule type="containsText" dxfId="6408" priority="1477" operator="containsText" text="정규교과">
      <formula>NOT(ISERROR(SEARCH(("정규교과"),(H349))))</formula>
    </cfRule>
    <cfRule type="containsText" dxfId="6407" priority="1476" operator="containsText" text="프로젝트">
      <formula>NOT(ISERROR(SEARCH(("프로젝트"),(H349))))</formula>
    </cfRule>
    <cfRule type="containsText" dxfId="6406" priority="1487" operator="containsText" text="기타">
      <formula>NOT(ISERROR(SEARCH(("기타"),(H349))))</formula>
    </cfRule>
  </conditionalFormatting>
  <conditionalFormatting sqref="H359">
    <cfRule type="containsText" dxfId="6405" priority="1138" operator="containsText" text="프로젝트">
      <formula>NOT(ISERROR(SEARCH(("프로젝트"),(H359))))</formula>
    </cfRule>
    <cfRule type="containsText" dxfId="6404" priority="1139" operator="containsText" text="정규교과">
      <formula>NOT(ISERROR(SEARCH(("정규교과"),(H359))))</formula>
    </cfRule>
    <cfRule type="containsText" dxfId="6403" priority="1140" operator="containsText" text="기타">
      <formula>NOT(ISERROR(SEARCH(("기타"),(H359))))</formula>
    </cfRule>
    <cfRule type="containsText" dxfId="6402" priority="1141" operator="containsText" text="프로젝트">
      <formula>NOT(ISERROR(SEARCH(("프로젝트"),(H359))))</formula>
    </cfRule>
    <cfRule type="containsText" dxfId="6401" priority="1142" operator="containsText" text="정규교과">
      <formula>NOT(ISERROR(SEARCH(("정규교과"),(H359))))</formula>
    </cfRule>
    <cfRule type="containsText" dxfId="6400" priority="1144" operator="containsText" text="프로젝트">
      <formula>NOT(ISERROR(SEARCH(("프로젝트"),(H359))))</formula>
    </cfRule>
    <cfRule type="containsText" dxfId="6399" priority="1145" operator="containsText" text="정규교과">
      <formula>NOT(ISERROR(SEARCH(("정규교과"),(H359))))</formula>
    </cfRule>
    <cfRule type="containsText" dxfId="6398" priority="1146" operator="containsText" text="기타">
      <formula>NOT(ISERROR(SEARCH(("기타"),(H359))))</formula>
    </cfRule>
    <cfRule type="containsText" dxfId="6397" priority="1147" operator="containsText" text="프로젝트">
      <formula>NOT(ISERROR(SEARCH(("프로젝트"),(H359))))</formula>
    </cfRule>
    <cfRule type="containsText" dxfId="6396" priority="1148" operator="containsText" text="정규교과">
      <formula>NOT(ISERROR(SEARCH(("정규교과"),(H359))))</formula>
    </cfRule>
    <cfRule type="containsText" dxfId="6395" priority="1149" operator="containsText" text="기타">
      <formula>NOT(ISERROR(SEARCH(("기타"),(H359))))</formula>
    </cfRule>
    <cfRule type="containsText" dxfId="6394" priority="1150" operator="containsText" text="프로젝트">
      <formula>NOT(ISERROR(SEARCH(("프로젝트"),(H359))))</formula>
    </cfRule>
    <cfRule type="containsText" dxfId="6393" priority="1151" operator="containsText" text="정규교과">
      <formula>NOT(ISERROR(SEARCH(("정규교과"),(H359))))</formula>
    </cfRule>
    <cfRule type="containsText" dxfId="6392" priority="1152" operator="containsText" text="기타">
      <formula>NOT(ISERROR(SEARCH(("기타"),(H359))))</formula>
    </cfRule>
    <cfRule type="containsText" dxfId="6391" priority="1143" operator="containsText" text="기타">
      <formula>NOT(ISERROR(SEARCH(("기타"),(H359))))</formula>
    </cfRule>
    <cfRule type="containsText" dxfId="6390" priority="1132" operator="containsText" text="프로젝트">
      <formula>NOT(ISERROR(SEARCH(("프로젝트"),(H359))))</formula>
    </cfRule>
    <cfRule type="containsText" dxfId="6389" priority="1133" operator="containsText" text="정규교과">
      <formula>NOT(ISERROR(SEARCH(("정규교과"),(H359))))</formula>
    </cfRule>
    <cfRule type="containsText" dxfId="6388" priority="1134" operator="containsText" text="기타">
      <formula>NOT(ISERROR(SEARCH(("기타"),(H359))))</formula>
    </cfRule>
    <cfRule type="containsText" dxfId="6387" priority="1135" operator="containsText" text="프로젝트">
      <formula>NOT(ISERROR(SEARCH(("프로젝트"),(H359))))</formula>
    </cfRule>
    <cfRule type="containsText" dxfId="6386" priority="1136" operator="containsText" text="정규교과">
      <formula>NOT(ISERROR(SEARCH(("정규교과"),(H359))))</formula>
    </cfRule>
    <cfRule type="containsText" dxfId="6385" priority="1137" operator="containsText" text="기타">
      <formula>NOT(ISERROR(SEARCH(("기타"),(H359))))</formula>
    </cfRule>
  </conditionalFormatting>
  <conditionalFormatting sqref="H363">
    <cfRule type="containsText" dxfId="6384" priority="1002" operator="containsText" text="프로젝트">
      <formula>NOT(ISERROR(SEARCH(("프로젝트"),(H363))))</formula>
    </cfRule>
    <cfRule type="containsText" dxfId="6383" priority="1013" operator="containsText" text="기타">
      <formula>NOT(ISERROR(SEARCH(("기타"),(H363))))</formula>
    </cfRule>
    <cfRule type="containsText" dxfId="6382" priority="1019" operator="containsText" text="기타">
      <formula>NOT(ISERROR(SEARCH(("기타"),(H363))))</formula>
    </cfRule>
    <cfRule type="containsText" dxfId="6381" priority="1018" operator="containsText" text="정규교과">
      <formula>NOT(ISERROR(SEARCH(("정규교과"),(H363))))</formula>
    </cfRule>
    <cfRule type="containsText" dxfId="6380" priority="1017" operator="containsText" text="프로젝트">
      <formula>NOT(ISERROR(SEARCH(("프로젝트"),(H363))))</formula>
    </cfRule>
    <cfRule type="containsText" dxfId="6379" priority="1015" operator="containsText" text="정규교과">
      <formula>NOT(ISERROR(SEARCH(("정규교과"),(H363))))</formula>
    </cfRule>
    <cfRule type="containsText" dxfId="6378" priority="1016" operator="containsText" text="기타">
      <formula>NOT(ISERROR(SEARCH(("기타"),(H363))))</formula>
    </cfRule>
    <cfRule type="containsText" dxfId="6377" priority="1014" operator="containsText" text="프로젝트">
      <formula>NOT(ISERROR(SEARCH(("프로젝트"),(H363))))</formula>
    </cfRule>
    <cfRule type="containsText" dxfId="6376" priority="1012" operator="containsText" text="정규교과">
      <formula>NOT(ISERROR(SEARCH(("정규교과"),(H363))))</formula>
    </cfRule>
    <cfRule type="containsText" dxfId="6375" priority="1011" operator="containsText" text="프로젝트">
      <formula>NOT(ISERROR(SEARCH(("프로젝트"),(H363))))</formula>
    </cfRule>
    <cfRule type="containsText" dxfId="6374" priority="1010" operator="containsText" text="기타">
      <formula>NOT(ISERROR(SEARCH(("기타"),(H363))))</formula>
    </cfRule>
    <cfRule type="containsText" dxfId="6373" priority="1009" operator="containsText" text="정규교과">
      <formula>NOT(ISERROR(SEARCH(("정규교과"),(H363))))</formula>
    </cfRule>
    <cfRule type="containsText" dxfId="6372" priority="1008" operator="containsText" text="프로젝트">
      <formula>NOT(ISERROR(SEARCH(("프로젝트"),(H363))))</formula>
    </cfRule>
    <cfRule type="containsText" dxfId="6371" priority="1007" operator="containsText" text="기타">
      <formula>NOT(ISERROR(SEARCH(("기타"),(H363))))</formula>
    </cfRule>
    <cfRule type="containsText" dxfId="6370" priority="1006" operator="containsText" text="정규교과">
      <formula>NOT(ISERROR(SEARCH(("정규교과"),(H363))))</formula>
    </cfRule>
    <cfRule type="containsText" dxfId="6369" priority="1005" operator="containsText" text="프로젝트">
      <formula>NOT(ISERROR(SEARCH(("프로젝트"),(H363))))</formula>
    </cfRule>
    <cfRule type="containsText" dxfId="6368" priority="1020" operator="containsText" text="프로젝트">
      <formula>NOT(ISERROR(SEARCH(("프로젝트"),(H363))))</formula>
    </cfRule>
    <cfRule type="containsText" dxfId="6367" priority="1004" operator="containsText" text="기타">
      <formula>NOT(ISERROR(SEARCH(("기타"),(H363))))</formula>
    </cfRule>
    <cfRule type="containsText" dxfId="6366" priority="1022" operator="containsText" text="기타">
      <formula>NOT(ISERROR(SEARCH(("기타"),(H363))))</formula>
    </cfRule>
    <cfRule type="containsText" dxfId="6365" priority="1003" operator="containsText" text="정규교과">
      <formula>NOT(ISERROR(SEARCH(("정규교과"),(H363))))</formula>
    </cfRule>
    <cfRule type="containsText" dxfId="6364" priority="1021" operator="containsText" text="정규교과">
      <formula>NOT(ISERROR(SEARCH(("정규교과"),(H363))))</formula>
    </cfRule>
  </conditionalFormatting>
  <conditionalFormatting sqref="H368">
    <cfRule type="containsText" dxfId="6363" priority="877" operator="containsText" text="기타">
      <formula>NOT(ISERROR(SEARCH(("기타"),(H368))))</formula>
    </cfRule>
    <cfRule type="containsText" dxfId="6362" priority="878" operator="containsText" text="프로젝트">
      <formula>NOT(ISERROR(SEARCH(("프로젝트"),(H368))))</formula>
    </cfRule>
    <cfRule type="containsText" dxfId="6361" priority="879" operator="containsText" text="정규교과">
      <formula>NOT(ISERROR(SEARCH(("정규교과"),(H368))))</formula>
    </cfRule>
    <cfRule type="containsText" dxfId="6360" priority="880" operator="containsText" text="기타">
      <formula>NOT(ISERROR(SEARCH(("기타"),(H368))))</formula>
    </cfRule>
    <cfRule type="containsText" dxfId="6359" priority="882" operator="containsText" text="정규교과">
      <formula>NOT(ISERROR(SEARCH(("정규교과"),(H368))))</formula>
    </cfRule>
    <cfRule type="containsText" dxfId="6358" priority="883" operator="containsText" text="기타">
      <formula>NOT(ISERROR(SEARCH(("기타"),(H368))))</formula>
    </cfRule>
    <cfRule type="containsText" dxfId="6357" priority="884" operator="containsText" text="프로젝트">
      <formula>NOT(ISERROR(SEARCH(("프로젝트"),(H368))))</formula>
    </cfRule>
    <cfRule type="containsText" dxfId="6356" priority="885" operator="containsText" text="정규교과">
      <formula>NOT(ISERROR(SEARCH(("정규교과"),(H368))))</formula>
    </cfRule>
    <cfRule type="containsText" dxfId="6355" priority="886" operator="containsText" text="기타">
      <formula>NOT(ISERROR(SEARCH(("기타"),(H368))))</formula>
    </cfRule>
    <cfRule type="containsText" dxfId="6354" priority="887" operator="containsText" text="프로젝트">
      <formula>NOT(ISERROR(SEARCH(("프로젝트"),(H368))))</formula>
    </cfRule>
    <cfRule type="containsText" dxfId="6353" priority="888" operator="containsText" text="정규교과">
      <formula>NOT(ISERROR(SEARCH(("정규교과"),(H368))))</formula>
    </cfRule>
    <cfRule type="containsText" dxfId="6352" priority="892" operator="containsText" text="기타">
      <formula>NOT(ISERROR(SEARCH(("기타"),(H368))))</formula>
    </cfRule>
    <cfRule type="containsText" dxfId="6351" priority="875" operator="containsText" text="프로젝트">
      <formula>NOT(ISERROR(SEARCH(("프로젝트"),(H368))))</formula>
    </cfRule>
    <cfRule type="containsText" dxfId="6350" priority="874" operator="containsText" text="기타">
      <formula>NOT(ISERROR(SEARCH(("기타"),(H368))))</formula>
    </cfRule>
    <cfRule type="containsText" dxfId="6349" priority="891" operator="containsText" text="정규교과">
      <formula>NOT(ISERROR(SEARCH(("정규교과"),(H368))))</formula>
    </cfRule>
    <cfRule type="containsText" dxfId="6348" priority="876" operator="containsText" text="정규교과">
      <formula>NOT(ISERROR(SEARCH(("정규교과"),(H368))))</formula>
    </cfRule>
    <cfRule type="containsText" dxfId="6347" priority="889" operator="containsText" text="기타">
      <formula>NOT(ISERROR(SEARCH(("기타"),(H368))))</formula>
    </cfRule>
    <cfRule type="containsText" dxfId="6346" priority="872" operator="containsText" text="프로젝트">
      <formula>NOT(ISERROR(SEARCH(("프로젝트"),(H368))))</formula>
    </cfRule>
    <cfRule type="containsText" dxfId="6345" priority="890" operator="containsText" text="프로젝트">
      <formula>NOT(ISERROR(SEARCH(("프로젝트"),(H368))))</formula>
    </cfRule>
    <cfRule type="containsText" dxfId="6344" priority="881" operator="containsText" text="프로젝트">
      <formula>NOT(ISERROR(SEARCH(("프로젝트"),(H368))))</formula>
    </cfRule>
    <cfRule type="containsText" dxfId="6343" priority="873" operator="containsText" text="정규교과">
      <formula>NOT(ISERROR(SEARCH(("정규교과"),(H368))))</formula>
    </cfRule>
  </conditionalFormatting>
  <conditionalFormatting sqref="H372">
    <cfRule type="containsText" dxfId="6342" priority="742" operator="containsText" text="프로젝트">
      <formula>NOT(ISERROR(SEARCH(("프로젝트"),(H372))))</formula>
    </cfRule>
    <cfRule type="containsText" dxfId="6341" priority="751" operator="containsText" text="프로젝트">
      <formula>NOT(ISERROR(SEARCH(("프로젝트"),(H372))))</formula>
    </cfRule>
    <cfRule type="containsText" dxfId="6340" priority="752" operator="containsText" text="정규교과">
      <formula>NOT(ISERROR(SEARCH(("정규교과"),(H372))))</formula>
    </cfRule>
    <cfRule type="containsText" dxfId="6339" priority="753" operator="containsText" text="기타">
      <formula>NOT(ISERROR(SEARCH(("기타"),(H372))))</formula>
    </cfRule>
    <cfRule type="containsText" dxfId="6338" priority="754" operator="containsText" text="프로젝트">
      <formula>NOT(ISERROR(SEARCH(("프로젝트"),(H372))))</formula>
    </cfRule>
    <cfRule type="containsText" dxfId="6337" priority="755" operator="containsText" text="정규교과">
      <formula>NOT(ISERROR(SEARCH(("정규교과"),(H372))))</formula>
    </cfRule>
    <cfRule type="containsText" dxfId="6336" priority="756" operator="containsText" text="기타">
      <formula>NOT(ISERROR(SEARCH(("기타"),(H372))))</formula>
    </cfRule>
    <cfRule type="containsText" dxfId="6335" priority="757" operator="containsText" text="프로젝트">
      <formula>NOT(ISERROR(SEARCH(("프로젝트"),(H372))))</formula>
    </cfRule>
    <cfRule type="containsText" dxfId="6334" priority="758" operator="containsText" text="정규교과">
      <formula>NOT(ISERROR(SEARCH(("정규교과"),(H372))))</formula>
    </cfRule>
    <cfRule type="containsText" dxfId="6333" priority="759" operator="containsText" text="기타">
      <formula>NOT(ISERROR(SEARCH(("기타"),(H372))))</formula>
    </cfRule>
    <cfRule type="containsText" dxfId="6332" priority="760" operator="containsText" text="프로젝트">
      <formula>NOT(ISERROR(SEARCH(("프로젝트"),(H372))))</formula>
    </cfRule>
    <cfRule type="containsText" dxfId="6331" priority="761" operator="containsText" text="정규교과">
      <formula>NOT(ISERROR(SEARCH(("정규교과"),(H372))))</formula>
    </cfRule>
    <cfRule type="containsText" dxfId="6330" priority="762" operator="containsText" text="기타">
      <formula>NOT(ISERROR(SEARCH(("기타"),(H372))))</formula>
    </cfRule>
    <cfRule type="containsText" dxfId="6329" priority="743" operator="containsText" text="정규교과">
      <formula>NOT(ISERROR(SEARCH(("정규교과"),(H372))))</formula>
    </cfRule>
    <cfRule type="containsText" dxfId="6328" priority="744" operator="containsText" text="기타">
      <formula>NOT(ISERROR(SEARCH(("기타"),(H372))))</formula>
    </cfRule>
    <cfRule type="containsText" dxfId="6327" priority="745" operator="containsText" text="프로젝트">
      <formula>NOT(ISERROR(SEARCH(("프로젝트"),(H372))))</formula>
    </cfRule>
    <cfRule type="containsText" dxfId="6326" priority="746" operator="containsText" text="정규교과">
      <formula>NOT(ISERROR(SEARCH(("정규교과"),(H372))))</formula>
    </cfRule>
    <cfRule type="containsText" dxfId="6325" priority="747" operator="containsText" text="기타">
      <formula>NOT(ISERROR(SEARCH(("기타"),(H372))))</formula>
    </cfRule>
    <cfRule type="containsText" dxfId="6324" priority="748" operator="containsText" text="프로젝트">
      <formula>NOT(ISERROR(SEARCH(("프로젝트"),(H372))))</formula>
    </cfRule>
    <cfRule type="containsText" dxfId="6323" priority="749" operator="containsText" text="정규교과">
      <formula>NOT(ISERROR(SEARCH(("정규교과"),(H372))))</formula>
    </cfRule>
    <cfRule type="containsText" dxfId="6322" priority="750" operator="containsText" text="기타">
      <formula>NOT(ISERROR(SEARCH(("기타"),(H372))))</formula>
    </cfRule>
  </conditionalFormatting>
  <conditionalFormatting sqref="H376">
    <cfRule type="containsText" dxfId="6321" priority="632" operator="containsText" text="기타">
      <formula>NOT(ISERROR(SEARCH(("기타"),(H376))))</formula>
    </cfRule>
    <cfRule type="containsText" dxfId="6320" priority="616" operator="containsText" text="정규교과">
      <formula>NOT(ISERROR(SEARCH(("정규교과"),(H376))))</formula>
    </cfRule>
    <cfRule type="containsText" dxfId="6319" priority="618" operator="containsText" text="프로젝트">
      <formula>NOT(ISERROR(SEARCH(("프로젝트"),(H376))))</formula>
    </cfRule>
    <cfRule type="containsText" dxfId="6318" priority="619" operator="containsText" text="정규교과">
      <formula>NOT(ISERROR(SEARCH(("정규교과"),(H376))))</formula>
    </cfRule>
    <cfRule type="containsText" dxfId="6317" priority="620" operator="containsText" text="기타">
      <formula>NOT(ISERROR(SEARCH(("기타"),(H376))))</formula>
    </cfRule>
    <cfRule type="containsText" dxfId="6316" priority="621" operator="containsText" text="프로젝트">
      <formula>NOT(ISERROR(SEARCH(("프로젝트"),(H376))))</formula>
    </cfRule>
    <cfRule type="containsText" dxfId="6315" priority="622" operator="containsText" text="정규교과">
      <formula>NOT(ISERROR(SEARCH(("정규교과"),(H376))))</formula>
    </cfRule>
    <cfRule type="containsText" dxfId="6314" priority="614" operator="containsText" text="기타">
      <formula>NOT(ISERROR(SEARCH(("기타"),(H376))))</formula>
    </cfRule>
    <cfRule type="containsText" dxfId="6313" priority="623" operator="containsText" text="기타">
      <formula>NOT(ISERROR(SEARCH(("기타"),(H376))))</formula>
    </cfRule>
    <cfRule type="containsText" dxfId="6312" priority="624" operator="containsText" text="프로젝트">
      <formula>NOT(ISERROR(SEARCH(("프로젝트"),(H376))))</formula>
    </cfRule>
    <cfRule type="containsText" dxfId="6311" priority="625" operator="containsText" text="정규교과">
      <formula>NOT(ISERROR(SEARCH(("정규교과"),(H376))))</formula>
    </cfRule>
    <cfRule type="containsText" dxfId="6310" priority="626" operator="containsText" text="기타">
      <formula>NOT(ISERROR(SEARCH(("기타"),(H376))))</formula>
    </cfRule>
    <cfRule type="containsText" dxfId="6309" priority="627" operator="containsText" text="프로젝트">
      <formula>NOT(ISERROR(SEARCH(("프로젝트"),(H376))))</formula>
    </cfRule>
    <cfRule type="containsText" dxfId="6308" priority="628" operator="containsText" text="정규교과">
      <formula>NOT(ISERROR(SEARCH(("정규교과"),(H376))))</formula>
    </cfRule>
    <cfRule type="containsText" dxfId="6307" priority="629" operator="containsText" text="기타">
      <formula>NOT(ISERROR(SEARCH(("기타"),(H376))))</formula>
    </cfRule>
    <cfRule type="containsText" dxfId="6306" priority="630" operator="containsText" text="프로젝트">
      <formula>NOT(ISERROR(SEARCH(("프로젝트"),(H376))))</formula>
    </cfRule>
    <cfRule type="containsText" dxfId="6305" priority="631" operator="containsText" text="정규교과">
      <formula>NOT(ISERROR(SEARCH(("정규교과"),(H376))))</formula>
    </cfRule>
    <cfRule type="containsText" dxfId="6304" priority="617" operator="containsText" text="기타">
      <formula>NOT(ISERROR(SEARCH(("기타"),(H376))))</formula>
    </cfRule>
    <cfRule type="containsText" dxfId="6303" priority="615" operator="containsText" text="프로젝트">
      <formula>NOT(ISERROR(SEARCH(("프로젝트"),(H376))))</formula>
    </cfRule>
    <cfRule type="containsText" dxfId="6302" priority="613" operator="containsText" text="정규교과">
      <formula>NOT(ISERROR(SEARCH(("정규교과"),(H376))))</formula>
    </cfRule>
    <cfRule type="containsText" dxfId="6301" priority="612" operator="containsText" text="프로젝트">
      <formula>NOT(ISERROR(SEARCH(("프로젝트"),(H376))))</formula>
    </cfRule>
  </conditionalFormatting>
  <conditionalFormatting sqref="H380">
    <cfRule type="containsText" dxfId="6300" priority="484" operator="containsText" text="기타">
      <formula>NOT(ISERROR(SEARCH(("기타"),(H380))))</formula>
    </cfRule>
    <cfRule type="containsText" dxfId="6299" priority="485" operator="containsText" text="프로젝트">
      <formula>NOT(ISERROR(SEARCH(("프로젝트"),(H380))))</formula>
    </cfRule>
    <cfRule type="containsText" dxfId="6298" priority="486" operator="containsText" text="정규교과">
      <formula>NOT(ISERROR(SEARCH(("정규교과"),(H380))))</formula>
    </cfRule>
    <cfRule type="containsText" dxfId="6297" priority="489" operator="containsText" text="정규교과">
      <formula>NOT(ISERROR(SEARCH(("정규교과"),(H380))))</formula>
    </cfRule>
    <cfRule type="containsText" dxfId="6296" priority="490" operator="containsText" text="기타">
      <formula>NOT(ISERROR(SEARCH(("기타"),(H380))))</formula>
    </cfRule>
    <cfRule type="containsText" dxfId="6295" priority="491" operator="containsText" text="프로젝트">
      <formula>NOT(ISERROR(SEARCH(("프로젝트"),(H380))))</formula>
    </cfRule>
    <cfRule type="containsText" dxfId="6294" priority="492" operator="containsText" text="정규교과">
      <formula>NOT(ISERROR(SEARCH(("정규교과"),(H380))))</formula>
    </cfRule>
    <cfRule type="containsText" dxfId="6293" priority="493" operator="containsText" text="기타">
      <formula>NOT(ISERROR(SEARCH(("기타"),(H380))))</formula>
    </cfRule>
    <cfRule type="containsText" dxfId="6292" priority="494" operator="containsText" text="프로젝트">
      <formula>NOT(ISERROR(SEARCH(("프로젝트"),(H380))))</formula>
    </cfRule>
    <cfRule type="containsText" dxfId="6291" priority="495" operator="containsText" text="정규교과">
      <formula>NOT(ISERROR(SEARCH(("정규교과"),(H380))))</formula>
    </cfRule>
    <cfRule type="containsText" dxfId="6290" priority="496" operator="containsText" text="기타">
      <formula>NOT(ISERROR(SEARCH(("기타"),(H380))))</formula>
    </cfRule>
    <cfRule type="containsText" dxfId="6289" priority="497" operator="containsText" text="프로젝트">
      <formula>NOT(ISERROR(SEARCH(("프로젝트"),(H380))))</formula>
    </cfRule>
    <cfRule type="containsText" dxfId="6288" priority="488" operator="containsText" text="프로젝트">
      <formula>NOT(ISERROR(SEARCH(("프로젝트"),(H380))))</formula>
    </cfRule>
    <cfRule type="containsText" dxfId="6287" priority="487" operator="containsText" text="기타">
      <formula>NOT(ISERROR(SEARCH(("기타"),(H380))))</formula>
    </cfRule>
    <cfRule type="containsText" dxfId="6286" priority="482" operator="containsText" text="프로젝트">
      <formula>NOT(ISERROR(SEARCH(("프로젝트"),(H380))))</formula>
    </cfRule>
    <cfRule type="containsText" dxfId="6285" priority="483" operator="containsText" text="정규교과">
      <formula>NOT(ISERROR(SEARCH(("정규교과"),(H380))))</formula>
    </cfRule>
    <cfRule type="containsText" dxfId="6284" priority="502" operator="containsText" text="기타">
      <formula>NOT(ISERROR(SEARCH(("기타"),(H380))))</formula>
    </cfRule>
    <cfRule type="containsText" dxfId="6283" priority="501" operator="containsText" text="정규교과">
      <formula>NOT(ISERROR(SEARCH(("정규교과"),(H380))))</formula>
    </cfRule>
    <cfRule type="containsText" dxfId="6282" priority="500" operator="containsText" text="프로젝트">
      <formula>NOT(ISERROR(SEARCH(("프로젝트"),(H380))))</formula>
    </cfRule>
    <cfRule type="containsText" dxfId="6281" priority="499" operator="containsText" text="기타">
      <formula>NOT(ISERROR(SEARCH(("기타"),(H380))))</formula>
    </cfRule>
    <cfRule type="containsText" dxfId="6280" priority="498" operator="containsText" text="정규교과">
      <formula>NOT(ISERROR(SEARCH(("정규교과"),(H380))))</formula>
    </cfRule>
  </conditionalFormatting>
  <conditionalFormatting sqref="H384">
    <cfRule type="containsText" dxfId="6279" priority="368" operator="containsText" text="정규교과">
      <formula>NOT(ISERROR(SEARCH(("정규교과"),(H384))))</formula>
    </cfRule>
    <cfRule type="containsText" dxfId="6278" priority="355" operator="containsText" text="프로젝트">
      <formula>NOT(ISERROR(SEARCH(("프로젝트"),(H384))))</formula>
    </cfRule>
    <cfRule type="containsText" dxfId="6277" priority="366" operator="containsText" text="기타">
      <formula>NOT(ISERROR(SEARCH(("기타"),(H384))))</formula>
    </cfRule>
    <cfRule type="containsText" dxfId="6276" priority="365" operator="containsText" text="정규교과">
      <formula>NOT(ISERROR(SEARCH(("정규교과"),(H384))))</formula>
    </cfRule>
    <cfRule type="containsText" dxfId="6275" priority="364" operator="containsText" text="프로젝트">
      <formula>NOT(ISERROR(SEARCH(("프로젝트"),(H384))))</formula>
    </cfRule>
    <cfRule type="containsText" dxfId="6274" priority="362" operator="containsText" text="정규교과">
      <formula>NOT(ISERROR(SEARCH(("정규교과"),(H384))))</formula>
    </cfRule>
    <cfRule type="containsText" dxfId="6273" priority="361" operator="containsText" text="프로젝트">
      <formula>NOT(ISERROR(SEARCH(("프로젝트"),(H384))))</formula>
    </cfRule>
    <cfRule type="containsText" dxfId="6272" priority="359" operator="containsText" text="정규교과">
      <formula>NOT(ISERROR(SEARCH(("정규교과"),(H384))))</formula>
    </cfRule>
    <cfRule type="containsText" dxfId="6271" priority="358" operator="containsText" text="프로젝트">
      <formula>NOT(ISERROR(SEARCH(("프로젝트"),(H384))))</formula>
    </cfRule>
    <cfRule type="containsText" dxfId="6270" priority="357" operator="containsText" text="기타">
      <formula>NOT(ISERROR(SEARCH(("기타"),(H384))))</formula>
    </cfRule>
    <cfRule type="containsText" dxfId="6269" priority="356" operator="containsText" text="정규교과">
      <formula>NOT(ISERROR(SEARCH(("정규교과"),(H384))))</formula>
    </cfRule>
    <cfRule type="containsText" dxfId="6268" priority="360" operator="containsText" text="기타">
      <formula>NOT(ISERROR(SEARCH(("기타"),(H384))))</formula>
    </cfRule>
    <cfRule type="containsText" dxfId="6267" priority="367" operator="containsText" text="프로젝트">
      <formula>NOT(ISERROR(SEARCH(("프로젝트"),(H384))))</formula>
    </cfRule>
    <cfRule type="containsText" dxfId="6266" priority="363" operator="containsText" text="기타">
      <formula>NOT(ISERROR(SEARCH(("기타"),(H384))))</formula>
    </cfRule>
    <cfRule type="containsText" dxfId="6265" priority="372" operator="containsText" text="기타">
      <formula>NOT(ISERROR(SEARCH(("기타"),(H384))))</formula>
    </cfRule>
    <cfRule type="containsText" dxfId="6264" priority="371" operator="containsText" text="정규교과">
      <formula>NOT(ISERROR(SEARCH(("정규교과"),(H384))))</formula>
    </cfRule>
    <cfRule type="containsText" dxfId="6263" priority="370" operator="containsText" text="프로젝트">
      <formula>NOT(ISERROR(SEARCH(("프로젝트"),(H384))))</formula>
    </cfRule>
    <cfRule type="containsText" dxfId="6262" priority="354" operator="containsText" text="기타">
      <formula>NOT(ISERROR(SEARCH(("기타"),(H384))))</formula>
    </cfRule>
    <cfRule type="containsText" dxfId="6261" priority="353" operator="containsText" text="정규교과">
      <formula>NOT(ISERROR(SEARCH(("정규교과"),(H384))))</formula>
    </cfRule>
    <cfRule type="containsText" dxfId="6260" priority="352" operator="containsText" text="프로젝트">
      <formula>NOT(ISERROR(SEARCH(("프로젝트"),(H384))))</formula>
    </cfRule>
    <cfRule type="containsText" dxfId="6259" priority="369" operator="containsText" text="기타">
      <formula>NOT(ISERROR(SEARCH(("기타"),(H384))))</formula>
    </cfRule>
  </conditionalFormatting>
  <conditionalFormatting sqref="H254:I254">
    <cfRule type="containsText" dxfId="6258" priority="3712" operator="containsText" text="휴강">
      <formula>NOT(ISERROR(SEARCH(("휴강"),(H254))))</formula>
    </cfRule>
    <cfRule type="containsText" dxfId="6257" priority="3723" operator="containsText" text="정규교과">
      <formula>NOT(ISERROR(SEARCH(("정규교과"),(H254))))</formula>
    </cfRule>
    <cfRule type="containsText" dxfId="6256" priority="3722" operator="containsText" text="프로젝트">
      <formula>NOT(ISERROR(SEARCH(("프로젝트"),(H254))))</formula>
    </cfRule>
    <cfRule type="containsText" dxfId="6255" priority="3721" operator="containsText" text="기타">
      <formula>NOT(ISERROR(SEARCH(("기타"),(H254))))</formula>
    </cfRule>
    <cfRule type="containsText" dxfId="6254" priority="3720" operator="containsText" text="정규교과">
      <formula>NOT(ISERROR(SEARCH(("정규교과"),(H254))))</formula>
    </cfRule>
    <cfRule type="containsText" dxfId="6253" priority="3719" operator="containsText" text="프로젝트">
      <formula>NOT(ISERROR(SEARCH(("프로젝트"),(H254))))</formula>
    </cfRule>
    <cfRule type="containsText" dxfId="6252" priority="3718" operator="containsText" text="기타">
      <formula>NOT(ISERROR(SEARCH(("기타"),(H254))))</formula>
    </cfRule>
    <cfRule type="containsText" dxfId="6251" priority="3715" operator="containsText" text="기타">
      <formula>NOT(ISERROR(SEARCH(("기타"),(H254))))</formula>
    </cfRule>
    <cfRule type="containsText" dxfId="6250" priority="3714" operator="containsText" text="정규교과">
      <formula>NOT(ISERROR(SEARCH(("정규교과"),(H254))))</formula>
    </cfRule>
    <cfRule type="containsText" dxfId="6249" priority="3717" operator="containsText" text="정규교과">
      <formula>NOT(ISERROR(SEARCH(("정규교과"),(H254))))</formula>
    </cfRule>
    <cfRule type="containsText" dxfId="6248" priority="3716" operator="containsText" text="프로젝트">
      <formula>NOT(ISERROR(SEARCH(("프로젝트"),(H254))))</formula>
    </cfRule>
    <cfRule type="containsText" dxfId="6247" priority="3724" operator="containsText" text="기타">
      <formula>NOT(ISERROR(SEARCH(("기타"),(H254))))</formula>
    </cfRule>
    <cfRule type="containsText" dxfId="6246" priority="3713" operator="containsText" text="프로젝트">
      <formula>NOT(ISERROR(SEARCH(("프로젝트"),(H254))))</formula>
    </cfRule>
  </conditionalFormatting>
  <conditionalFormatting sqref="H258:I258">
    <cfRule type="containsText" dxfId="6245" priority="3607" operator="containsText" text="기타">
      <formula>NOT(ISERROR(SEARCH(("기타"),(H258))))</formula>
    </cfRule>
    <cfRule type="containsText" dxfId="6244" priority="3611" operator="containsText" text="프로젝트">
      <formula>NOT(ISERROR(SEARCH(("프로젝트"),(H258))))</formula>
    </cfRule>
    <cfRule type="containsText" dxfId="6243" priority="3605" operator="containsText" text="프로젝트">
      <formula>NOT(ISERROR(SEARCH(("프로젝트"),(H258))))</formula>
    </cfRule>
    <cfRule type="containsText" dxfId="6242" priority="3604" operator="containsText" text="기타">
      <formula>NOT(ISERROR(SEARCH(("기타"),(H258))))</formula>
    </cfRule>
    <cfRule type="containsText" dxfId="6241" priority="3603" operator="containsText" text="정규교과">
      <formula>NOT(ISERROR(SEARCH(("정규교과"),(H258))))</formula>
    </cfRule>
    <cfRule type="containsText" dxfId="6240" priority="3602" operator="containsText" text="프로젝트">
      <formula>NOT(ISERROR(SEARCH(("프로젝트"),(H258))))</formula>
    </cfRule>
    <cfRule type="containsText" dxfId="6239" priority="3601" operator="containsText" text="휴강">
      <formula>NOT(ISERROR(SEARCH(("휴강"),(H258))))</formula>
    </cfRule>
    <cfRule type="containsText" dxfId="6238" priority="3610" operator="containsText" text="기타">
      <formula>NOT(ISERROR(SEARCH(("기타"),(H258))))</formula>
    </cfRule>
    <cfRule type="containsText" dxfId="6237" priority="3609" operator="containsText" text="정규교과">
      <formula>NOT(ISERROR(SEARCH(("정규교과"),(H258))))</formula>
    </cfRule>
    <cfRule type="containsText" dxfId="6236" priority="3613" operator="containsText" text="기타">
      <formula>NOT(ISERROR(SEARCH(("기타"),(H258))))</formula>
    </cfRule>
    <cfRule type="containsText" dxfId="6235" priority="3612" operator="containsText" text="정규교과">
      <formula>NOT(ISERROR(SEARCH(("정규교과"),(H258))))</formula>
    </cfRule>
    <cfRule type="containsText" dxfId="6234" priority="3608" operator="containsText" text="프로젝트">
      <formula>NOT(ISERROR(SEARCH(("프로젝트"),(H258))))</formula>
    </cfRule>
    <cfRule type="containsText" dxfId="6233" priority="3606" operator="containsText" text="정규교과">
      <formula>NOT(ISERROR(SEARCH(("정규교과"),(H258))))</formula>
    </cfRule>
  </conditionalFormatting>
  <conditionalFormatting sqref="H263:I263">
    <cfRule type="containsText" dxfId="6232" priority="3490" operator="containsText" text="휴강">
      <formula>NOT(ISERROR(SEARCH(("휴강"),(H263))))</formula>
    </cfRule>
    <cfRule type="containsText" dxfId="6231" priority="3491" operator="containsText" text="프로젝트">
      <formula>NOT(ISERROR(SEARCH(("프로젝트"),(H263))))</formula>
    </cfRule>
    <cfRule type="containsText" dxfId="6230" priority="3492" operator="containsText" text="정규교과">
      <formula>NOT(ISERROR(SEARCH(("정규교과"),(H263))))</formula>
    </cfRule>
    <cfRule type="containsText" dxfId="6229" priority="3493" operator="containsText" text="기타">
      <formula>NOT(ISERROR(SEARCH(("기타"),(H263))))</formula>
    </cfRule>
    <cfRule type="containsText" dxfId="6228" priority="3494" operator="containsText" text="프로젝트">
      <formula>NOT(ISERROR(SEARCH(("프로젝트"),(H263))))</formula>
    </cfRule>
    <cfRule type="containsText" dxfId="6227" priority="3495" operator="containsText" text="정규교과">
      <formula>NOT(ISERROR(SEARCH(("정규교과"),(H263))))</formula>
    </cfRule>
    <cfRule type="containsText" dxfId="6226" priority="3496" operator="containsText" text="기타">
      <formula>NOT(ISERROR(SEARCH(("기타"),(H263))))</formula>
    </cfRule>
    <cfRule type="containsText" dxfId="6225" priority="3497" operator="containsText" text="프로젝트">
      <formula>NOT(ISERROR(SEARCH(("프로젝트"),(H263))))</formula>
    </cfRule>
    <cfRule type="containsText" dxfId="6224" priority="3498" operator="containsText" text="정규교과">
      <formula>NOT(ISERROR(SEARCH(("정규교과"),(H263))))</formula>
    </cfRule>
    <cfRule type="containsText" dxfId="6223" priority="3499" operator="containsText" text="기타">
      <formula>NOT(ISERROR(SEARCH(("기타"),(H263))))</formula>
    </cfRule>
    <cfRule type="containsText" dxfId="6222" priority="3501" operator="containsText" text="정규교과">
      <formula>NOT(ISERROR(SEARCH(("정규교과"),(H263))))</formula>
    </cfRule>
    <cfRule type="containsText" dxfId="6221" priority="3502" operator="containsText" text="기타">
      <formula>NOT(ISERROR(SEARCH(("기타"),(H263))))</formula>
    </cfRule>
    <cfRule type="containsText" dxfId="6220" priority="3500" operator="containsText" text="프로젝트">
      <formula>NOT(ISERROR(SEARCH(("프로젝트"),(H263))))</formula>
    </cfRule>
  </conditionalFormatting>
  <conditionalFormatting sqref="H267:I267">
    <cfRule type="containsText" dxfId="6219" priority="3389" operator="containsText" text="프로젝트">
      <formula>NOT(ISERROR(SEARCH(("프로젝트"),(H267))))</formula>
    </cfRule>
    <cfRule type="containsText" dxfId="6218" priority="3388" operator="containsText" text="기타">
      <formula>NOT(ISERROR(SEARCH(("기타"),(H267))))</formula>
    </cfRule>
    <cfRule type="containsText" dxfId="6217" priority="3387" operator="containsText" text="정규교과">
      <formula>NOT(ISERROR(SEARCH(("정규교과"),(H267))))</formula>
    </cfRule>
    <cfRule type="containsText" dxfId="6216" priority="3386" operator="containsText" text="프로젝트">
      <formula>NOT(ISERROR(SEARCH(("프로젝트"),(H267))))</formula>
    </cfRule>
    <cfRule type="containsText" dxfId="6215" priority="3385" operator="containsText" text="기타">
      <formula>NOT(ISERROR(SEARCH(("기타"),(H267))))</formula>
    </cfRule>
    <cfRule type="containsText" dxfId="6214" priority="3384" operator="containsText" text="정규교과">
      <formula>NOT(ISERROR(SEARCH(("정규교과"),(H267))))</formula>
    </cfRule>
    <cfRule type="containsText" dxfId="6213" priority="3382" operator="containsText" text="기타">
      <formula>NOT(ISERROR(SEARCH(("기타"),(H267))))</formula>
    </cfRule>
    <cfRule type="containsText" dxfId="6212" priority="3381" operator="containsText" text="정규교과">
      <formula>NOT(ISERROR(SEARCH(("정규교과"),(H267))))</formula>
    </cfRule>
    <cfRule type="containsText" dxfId="6211" priority="3383" operator="containsText" text="프로젝트">
      <formula>NOT(ISERROR(SEARCH(("프로젝트"),(H267))))</formula>
    </cfRule>
    <cfRule type="containsText" dxfId="6210" priority="3390" operator="containsText" text="정규교과">
      <formula>NOT(ISERROR(SEARCH(("정규교과"),(H267))))</formula>
    </cfRule>
    <cfRule type="containsText" dxfId="6209" priority="3391" operator="containsText" text="기타">
      <formula>NOT(ISERROR(SEARCH(("기타"),(H267))))</formula>
    </cfRule>
    <cfRule type="containsText" dxfId="6208" priority="3380" operator="containsText" text="프로젝트">
      <formula>NOT(ISERROR(SEARCH(("프로젝트"),(H267))))</formula>
    </cfRule>
    <cfRule type="containsText" dxfId="6207" priority="3379" operator="containsText" text="휴강">
      <formula>NOT(ISERROR(SEARCH(("휴강"),(H267))))</formula>
    </cfRule>
  </conditionalFormatting>
  <conditionalFormatting sqref="H271:I271">
    <cfRule type="containsText" dxfId="6206" priority="3279" operator="containsText" text="정규교과">
      <formula>NOT(ISERROR(SEARCH(("정규교과"),(H271))))</formula>
    </cfRule>
    <cfRule type="containsText" dxfId="6205" priority="3268" operator="containsText" text="휴강">
      <formula>NOT(ISERROR(SEARCH(("휴강"),(H271))))</formula>
    </cfRule>
    <cfRule type="containsText" dxfId="6204" priority="3269" operator="containsText" text="프로젝트">
      <formula>NOT(ISERROR(SEARCH(("프로젝트"),(H271))))</formula>
    </cfRule>
    <cfRule type="containsText" dxfId="6203" priority="3270" operator="containsText" text="정규교과">
      <formula>NOT(ISERROR(SEARCH(("정규교과"),(H271))))</formula>
    </cfRule>
    <cfRule type="containsText" dxfId="6202" priority="3271" operator="containsText" text="기타">
      <formula>NOT(ISERROR(SEARCH(("기타"),(H271))))</formula>
    </cfRule>
    <cfRule type="containsText" dxfId="6201" priority="3272" operator="containsText" text="프로젝트">
      <formula>NOT(ISERROR(SEARCH(("프로젝트"),(H271))))</formula>
    </cfRule>
    <cfRule type="containsText" dxfId="6200" priority="3273" operator="containsText" text="정규교과">
      <formula>NOT(ISERROR(SEARCH(("정규교과"),(H271))))</formula>
    </cfRule>
    <cfRule type="containsText" dxfId="6199" priority="3274" operator="containsText" text="기타">
      <formula>NOT(ISERROR(SEARCH(("기타"),(H271))))</formula>
    </cfRule>
    <cfRule type="containsText" dxfId="6198" priority="3280" operator="containsText" text="기타">
      <formula>NOT(ISERROR(SEARCH(("기타"),(H271))))</formula>
    </cfRule>
    <cfRule type="containsText" dxfId="6197" priority="3276" operator="containsText" text="정규교과">
      <formula>NOT(ISERROR(SEARCH(("정규교과"),(H271))))</formula>
    </cfRule>
    <cfRule type="containsText" dxfId="6196" priority="3275" operator="containsText" text="프로젝트">
      <formula>NOT(ISERROR(SEARCH(("프로젝트"),(H271))))</formula>
    </cfRule>
    <cfRule type="containsText" dxfId="6195" priority="3277" operator="containsText" text="기타">
      <formula>NOT(ISERROR(SEARCH(("기타"),(H271))))</formula>
    </cfRule>
    <cfRule type="containsText" dxfId="6194" priority="3278" operator="containsText" text="프로젝트">
      <formula>NOT(ISERROR(SEARCH(("프로젝트"),(H271))))</formula>
    </cfRule>
  </conditionalFormatting>
  <conditionalFormatting sqref="H275:I275">
    <cfRule type="containsText" dxfId="6193" priority="3169" operator="containsText" text="기타">
      <formula>NOT(ISERROR(SEARCH(("기타"),(H275))))</formula>
    </cfRule>
    <cfRule type="containsText" dxfId="6192" priority="3157" operator="containsText" text="휴강">
      <formula>NOT(ISERROR(SEARCH(("휴강"),(H275))))</formula>
    </cfRule>
    <cfRule type="containsText" dxfId="6191" priority="3164" operator="containsText" text="프로젝트">
      <formula>NOT(ISERROR(SEARCH(("프로젝트"),(H275))))</formula>
    </cfRule>
    <cfRule type="containsText" dxfId="6190" priority="3162" operator="containsText" text="정규교과">
      <formula>NOT(ISERROR(SEARCH(("정규교과"),(H275))))</formula>
    </cfRule>
    <cfRule type="containsText" dxfId="6189" priority="3161" operator="containsText" text="프로젝트">
      <formula>NOT(ISERROR(SEARCH(("프로젝트"),(H275))))</formula>
    </cfRule>
    <cfRule type="containsText" dxfId="6188" priority="3163" operator="containsText" text="기타">
      <formula>NOT(ISERROR(SEARCH(("기타"),(H275))))</formula>
    </cfRule>
    <cfRule type="containsText" dxfId="6187" priority="3165" operator="containsText" text="정규교과">
      <formula>NOT(ISERROR(SEARCH(("정규교과"),(H275))))</formula>
    </cfRule>
    <cfRule type="containsText" dxfId="6186" priority="3167" operator="containsText" text="프로젝트">
      <formula>NOT(ISERROR(SEARCH(("프로젝트"),(H275))))</formula>
    </cfRule>
    <cfRule type="containsText" dxfId="6185" priority="3166" operator="containsText" text="기타">
      <formula>NOT(ISERROR(SEARCH(("기타"),(H275))))</formula>
    </cfRule>
    <cfRule type="containsText" dxfId="6184" priority="3168" operator="containsText" text="정규교과">
      <formula>NOT(ISERROR(SEARCH(("정규교과"),(H275))))</formula>
    </cfRule>
    <cfRule type="containsText" dxfId="6183" priority="3160" operator="containsText" text="기타">
      <formula>NOT(ISERROR(SEARCH(("기타"),(H275))))</formula>
    </cfRule>
    <cfRule type="containsText" dxfId="6182" priority="3159" operator="containsText" text="정규교과">
      <formula>NOT(ISERROR(SEARCH(("정규교과"),(H275))))</formula>
    </cfRule>
    <cfRule type="containsText" dxfId="6181" priority="3158" operator="containsText" text="프로젝트">
      <formula>NOT(ISERROR(SEARCH(("프로젝트"),(H275))))</formula>
    </cfRule>
  </conditionalFormatting>
  <conditionalFormatting sqref="H279:I279">
    <cfRule type="containsText" dxfId="6180" priority="3058" operator="containsText" text="기타">
      <formula>NOT(ISERROR(SEARCH(("기타"),(H279))))</formula>
    </cfRule>
    <cfRule type="containsText" dxfId="6179" priority="3048" operator="containsText" text="정규교과">
      <formula>NOT(ISERROR(SEARCH(("정규교과"),(H279))))</formula>
    </cfRule>
    <cfRule type="containsText" dxfId="6178" priority="3053" operator="containsText" text="프로젝트">
      <formula>NOT(ISERROR(SEARCH(("프로젝트"),(H279))))</formula>
    </cfRule>
    <cfRule type="containsText" dxfId="6177" priority="3047" operator="containsText" text="프로젝트">
      <formula>NOT(ISERROR(SEARCH(("프로젝트"),(H279))))</formula>
    </cfRule>
    <cfRule type="containsText" dxfId="6176" priority="3052" operator="containsText" text="기타">
      <formula>NOT(ISERROR(SEARCH(("기타"),(H279))))</formula>
    </cfRule>
    <cfRule type="containsText" dxfId="6175" priority="3046" operator="containsText" text="휴강">
      <formula>NOT(ISERROR(SEARCH(("휴강"),(H279))))</formula>
    </cfRule>
    <cfRule type="containsText" dxfId="6174" priority="3054" operator="containsText" text="정규교과">
      <formula>NOT(ISERROR(SEARCH(("정규교과"),(H279))))</formula>
    </cfRule>
    <cfRule type="containsText" dxfId="6173" priority="3055" operator="containsText" text="기타">
      <formula>NOT(ISERROR(SEARCH(("기타"),(H279))))</formula>
    </cfRule>
    <cfRule type="containsText" dxfId="6172" priority="3056" operator="containsText" text="프로젝트">
      <formula>NOT(ISERROR(SEARCH(("프로젝트"),(H279))))</formula>
    </cfRule>
    <cfRule type="containsText" dxfId="6171" priority="3057" operator="containsText" text="정규교과">
      <formula>NOT(ISERROR(SEARCH(("정규교과"),(H279))))</formula>
    </cfRule>
    <cfRule type="containsText" dxfId="6170" priority="3051" operator="containsText" text="정규교과">
      <formula>NOT(ISERROR(SEARCH(("정규교과"),(H279))))</formula>
    </cfRule>
    <cfRule type="containsText" dxfId="6169" priority="3050" operator="containsText" text="프로젝트">
      <formula>NOT(ISERROR(SEARCH(("프로젝트"),(H279))))</formula>
    </cfRule>
    <cfRule type="containsText" dxfId="6168" priority="3049" operator="containsText" text="기타">
      <formula>NOT(ISERROR(SEARCH(("기타"),(H279))))</formula>
    </cfRule>
  </conditionalFormatting>
  <conditionalFormatting sqref="H355:I355">
    <cfRule type="containsText" dxfId="6167" priority="1279" operator="containsText" text="기타">
      <formula>NOT(ISERROR(SEARCH(("기타"),(H355))))</formula>
    </cfRule>
    <cfRule type="containsText" dxfId="6166" priority="1278" operator="containsText" text="정규교과">
      <formula>NOT(ISERROR(SEARCH(("정규교과"),(H355))))</formula>
    </cfRule>
    <cfRule type="containsText" dxfId="6165" priority="1277" operator="containsText" text="프로젝트">
      <formula>NOT(ISERROR(SEARCH(("프로젝트"),(H355))))</formula>
    </cfRule>
    <cfRule type="containsText" dxfId="6164" priority="1276" operator="containsText" text="기타">
      <formula>NOT(ISERROR(SEARCH(("기타"),(H355))))</formula>
    </cfRule>
    <cfRule type="containsText" dxfId="6163" priority="1275" operator="containsText" text="정규교과">
      <formula>NOT(ISERROR(SEARCH(("정규교과"),(H355))))</formula>
    </cfRule>
    <cfRule type="containsText" dxfId="6162" priority="1273" operator="containsText" text="기타">
      <formula>NOT(ISERROR(SEARCH(("기타"),(H355))))</formula>
    </cfRule>
    <cfRule type="containsText" dxfId="6161" priority="1272" operator="containsText" text="정규교과">
      <formula>NOT(ISERROR(SEARCH(("정규교과"),(H355))))</formula>
    </cfRule>
    <cfRule type="containsText" dxfId="6160" priority="1270" operator="containsText" text="기타">
      <formula>NOT(ISERROR(SEARCH(("기타"),(H355))))</formula>
    </cfRule>
    <cfRule type="containsText" dxfId="6159" priority="1269" operator="containsText" text="정규교과">
      <formula>NOT(ISERROR(SEARCH(("정규교과"),(H355))))</formula>
    </cfRule>
    <cfRule type="containsText" dxfId="6158" priority="1268" operator="containsText" text="프로젝트">
      <formula>NOT(ISERROR(SEARCH(("프로젝트"),(H355))))</formula>
    </cfRule>
    <cfRule type="containsText" dxfId="6157" priority="1267" operator="containsText" text="기타">
      <formula>NOT(ISERROR(SEARCH(("기타"),(H355))))</formula>
    </cfRule>
    <cfRule type="containsText" dxfId="6156" priority="1266" operator="containsText" text="정규교과">
      <formula>NOT(ISERROR(SEARCH(("정규교과"),(H355))))</formula>
    </cfRule>
    <cfRule type="containsText" dxfId="6155" priority="1265" operator="containsText" text="프로젝트">
      <formula>NOT(ISERROR(SEARCH(("프로젝트"),(H355))))</formula>
    </cfRule>
    <cfRule type="containsText" dxfId="6154" priority="1264" operator="containsText" text="기타">
      <formula>NOT(ISERROR(SEARCH(("기타"),(H355))))</formula>
    </cfRule>
    <cfRule type="containsText" dxfId="6153" priority="1263" operator="containsText" text="정규교과">
      <formula>NOT(ISERROR(SEARCH(("정규교과"),(H355))))</formula>
    </cfRule>
    <cfRule type="containsText" dxfId="6152" priority="1262" operator="containsText" text="프로젝트">
      <formula>NOT(ISERROR(SEARCH(("프로젝트"),(H355))))</formula>
    </cfRule>
    <cfRule type="containsText" dxfId="6151" priority="1274" operator="containsText" text="프로젝트">
      <formula>NOT(ISERROR(SEARCH(("프로젝트"),(H355))))</formula>
    </cfRule>
    <cfRule type="containsText" dxfId="6150" priority="1280" operator="containsText" text="프로젝트">
      <formula>NOT(ISERROR(SEARCH(("프로젝트"),(H355))))</formula>
    </cfRule>
    <cfRule type="containsText" dxfId="6149" priority="1271" operator="containsText" text="프로젝트">
      <formula>NOT(ISERROR(SEARCH(("프로젝트"),(H355))))</formula>
    </cfRule>
    <cfRule type="containsText" dxfId="6148" priority="1282" operator="containsText" text="기타">
      <formula>NOT(ISERROR(SEARCH(("기타"),(H355))))</formula>
    </cfRule>
    <cfRule type="containsText" dxfId="6147" priority="1281" operator="containsText" text="정규교과">
      <formula>NOT(ISERROR(SEARCH(("정규교과"),(H355))))</formula>
    </cfRule>
  </conditionalFormatting>
  <conditionalFormatting sqref="H145:J145 D146:M148 H149:J149 D150:M152 H153:J153 D154:M157 H158:J158 D159:M161 H162:J162 D163:M165 H166:J166 D167:M169 H170:J170 D171:M173 H174:J174 D175:M177">
    <cfRule type="containsText" dxfId="6146" priority="15026" operator="containsText" text="프로젝트">
      <formula>NOT(ISERROR(SEARCH(("프로젝트"),(D145))))</formula>
    </cfRule>
  </conditionalFormatting>
  <conditionalFormatting sqref="H149:J149">
    <cfRule type="containsText" dxfId="6145" priority="15031" operator="containsText" text="기타">
      <formula>NOT(ISERROR(SEARCH(("기타"),(H149))))</formula>
    </cfRule>
    <cfRule type="containsText" dxfId="6144" priority="15030" operator="containsText" text="정규교과">
      <formula>NOT(ISERROR(SEARCH(("정규교과"),(H149))))</formula>
    </cfRule>
    <cfRule type="containsText" dxfId="6143" priority="15029" operator="containsText" text="프로젝트">
      <formula>NOT(ISERROR(SEARCH(("프로젝트"),(H149))))</formula>
    </cfRule>
  </conditionalFormatting>
  <conditionalFormatting sqref="H153:J153">
    <cfRule type="containsText" dxfId="6142" priority="15036" operator="containsText" text="정규교과">
      <formula>NOT(ISERROR(SEARCH(("정규교과"),(H153))))</formula>
    </cfRule>
    <cfRule type="containsText" dxfId="6141" priority="15037" operator="containsText" text="기타">
      <formula>NOT(ISERROR(SEARCH(("기타"),(H153))))</formula>
    </cfRule>
    <cfRule type="containsText" dxfId="6140" priority="15034" operator="containsText" text="기타">
      <formula>NOT(ISERROR(SEARCH(("기타"),(H153))))</formula>
    </cfRule>
    <cfRule type="containsText" dxfId="6139" priority="15033" operator="containsText" text="정규교과">
      <formula>NOT(ISERROR(SEARCH(("정규교과"),(H153))))</formula>
    </cfRule>
    <cfRule type="containsText" dxfId="6138" priority="15032" operator="containsText" text="프로젝트">
      <formula>NOT(ISERROR(SEARCH(("프로젝트"),(H153))))</formula>
    </cfRule>
    <cfRule type="containsText" dxfId="6137" priority="15035" operator="containsText" text="프로젝트">
      <formula>NOT(ISERROR(SEARCH(("프로젝트"),(H153))))</formula>
    </cfRule>
  </conditionalFormatting>
  <conditionalFormatting sqref="H158:J158">
    <cfRule type="containsText" dxfId="6136" priority="15046" operator="containsText" text="기타">
      <formula>NOT(ISERROR(SEARCH(("기타"),(H158))))</formula>
    </cfRule>
    <cfRule type="containsText" dxfId="6135" priority="15041" operator="containsText" text="프로젝트">
      <formula>NOT(ISERROR(SEARCH(("프로젝트"),(H158))))</formula>
    </cfRule>
    <cfRule type="containsText" dxfId="6134" priority="15042" operator="containsText" text="정규교과">
      <formula>NOT(ISERROR(SEARCH(("정규교과"),(H158))))</formula>
    </cfRule>
    <cfRule type="containsText" dxfId="6133" priority="15043" operator="containsText" text="기타">
      <formula>NOT(ISERROR(SEARCH(("기타"),(H158))))</formula>
    </cfRule>
    <cfRule type="containsText" dxfId="6132" priority="15044" operator="containsText" text="프로젝트">
      <formula>NOT(ISERROR(SEARCH(("프로젝트"),(H158))))</formula>
    </cfRule>
    <cfRule type="containsText" dxfId="6131" priority="15045" operator="containsText" text="정규교과">
      <formula>NOT(ISERROR(SEARCH(("정규교과"),(H158))))</formula>
    </cfRule>
  </conditionalFormatting>
  <conditionalFormatting sqref="H162:J162">
    <cfRule type="containsText" dxfId="6130" priority="15052" operator="containsText" text="기타">
      <formula>NOT(ISERROR(SEARCH(("기타"),(H162))))</formula>
    </cfRule>
    <cfRule type="containsText" dxfId="6129" priority="15047" operator="containsText" text="프로젝트">
      <formula>NOT(ISERROR(SEARCH(("프로젝트"),(H162))))</formula>
    </cfRule>
    <cfRule type="containsText" dxfId="6128" priority="15048" operator="containsText" text="정규교과">
      <formula>NOT(ISERROR(SEARCH(("정규교과"),(H162))))</formula>
    </cfRule>
    <cfRule type="containsText" dxfId="6127" priority="15049" operator="containsText" text="기타">
      <formula>NOT(ISERROR(SEARCH(("기타"),(H162))))</formula>
    </cfRule>
    <cfRule type="containsText" dxfId="6126" priority="15051" operator="containsText" text="정규교과">
      <formula>NOT(ISERROR(SEARCH(("정규교과"),(H162))))</formula>
    </cfRule>
    <cfRule type="containsText" dxfId="6125" priority="15050" operator="containsText" text="프로젝트">
      <formula>NOT(ISERROR(SEARCH(("프로젝트"),(H162))))</formula>
    </cfRule>
    <cfRule type="containsText" dxfId="6124" priority="15053" operator="containsText" text="프로젝트">
      <formula>NOT(ISERROR(SEARCH(("프로젝트"),(H162))))</formula>
    </cfRule>
    <cfRule type="containsText" dxfId="6123" priority="15054" operator="containsText" text="정규교과">
      <formula>NOT(ISERROR(SEARCH(("정규교과"),(H162))))</formula>
    </cfRule>
    <cfRule type="containsText" dxfId="6122" priority="15055" operator="containsText" text="기타">
      <formula>NOT(ISERROR(SEARCH(("기타"),(H162))))</formula>
    </cfRule>
    <cfRule type="containsText" dxfId="6121" priority="15056" operator="containsText" text="프로젝트">
      <formula>NOT(ISERROR(SEARCH(("프로젝트"),(H162))))</formula>
    </cfRule>
    <cfRule type="containsText" dxfId="6120" priority="15057" operator="containsText" text="정규교과">
      <formula>NOT(ISERROR(SEARCH(("정규교과"),(H162))))</formula>
    </cfRule>
    <cfRule type="containsText" dxfId="6119" priority="15058" operator="containsText" text="기타">
      <formula>NOT(ISERROR(SEARCH(("기타"),(H162))))</formula>
    </cfRule>
  </conditionalFormatting>
  <conditionalFormatting sqref="H166:J166">
    <cfRule type="containsText" dxfId="6118" priority="15061" operator="containsText" text="기타">
      <formula>NOT(ISERROR(SEARCH(("기타"),(H166))))</formula>
    </cfRule>
    <cfRule type="containsText" dxfId="6117" priority="15062" operator="containsText" text="프로젝트">
      <formula>NOT(ISERROR(SEARCH(("프로젝트"),(H166))))</formula>
    </cfRule>
    <cfRule type="containsText" dxfId="6116" priority="15064" operator="containsText" text="기타">
      <formula>NOT(ISERROR(SEARCH(("기타"),(H166))))</formula>
    </cfRule>
    <cfRule type="containsText" dxfId="6115" priority="15065" operator="containsText" text="프로젝트">
      <formula>NOT(ISERROR(SEARCH(("프로젝트"),(H166))))</formula>
    </cfRule>
    <cfRule type="containsText" dxfId="6114" priority="15066" operator="containsText" text="정규교과">
      <formula>NOT(ISERROR(SEARCH(("정규교과"),(H166))))</formula>
    </cfRule>
    <cfRule type="containsText" dxfId="6113" priority="15067" operator="containsText" text="기타">
      <formula>NOT(ISERROR(SEARCH(("기타"),(H166))))</formula>
    </cfRule>
    <cfRule type="containsText" dxfId="6112" priority="15068" operator="containsText" text="프로젝트">
      <formula>NOT(ISERROR(SEARCH(("프로젝트"),(H166))))</formula>
    </cfRule>
    <cfRule type="containsText" dxfId="6111" priority="15069" operator="containsText" text="정규교과">
      <formula>NOT(ISERROR(SEARCH(("정규교과"),(H166))))</formula>
    </cfRule>
    <cfRule type="containsText" dxfId="6110" priority="15070" operator="containsText" text="기타">
      <formula>NOT(ISERROR(SEARCH(("기타"),(H166))))</formula>
    </cfRule>
    <cfRule type="containsText" dxfId="6109" priority="15059" operator="containsText" text="프로젝트">
      <formula>NOT(ISERROR(SEARCH(("프로젝트"),(H166))))</formula>
    </cfRule>
    <cfRule type="containsText" dxfId="6108" priority="15063" operator="containsText" text="정규교과">
      <formula>NOT(ISERROR(SEARCH(("정규교과"),(H166))))</formula>
    </cfRule>
    <cfRule type="containsText" dxfId="6107" priority="15060" operator="containsText" text="정규교과">
      <formula>NOT(ISERROR(SEARCH(("정규교과"),(H166))))</formula>
    </cfRule>
  </conditionalFormatting>
  <conditionalFormatting sqref="H170:J170">
    <cfRule type="containsText" dxfId="6106" priority="15073" operator="containsText" text="기타">
      <formula>NOT(ISERROR(SEARCH(("기타"),(H170))))</formula>
    </cfRule>
    <cfRule type="containsText" dxfId="6105" priority="15074" operator="containsText" text="프로젝트">
      <formula>NOT(ISERROR(SEARCH(("프로젝트"),(H170))))</formula>
    </cfRule>
    <cfRule type="containsText" dxfId="6104" priority="15076" operator="containsText" text="기타">
      <formula>NOT(ISERROR(SEARCH(("기타"),(H170))))</formula>
    </cfRule>
    <cfRule type="containsText" dxfId="6103" priority="15082" operator="containsText" text="기타">
      <formula>NOT(ISERROR(SEARCH(("기타"),(H170))))</formula>
    </cfRule>
    <cfRule type="containsText" dxfId="6102" priority="15081" operator="containsText" text="정규교과">
      <formula>NOT(ISERROR(SEARCH(("정규교과"),(H170))))</formula>
    </cfRule>
    <cfRule type="containsText" dxfId="6101" priority="15071" operator="containsText" text="프로젝트">
      <formula>NOT(ISERROR(SEARCH(("프로젝트"),(H170))))</formula>
    </cfRule>
    <cfRule type="containsText" dxfId="6100" priority="15072" operator="containsText" text="정규교과">
      <formula>NOT(ISERROR(SEARCH(("정규교과"),(H170))))</formula>
    </cfRule>
    <cfRule type="containsText" dxfId="6099" priority="15080" operator="containsText" text="프로젝트">
      <formula>NOT(ISERROR(SEARCH(("프로젝트"),(H170))))</formula>
    </cfRule>
    <cfRule type="containsText" dxfId="6098" priority="15079" operator="containsText" text="기타">
      <formula>NOT(ISERROR(SEARCH(("기타"),(H170))))</formula>
    </cfRule>
    <cfRule type="containsText" dxfId="6097" priority="15078" operator="containsText" text="정규교과">
      <formula>NOT(ISERROR(SEARCH(("정규교과"),(H170))))</formula>
    </cfRule>
    <cfRule type="containsText" dxfId="6096" priority="15077" operator="containsText" text="프로젝트">
      <formula>NOT(ISERROR(SEARCH(("프로젝트"),(H170))))</formula>
    </cfRule>
    <cfRule type="containsText" dxfId="6095" priority="15075" operator="containsText" text="정규교과">
      <formula>NOT(ISERROR(SEARCH(("정규교과"),(H170))))</formula>
    </cfRule>
  </conditionalFormatting>
  <conditionalFormatting sqref="H174:J174">
    <cfRule type="containsText" dxfId="6094" priority="15085" operator="containsText" text="기타">
      <formula>NOT(ISERROR(SEARCH(("기타"),(H174))))</formula>
    </cfRule>
    <cfRule type="containsText" dxfId="6093" priority="15084" operator="containsText" text="정규교과">
      <formula>NOT(ISERROR(SEARCH(("정규교과"),(H174))))</formula>
    </cfRule>
    <cfRule type="containsText" dxfId="6092" priority="15083" operator="containsText" text="프로젝트">
      <formula>NOT(ISERROR(SEARCH(("프로젝트"),(H174))))</formula>
    </cfRule>
    <cfRule type="containsText" dxfId="6091" priority="15094" operator="containsText" text="기타">
      <formula>NOT(ISERROR(SEARCH(("기타"),(H174))))</formula>
    </cfRule>
    <cfRule type="containsText" dxfId="6090" priority="15093" operator="containsText" text="정규교과">
      <formula>NOT(ISERROR(SEARCH(("정규교과"),(H174))))</formula>
    </cfRule>
    <cfRule type="containsText" dxfId="6089" priority="15092" operator="containsText" text="프로젝트">
      <formula>NOT(ISERROR(SEARCH(("프로젝트"),(H174))))</formula>
    </cfRule>
    <cfRule type="containsText" dxfId="6088" priority="15091" operator="containsText" text="기타">
      <formula>NOT(ISERROR(SEARCH(("기타"),(H174))))</formula>
    </cfRule>
    <cfRule type="containsText" dxfId="6087" priority="15090" operator="containsText" text="정규교과">
      <formula>NOT(ISERROR(SEARCH(("정규교과"),(H174))))</formula>
    </cfRule>
    <cfRule type="containsText" dxfId="6086" priority="15086" operator="containsText" text="프로젝트">
      <formula>NOT(ISERROR(SEARCH(("프로젝트"),(H174))))</formula>
    </cfRule>
    <cfRule type="containsText" dxfId="6085" priority="15087" operator="containsText" text="정규교과">
      <formula>NOT(ISERROR(SEARCH(("정규교과"),(H174))))</formula>
    </cfRule>
    <cfRule type="containsText" dxfId="6084" priority="15088" operator="containsText" text="기타">
      <formula>NOT(ISERROR(SEARCH(("기타"),(H174))))</formula>
    </cfRule>
    <cfRule type="containsText" dxfId="6083" priority="15089" operator="containsText" text="프로젝트">
      <formula>NOT(ISERROR(SEARCH(("프로젝트"),(H174))))</formula>
    </cfRule>
  </conditionalFormatting>
  <conditionalFormatting sqref="H236:J236">
    <cfRule type="containsText" dxfId="6082" priority="4294" operator="containsText" text="프로젝트">
      <formula>NOT(ISERROR(SEARCH(("프로젝트"),(H236))))</formula>
    </cfRule>
    <cfRule type="containsText" dxfId="6081" priority="4292" operator="containsText" text="정규교과">
      <formula>NOT(ISERROR(SEARCH(("정규교과"),(H236))))</formula>
    </cfRule>
    <cfRule type="containsText" dxfId="6080" priority="4291" operator="containsText" text="프로젝트">
      <formula>NOT(ISERROR(SEARCH(("프로젝트"),(H236))))</formula>
    </cfRule>
    <cfRule type="containsText" dxfId="6079" priority="4290" operator="containsText" text="기타">
      <formula>NOT(ISERROR(SEARCH(("기타"),(H236))))</formula>
    </cfRule>
    <cfRule type="containsText" dxfId="6078" priority="4289" operator="containsText" text="정규교과">
      <formula>NOT(ISERROR(SEARCH(("정규교과"),(H236))))</formula>
    </cfRule>
    <cfRule type="containsText" dxfId="6077" priority="4288" operator="containsText" text="프로젝트">
      <formula>NOT(ISERROR(SEARCH(("프로젝트"),(H236))))</formula>
    </cfRule>
    <cfRule type="containsText" dxfId="6076" priority="4293" operator="containsText" text="기타">
      <formula>NOT(ISERROR(SEARCH(("기타"),(H236))))</formula>
    </cfRule>
    <cfRule type="containsText" dxfId="6075" priority="4296" operator="containsText" text="기타">
      <formula>NOT(ISERROR(SEARCH(("기타"),(H236))))</formula>
    </cfRule>
    <cfRule type="containsText" dxfId="6074" priority="4299" operator="containsText" text="기타">
      <formula>NOT(ISERROR(SEARCH(("기타"),(H236))))</formula>
    </cfRule>
    <cfRule type="containsText" dxfId="6073" priority="4298" operator="containsText" text="정규교과">
      <formula>NOT(ISERROR(SEARCH(("정규교과"),(H236))))</formula>
    </cfRule>
    <cfRule type="containsText" dxfId="6072" priority="4297" operator="containsText" text="프로젝트">
      <formula>NOT(ISERROR(SEARCH(("프로젝트"),(H236))))</formula>
    </cfRule>
    <cfRule type="containsText" dxfId="6071" priority="4295" operator="containsText" text="정규교과">
      <formula>NOT(ISERROR(SEARCH(("정규교과"),(H236))))</formula>
    </cfRule>
  </conditionalFormatting>
  <conditionalFormatting sqref="H240:J240">
    <cfRule type="containsText" dxfId="6070" priority="4276" operator="containsText" text="프로젝트">
      <formula>NOT(ISERROR(SEARCH(("프로젝트"),(H240))))</formula>
    </cfRule>
    <cfRule type="containsText" dxfId="6069" priority="4282" operator="containsText" text="프로젝트">
      <formula>NOT(ISERROR(SEARCH(("프로젝트"),(H240))))</formula>
    </cfRule>
    <cfRule type="containsText" dxfId="6068" priority="4281" operator="containsText" text="기타">
      <formula>NOT(ISERROR(SEARCH(("기타"),(H240))))</formula>
    </cfRule>
    <cfRule type="containsText" dxfId="6067" priority="4278" operator="containsText" text="기타">
      <formula>NOT(ISERROR(SEARCH(("기타"),(H240))))</formula>
    </cfRule>
    <cfRule type="containsText" dxfId="6066" priority="4279" operator="containsText" text="프로젝트">
      <formula>NOT(ISERROR(SEARCH(("프로젝트"),(H240))))</formula>
    </cfRule>
    <cfRule type="containsText" dxfId="6065" priority="4277" operator="containsText" text="정규교과">
      <formula>NOT(ISERROR(SEARCH(("정규교과"),(H240))))</formula>
    </cfRule>
    <cfRule type="containsText" dxfId="6064" priority="4287" operator="containsText" text="기타">
      <formula>NOT(ISERROR(SEARCH(("기타"),(H240))))</formula>
    </cfRule>
    <cfRule type="containsText" dxfId="6063" priority="4286" operator="containsText" text="정규교과">
      <formula>NOT(ISERROR(SEARCH(("정규교과"),(H240))))</formula>
    </cfRule>
    <cfRule type="containsText" dxfId="6062" priority="4285" operator="containsText" text="프로젝트">
      <formula>NOT(ISERROR(SEARCH(("프로젝트"),(H240))))</formula>
    </cfRule>
    <cfRule type="containsText" dxfId="6061" priority="4284" operator="containsText" text="기타">
      <formula>NOT(ISERROR(SEARCH(("기타"),(H240))))</formula>
    </cfRule>
    <cfRule type="containsText" dxfId="6060" priority="4283" operator="containsText" text="정규교과">
      <formula>NOT(ISERROR(SEARCH(("정규교과"),(H240))))</formula>
    </cfRule>
    <cfRule type="containsText" dxfId="6059" priority="4280" operator="containsText" text="정규교과">
      <formula>NOT(ISERROR(SEARCH(("정규교과"),(H240))))</formula>
    </cfRule>
  </conditionalFormatting>
  <conditionalFormatting sqref="H244:J244">
    <cfRule type="containsText" dxfId="6058" priority="4264" operator="containsText" text="프로젝트">
      <formula>NOT(ISERROR(SEARCH(("프로젝트"),(H244))))</formula>
    </cfRule>
    <cfRule type="containsText" dxfId="6057" priority="4265" operator="containsText" text="정규교과">
      <formula>NOT(ISERROR(SEARCH(("정규교과"),(H244))))</formula>
    </cfRule>
    <cfRule type="containsText" dxfId="6056" priority="4266" operator="containsText" text="기타">
      <formula>NOT(ISERROR(SEARCH(("기타"),(H244))))</formula>
    </cfRule>
    <cfRule type="containsText" dxfId="6055" priority="4267" operator="containsText" text="프로젝트">
      <formula>NOT(ISERROR(SEARCH(("프로젝트"),(H244))))</formula>
    </cfRule>
    <cfRule type="containsText" dxfId="6054" priority="4268" operator="containsText" text="정규교과">
      <formula>NOT(ISERROR(SEARCH(("정규교과"),(H244))))</formula>
    </cfRule>
    <cfRule type="containsText" dxfId="6053" priority="4269" operator="containsText" text="기타">
      <formula>NOT(ISERROR(SEARCH(("기타"),(H244))))</formula>
    </cfRule>
    <cfRule type="containsText" dxfId="6052" priority="4271" operator="containsText" text="정규교과">
      <formula>NOT(ISERROR(SEARCH(("정규교과"),(H244))))</formula>
    </cfRule>
    <cfRule type="containsText" dxfId="6051" priority="4273" operator="containsText" text="프로젝트">
      <formula>NOT(ISERROR(SEARCH(("프로젝트"),(H244))))</formula>
    </cfRule>
    <cfRule type="containsText" dxfId="6050" priority="4272" operator="containsText" text="기타">
      <formula>NOT(ISERROR(SEARCH(("기타"),(H244))))</formula>
    </cfRule>
    <cfRule type="containsText" dxfId="6049" priority="4274" operator="containsText" text="정규교과">
      <formula>NOT(ISERROR(SEARCH(("정규교과"),(H244))))</formula>
    </cfRule>
    <cfRule type="containsText" dxfId="6048" priority="4275" operator="containsText" text="기타">
      <formula>NOT(ISERROR(SEARCH(("기타"),(H244))))</formula>
    </cfRule>
    <cfRule type="containsText" dxfId="6047" priority="4270" operator="containsText" text="프로젝트">
      <formula>NOT(ISERROR(SEARCH(("프로젝트"),(H244))))</formula>
    </cfRule>
  </conditionalFormatting>
  <conditionalFormatting sqref="H250:K250">
    <cfRule type="containsText" dxfId="6046" priority="3825" operator="containsText" text="정규교과">
      <formula>NOT(ISERROR(SEARCH(("정규교과"),(H250))))</formula>
    </cfRule>
    <cfRule type="containsText" dxfId="6045" priority="3826" operator="containsText" text="기타">
      <formula>NOT(ISERROR(SEARCH(("기타"),(H250))))</formula>
    </cfRule>
    <cfRule type="containsText" dxfId="6044" priority="3827" operator="containsText" text="프로젝트">
      <formula>NOT(ISERROR(SEARCH(("프로젝트"),(H250))))</formula>
    </cfRule>
    <cfRule type="containsText" dxfId="6043" priority="3828" operator="containsText" text="정규교과">
      <formula>NOT(ISERROR(SEARCH(("정규교과"),(H250))))</formula>
    </cfRule>
    <cfRule type="containsText" dxfId="6042" priority="3829" operator="containsText" text="기타">
      <formula>NOT(ISERROR(SEARCH(("기타"),(H250))))</formula>
    </cfRule>
    <cfRule type="containsText" dxfId="6041" priority="3824" operator="containsText" text="프로젝트">
      <formula>NOT(ISERROR(SEARCH(("프로젝트"),(H250))))</formula>
    </cfRule>
    <cfRule type="containsText" dxfId="6040" priority="3830" operator="containsText" text="프로젝트">
      <formula>NOT(ISERROR(SEARCH(("프로젝트"),(H250))))</formula>
    </cfRule>
    <cfRule type="containsText" dxfId="6039" priority="3823" operator="containsText" text="휴강">
      <formula>NOT(ISERROR(SEARCH(("휴강"),(H250))))</formula>
    </cfRule>
    <cfRule type="containsText" dxfId="6038" priority="3831" operator="containsText" text="정규교과">
      <formula>NOT(ISERROR(SEARCH(("정규교과"),(H250))))</formula>
    </cfRule>
    <cfRule type="containsText" dxfId="6037" priority="3832" operator="containsText" text="기타">
      <formula>NOT(ISERROR(SEARCH(("기타"),(H250))))</formula>
    </cfRule>
    <cfRule type="containsText" dxfId="6036" priority="3833" operator="containsText" text="프로젝트">
      <formula>NOT(ISERROR(SEARCH(("프로젝트"),(H250))))</formula>
    </cfRule>
    <cfRule type="containsText" dxfId="6035" priority="3834" operator="containsText" text="정규교과">
      <formula>NOT(ISERROR(SEARCH(("정규교과"),(H250))))</formula>
    </cfRule>
    <cfRule type="containsText" dxfId="6034" priority="3835" operator="containsText" text="기타">
      <formula>NOT(ISERROR(SEARCH(("기타"),(H250))))</formula>
    </cfRule>
  </conditionalFormatting>
  <conditionalFormatting sqref="I40">
    <cfRule type="containsText" dxfId="6033" priority="12155" operator="containsText" text="정규교과">
      <formula>NOT(ISERROR(SEARCH(("정규교과"),(I40))))</formula>
    </cfRule>
    <cfRule type="containsText" dxfId="6032" priority="12154" operator="containsText" text="프로젝트">
      <formula>NOT(ISERROR(SEARCH(("프로젝트"),(I40))))</formula>
    </cfRule>
    <cfRule type="containsText" dxfId="6031" priority="12153" operator="containsText" text="기타">
      <formula>NOT(ISERROR(SEARCH(("기타"),(I40))))</formula>
    </cfRule>
    <cfRule type="containsText" dxfId="6030" priority="12152" operator="containsText" text="정규교과">
      <formula>NOT(ISERROR(SEARCH(("정규교과"),(I40))))</formula>
    </cfRule>
    <cfRule type="containsText" dxfId="6029" priority="12151" operator="containsText" text="프로젝트">
      <formula>NOT(ISERROR(SEARCH(("프로젝트"),(I40))))</formula>
    </cfRule>
    <cfRule type="containsText" dxfId="6028" priority="12150" operator="containsText" text="기타">
      <formula>NOT(ISERROR(SEARCH(("기타"),(I40))))</formula>
    </cfRule>
    <cfRule type="containsText" dxfId="6027" priority="12149" operator="containsText" text="정규교과">
      <formula>NOT(ISERROR(SEARCH(("정규교과"),(I40))))</formula>
    </cfRule>
    <cfRule type="containsText" dxfId="6026" priority="12198" operator="containsText" text="기타">
      <formula>NOT(ISERROR(SEARCH(("기타"),(I40))))</formula>
    </cfRule>
    <cfRule type="containsText" dxfId="6025" priority="12199" operator="containsText" text="프로젝트">
      <formula>NOT(ISERROR(SEARCH(("프로젝트"),(I40))))</formula>
    </cfRule>
    <cfRule type="containsText" dxfId="6024" priority="12200" operator="containsText" text="정규교과">
      <formula>NOT(ISERROR(SEARCH(("정규교과"),(I40))))</formula>
    </cfRule>
    <cfRule type="containsText" dxfId="6023" priority="12201" operator="containsText" text="기타">
      <formula>NOT(ISERROR(SEARCH(("기타"),(I40))))</formula>
    </cfRule>
    <cfRule type="containsText" dxfId="6022" priority="12177" operator="containsText" text="기타">
      <formula>NOT(ISERROR(SEARCH(("기타"),(I40))))</formula>
    </cfRule>
    <cfRule type="containsText" dxfId="6021" priority="12178" operator="containsText" text="프로젝트">
      <formula>NOT(ISERROR(SEARCH(("프로젝트"),(I40))))</formula>
    </cfRule>
    <cfRule type="containsText" dxfId="6020" priority="12183" operator="containsText" text="기타">
      <formula>NOT(ISERROR(SEARCH(("기타"),(I40))))</formula>
    </cfRule>
    <cfRule type="containsText" dxfId="6019" priority="12187" operator="containsText" text="프로젝트">
      <formula>NOT(ISERROR(SEARCH(("프로젝트"),(I40))))</formula>
    </cfRule>
    <cfRule type="containsText" dxfId="6018" priority="12179" operator="containsText" text="정규교과">
      <formula>NOT(ISERROR(SEARCH(("정규교과"),(I40))))</formula>
    </cfRule>
    <cfRule type="containsText" dxfId="6017" priority="12180" operator="containsText" text="기타">
      <formula>NOT(ISERROR(SEARCH(("기타"),(I40))))</formula>
    </cfRule>
    <cfRule type="containsText" dxfId="6016" priority="12181" operator="containsText" text="프로젝트">
      <formula>NOT(ISERROR(SEARCH(("프로젝트"),(I40))))</formula>
    </cfRule>
    <cfRule type="containsText" dxfId="6015" priority="12163" operator="containsText" text="프로젝트">
      <formula>NOT(ISERROR(SEARCH(("프로젝트"),(I40))))</formula>
    </cfRule>
    <cfRule type="containsText" dxfId="6014" priority="12176" operator="containsText" text="정규교과">
      <formula>NOT(ISERROR(SEARCH(("정규교과"),(I40))))</formula>
    </cfRule>
    <cfRule type="containsText" dxfId="6013" priority="12175" operator="containsText" text="프로젝트">
      <formula>NOT(ISERROR(SEARCH(("프로젝트"),(I40))))</formula>
    </cfRule>
    <cfRule type="containsText" dxfId="6012" priority="12174" operator="containsText" text="기타">
      <formula>NOT(ISERROR(SEARCH(("기타"),(I40))))</formula>
    </cfRule>
    <cfRule type="containsText" dxfId="6011" priority="12173" operator="containsText" text="정규교과">
      <formula>NOT(ISERROR(SEARCH(("정규교과"),(I40))))</formula>
    </cfRule>
    <cfRule type="containsText" dxfId="6010" priority="12172" operator="containsText" text="프로젝트">
      <formula>NOT(ISERROR(SEARCH(("프로젝트"),(I40))))</formula>
    </cfRule>
    <cfRule type="containsText" dxfId="6009" priority="12171" operator="containsText" text="기타">
      <formula>NOT(ISERROR(SEARCH(("기타"),(I40))))</formula>
    </cfRule>
    <cfRule type="containsText" dxfId="6008" priority="12170" operator="containsText" text="정규교과">
      <formula>NOT(ISERROR(SEARCH(("정규교과"),(I40))))</formula>
    </cfRule>
    <cfRule type="containsText" dxfId="6007" priority="12169" operator="containsText" text="프로젝트">
      <formula>NOT(ISERROR(SEARCH(("프로젝트"),(I40))))</formula>
    </cfRule>
    <cfRule type="containsText" dxfId="6006" priority="12168" operator="containsText" text="기타">
      <formula>NOT(ISERROR(SEARCH(("기타"),(I40))))</formula>
    </cfRule>
    <cfRule type="containsText" dxfId="6005" priority="12167" operator="containsText" text="정규교과">
      <formula>NOT(ISERROR(SEARCH(("정규교과"),(I40))))</formula>
    </cfRule>
    <cfRule type="containsText" dxfId="6004" priority="12166" operator="containsText" text="프로젝트">
      <formula>NOT(ISERROR(SEARCH(("프로젝트"),(I40))))</formula>
    </cfRule>
    <cfRule type="containsText" dxfId="6003" priority="12165" operator="containsText" text="기타">
      <formula>NOT(ISERROR(SEARCH(("기타"),(I40))))</formula>
    </cfRule>
    <cfRule type="containsText" dxfId="6002" priority="12164" operator="containsText" text="정규교과">
      <formula>NOT(ISERROR(SEARCH(("정규교과"),(I40))))</formula>
    </cfRule>
    <cfRule type="containsText" dxfId="6001" priority="12162" operator="containsText" text="기타">
      <formula>NOT(ISERROR(SEARCH(("기타"),(I40))))</formula>
    </cfRule>
    <cfRule type="containsText" dxfId="6000" priority="12219" operator="containsText" text="기타">
      <formula>NOT(ISERROR(SEARCH(("기타"),(I40))))</formula>
    </cfRule>
    <cfRule type="containsText" dxfId="5999" priority="12218" operator="containsText" text="정규교과">
      <formula>NOT(ISERROR(SEARCH(("정규교과"),(I40))))</formula>
    </cfRule>
    <cfRule type="containsText" dxfId="5998" priority="12161" operator="containsText" text="정규교과">
      <formula>NOT(ISERROR(SEARCH(("정규교과"),(I40))))</formula>
    </cfRule>
    <cfRule type="containsText" dxfId="5997" priority="12217" operator="containsText" text="프로젝트">
      <formula>NOT(ISERROR(SEARCH(("프로젝트"),(I40))))</formula>
    </cfRule>
    <cfRule type="containsText" dxfId="5996" priority="12216" operator="containsText" text="기타">
      <formula>NOT(ISERROR(SEARCH(("기타"),(I40))))</formula>
    </cfRule>
    <cfRule type="containsText" dxfId="5995" priority="12215" operator="containsText" text="정규교과">
      <formula>NOT(ISERROR(SEARCH(("정규교과"),(I40))))</formula>
    </cfRule>
    <cfRule type="containsText" dxfId="5994" priority="12214" operator="containsText" text="프로젝트">
      <formula>NOT(ISERROR(SEARCH(("프로젝트"),(I40))))</formula>
    </cfRule>
    <cfRule type="containsText" dxfId="5993" priority="12213" operator="containsText" text="기타">
      <formula>NOT(ISERROR(SEARCH(("기타"),(I40))))</formula>
    </cfRule>
    <cfRule type="containsText" dxfId="5992" priority="12212" operator="containsText" text="정규교과">
      <formula>NOT(ISERROR(SEARCH(("정규교과"),(I40))))</formula>
    </cfRule>
    <cfRule type="containsText" dxfId="5991" priority="12211" operator="containsText" text="프로젝트">
      <formula>NOT(ISERROR(SEARCH(("프로젝트"),(I40))))</formula>
    </cfRule>
    <cfRule type="containsText" dxfId="5990" priority="12148" operator="containsText" text="프로젝트">
      <formula>NOT(ISERROR(SEARCH(("프로젝트"),(I40))))</formula>
    </cfRule>
    <cfRule type="containsText" dxfId="5989" priority="12147" operator="containsText" text="기타">
      <formula>NOT(ISERROR(SEARCH(("기타"),(I40))))</formula>
    </cfRule>
    <cfRule type="containsText" dxfId="5988" priority="12146" operator="containsText" text="정규교과">
      <formula>NOT(ISERROR(SEARCH(("정규교과"),(I40))))</formula>
    </cfRule>
    <cfRule type="containsText" dxfId="5987" priority="12210" operator="containsText" text="기타">
      <formula>NOT(ISERROR(SEARCH(("기타"),(I40))))</formula>
    </cfRule>
    <cfRule type="containsText" dxfId="5986" priority="12209" operator="containsText" text="정규교과">
      <formula>NOT(ISERROR(SEARCH(("정규교과"),(I40))))</formula>
    </cfRule>
    <cfRule type="containsText" dxfId="5985" priority="12208" operator="containsText" text="프로젝트">
      <formula>NOT(ISERROR(SEARCH(("프로젝트"),(I40))))</formula>
    </cfRule>
    <cfRule type="containsText" dxfId="5984" priority="12207" operator="containsText" text="기타">
      <formula>NOT(ISERROR(SEARCH(("기타"),(I40))))</formula>
    </cfRule>
    <cfRule type="containsText" dxfId="5983" priority="12206" operator="containsText" text="정규교과">
      <formula>NOT(ISERROR(SEARCH(("정규교과"),(I40))))</formula>
    </cfRule>
    <cfRule type="containsText" dxfId="5982" priority="12205" operator="containsText" text="프로젝트">
      <formula>NOT(ISERROR(SEARCH(("프로젝트"),(I40))))</formula>
    </cfRule>
    <cfRule type="containsText" dxfId="5981" priority="12204" operator="containsText" text="기타">
      <formula>NOT(ISERROR(SEARCH(("기타"),(I40))))</formula>
    </cfRule>
    <cfRule type="containsText" dxfId="5980" priority="12160" operator="containsText" text="프로젝트">
      <formula>NOT(ISERROR(SEARCH(("프로젝트"),(I40))))</formula>
    </cfRule>
    <cfRule type="containsText" dxfId="5979" priority="12159" operator="containsText" text="기타">
      <formula>NOT(ISERROR(SEARCH(("기타"),(I40))))</formula>
    </cfRule>
    <cfRule type="containsText" dxfId="5978" priority="12203" operator="containsText" text="정규교과">
      <formula>NOT(ISERROR(SEARCH(("정규교과"),(I40))))</formula>
    </cfRule>
    <cfRule type="containsText" dxfId="5977" priority="12158" operator="containsText" text="정규교과">
      <formula>NOT(ISERROR(SEARCH(("정규교과"),(I40))))</formula>
    </cfRule>
    <cfRule type="containsText" dxfId="5976" priority="12157" operator="containsText" text="프로젝트">
      <formula>NOT(ISERROR(SEARCH(("프로젝트"),(I40))))</formula>
    </cfRule>
    <cfRule type="containsText" dxfId="5975" priority="12156" operator="containsText" text="기타">
      <formula>NOT(ISERROR(SEARCH(("기타"),(I40))))</formula>
    </cfRule>
    <cfRule type="containsText" dxfId="5974" priority="12184" operator="containsText" text="프로젝트">
      <formula>NOT(ISERROR(SEARCH(("프로젝트"),(I40))))</formula>
    </cfRule>
    <cfRule type="containsText" dxfId="5973" priority="12182" operator="containsText" text="정규교과">
      <formula>NOT(ISERROR(SEARCH(("정규교과"),(I40))))</formula>
    </cfRule>
    <cfRule type="containsText" dxfId="5972" priority="12185" operator="containsText" text="정규교과">
      <formula>NOT(ISERROR(SEARCH(("정규교과"),(I40))))</formula>
    </cfRule>
    <cfRule type="containsText" dxfId="5971" priority="12186" operator="containsText" text="기타">
      <formula>NOT(ISERROR(SEARCH(("기타"),(I40))))</formula>
    </cfRule>
    <cfRule type="containsText" dxfId="5970" priority="12202" operator="containsText" text="프로젝트">
      <formula>NOT(ISERROR(SEARCH(("프로젝트"),(I40))))</formula>
    </cfRule>
    <cfRule type="containsText" dxfId="5969" priority="12188" operator="containsText" text="정규교과">
      <formula>NOT(ISERROR(SEARCH(("정규교과"),(I40))))</formula>
    </cfRule>
    <cfRule type="containsText" dxfId="5968" priority="12189" operator="containsText" text="기타">
      <formula>NOT(ISERROR(SEARCH(("기타"),(I40))))</formula>
    </cfRule>
    <cfRule type="containsText" dxfId="5967" priority="12190" operator="containsText" text="프로젝트">
      <formula>NOT(ISERROR(SEARCH(("프로젝트"),(I40))))</formula>
    </cfRule>
    <cfRule type="containsText" dxfId="5966" priority="12191" operator="containsText" text="정규교과">
      <formula>NOT(ISERROR(SEARCH(("정규교과"),(I40))))</formula>
    </cfRule>
    <cfRule type="containsText" dxfId="5965" priority="12192" operator="containsText" text="기타">
      <formula>NOT(ISERROR(SEARCH(("기타"),(I40))))</formula>
    </cfRule>
    <cfRule type="containsText" dxfId="5964" priority="12193" operator="containsText" text="프로젝트">
      <formula>NOT(ISERROR(SEARCH(("프로젝트"),(I40))))</formula>
    </cfRule>
    <cfRule type="containsText" dxfId="5963" priority="12194" operator="containsText" text="정규교과">
      <formula>NOT(ISERROR(SEARCH(("정규교과"),(I40))))</formula>
    </cfRule>
    <cfRule type="containsText" dxfId="5962" priority="12195" operator="containsText" text="기타">
      <formula>NOT(ISERROR(SEARCH(("기타"),(I40))))</formula>
    </cfRule>
    <cfRule type="containsText" dxfId="5961" priority="12196" operator="containsText" text="프로젝트">
      <formula>NOT(ISERROR(SEARCH(("프로젝트"),(I40))))</formula>
    </cfRule>
    <cfRule type="containsText" dxfId="5960" priority="12197" operator="containsText" text="정규교과">
      <formula>NOT(ISERROR(SEARCH(("정규교과"),(I40))))</formula>
    </cfRule>
  </conditionalFormatting>
  <conditionalFormatting sqref="I44">
    <cfRule type="containsText" dxfId="5959" priority="11974" operator="containsText" text="프로젝트">
      <formula>NOT(ISERROR(SEARCH(("프로젝트"),(I44))))</formula>
    </cfRule>
    <cfRule type="containsText" dxfId="5958" priority="11973" operator="containsText" text="기타">
      <formula>NOT(ISERROR(SEARCH(("기타"),(I44))))</formula>
    </cfRule>
    <cfRule type="containsText" dxfId="5957" priority="11972" operator="containsText" text="정규교과">
      <formula>NOT(ISERROR(SEARCH(("정규교과"),(I44))))</formula>
    </cfRule>
    <cfRule type="containsText" dxfId="5956" priority="11971" operator="containsText" text="프로젝트">
      <formula>NOT(ISERROR(SEARCH(("프로젝트"),(I44))))</formula>
    </cfRule>
    <cfRule type="containsText" dxfId="5955" priority="11970" operator="containsText" text="기타">
      <formula>NOT(ISERROR(SEARCH(("기타"),(I44))))</formula>
    </cfRule>
    <cfRule type="containsText" dxfId="5954" priority="11969" operator="containsText" text="정규교과">
      <formula>NOT(ISERROR(SEARCH(("정규교과"),(I44))))</formula>
    </cfRule>
    <cfRule type="containsText" dxfId="5953" priority="11968" operator="containsText" text="프로젝트">
      <formula>NOT(ISERROR(SEARCH(("프로젝트"),(I44))))</formula>
    </cfRule>
    <cfRule type="containsText" dxfId="5952" priority="11967" operator="containsText" text="기타">
      <formula>NOT(ISERROR(SEARCH(("기타"),(I44))))</formula>
    </cfRule>
    <cfRule type="containsText" dxfId="5951" priority="11966" operator="containsText" text="정규교과">
      <formula>NOT(ISERROR(SEARCH(("정규교과"),(I44))))</formula>
    </cfRule>
    <cfRule type="containsText" dxfId="5950" priority="11965" operator="containsText" text="프로젝트">
      <formula>NOT(ISERROR(SEARCH(("프로젝트"),(I44))))</formula>
    </cfRule>
    <cfRule type="containsText" dxfId="5949" priority="11964" operator="containsText" text="기타">
      <formula>NOT(ISERROR(SEARCH(("기타"),(I44))))</formula>
    </cfRule>
    <cfRule type="containsText" dxfId="5948" priority="11963" operator="containsText" text="정규교과">
      <formula>NOT(ISERROR(SEARCH(("정규교과"),(I44))))</formula>
    </cfRule>
    <cfRule type="containsText" dxfId="5947" priority="11962" operator="containsText" text="프로젝트">
      <formula>NOT(ISERROR(SEARCH(("프로젝트"),(I44))))</formula>
    </cfRule>
    <cfRule type="containsText" dxfId="5946" priority="11961" operator="containsText" text="기타">
      <formula>NOT(ISERROR(SEARCH(("기타"),(I44))))</formula>
    </cfRule>
    <cfRule type="containsText" dxfId="5945" priority="11960" operator="containsText" text="정규교과">
      <formula>NOT(ISERROR(SEARCH(("정규교과"),(I44))))</formula>
    </cfRule>
    <cfRule type="containsText" dxfId="5944" priority="11959" operator="containsText" text="프로젝트">
      <formula>NOT(ISERROR(SEARCH(("프로젝트"),(I44))))</formula>
    </cfRule>
    <cfRule type="containsText" dxfId="5943" priority="12011" operator="containsText" text="정규교과">
      <formula>NOT(ISERROR(SEARCH(("정규교과"),(I44))))</formula>
    </cfRule>
    <cfRule type="containsText" dxfId="5942" priority="12010" operator="containsText" text="프로젝트">
      <formula>NOT(ISERROR(SEARCH(("프로젝트"),(I44))))</formula>
    </cfRule>
    <cfRule type="containsText" dxfId="5941" priority="12009" operator="containsText" text="기타">
      <formula>NOT(ISERROR(SEARCH(("기타"),(I44))))</formula>
    </cfRule>
    <cfRule type="containsText" dxfId="5940" priority="12008" operator="containsText" text="정규교과">
      <formula>NOT(ISERROR(SEARCH(("정규교과"),(I44))))</formula>
    </cfRule>
    <cfRule type="containsText" dxfId="5939" priority="12007" operator="containsText" text="프로젝트">
      <formula>NOT(ISERROR(SEARCH(("프로젝트"),(I44))))</formula>
    </cfRule>
    <cfRule type="containsText" dxfId="5938" priority="12006" operator="containsText" text="기타">
      <formula>NOT(ISERROR(SEARCH(("기타"),(I44))))</formula>
    </cfRule>
    <cfRule type="containsText" dxfId="5937" priority="12005" operator="containsText" text="정규교과">
      <formula>NOT(ISERROR(SEARCH(("정규교과"),(I44))))</formula>
    </cfRule>
    <cfRule type="containsText" dxfId="5936" priority="12004" operator="containsText" text="프로젝트">
      <formula>NOT(ISERROR(SEARCH(("프로젝트"),(I44))))</formula>
    </cfRule>
    <cfRule type="containsText" dxfId="5935" priority="12003" operator="containsText" text="기타">
      <formula>NOT(ISERROR(SEARCH(("기타"),(I44))))</formula>
    </cfRule>
    <cfRule type="containsText" dxfId="5934" priority="12002" operator="containsText" text="정규교과">
      <formula>NOT(ISERROR(SEARCH(("정규교과"),(I44))))</formula>
    </cfRule>
    <cfRule type="containsText" dxfId="5933" priority="12001" operator="containsText" text="프로젝트">
      <formula>NOT(ISERROR(SEARCH(("프로젝트"),(I44))))</formula>
    </cfRule>
    <cfRule type="containsText" dxfId="5932" priority="12000" operator="containsText" text="기타">
      <formula>NOT(ISERROR(SEARCH(("기타"),(I44))))</formula>
    </cfRule>
    <cfRule type="containsText" dxfId="5931" priority="11999" operator="containsText" text="정규교과">
      <formula>NOT(ISERROR(SEARCH(("정규교과"),(I44))))</formula>
    </cfRule>
    <cfRule type="containsText" dxfId="5930" priority="11998" operator="containsText" text="프로젝트">
      <formula>NOT(ISERROR(SEARCH(("프로젝트"),(I44))))</formula>
    </cfRule>
    <cfRule type="containsText" dxfId="5929" priority="11997" operator="containsText" text="기타">
      <formula>NOT(ISERROR(SEARCH(("기타"),(I44))))</formula>
    </cfRule>
    <cfRule type="containsText" dxfId="5928" priority="11996" operator="containsText" text="정규교과">
      <formula>NOT(ISERROR(SEARCH(("정규교과"),(I44))))</formula>
    </cfRule>
    <cfRule type="containsText" dxfId="5927" priority="11995" operator="containsText" text="프로젝트">
      <formula>NOT(ISERROR(SEARCH(("프로젝트"),(I44))))</formula>
    </cfRule>
    <cfRule type="containsText" dxfId="5926" priority="11994" operator="containsText" text="기타">
      <formula>NOT(ISERROR(SEARCH(("기타"),(I44))))</formula>
    </cfRule>
    <cfRule type="containsText" dxfId="5925" priority="11993" operator="containsText" text="정규교과">
      <formula>NOT(ISERROR(SEARCH(("정규교과"),(I44))))</formula>
    </cfRule>
    <cfRule type="containsText" dxfId="5924" priority="11992" operator="containsText" text="프로젝트">
      <formula>NOT(ISERROR(SEARCH(("프로젝트"),(I44))))</formula>
    </cfRule>
    <cfRule type="containsText" dxfId="5923" priority="11991" operator="containsText" text="기타">
      <formula>NOT(ISERROR(SEARCH(("기타"),(I44))))</formula>
    </cfRule>
    <cfRule type="containsText" dxfId="5922" priority="11990" operator="containsText" text="정규교과">
      <formula>NOT(ISERROR(SEARCH(("정규교과"),(I44))))</formula>
    </cfRule>
    <cfRule type="containsText" dxfId="5921" priority="11989" operator="containsText" text="프로젝트">
      <formula>NOT(ISERROR(SEARCH(("프로젝트"),(I44))))</formula>
    </cfRule>
    <cfRule type="containsText" dxfId="5920" priority="11988" operator="containsText" text="기타">
      <formula>NOT(ISERROR(SEARCH(("기타"),(I44))))</formula>
    </cfRule>
    <cfRule type="containsText" dxfId="5919" priority="11987" operator="containsText" text="정규교과">
      <formula>NOT(ISERROR(SEARCH(("정규교과"),(I44))))</formula>
    </cfRule>
    <cfRule type="containsText" dxfId="5918" priority="11986" operator="containsText" text="프로젝트">
      <formula>NOT(ISERROR(SEARCH(("프로젝트"),(I44))))</formula>
    </cfRule>
    <cfRule type="containsText" dxfId="5917" priority="11985" operator="containsText" text="기타">
      <formula>NOT(ISERROR(SEARCH(("기타"),(I44))))</formula>
    </cfRule>
    <cfRule type="containsText" dxfId="5916" priority="11984" operator="containsText" text="정규교과">
      <formula>NOT(ISERROR(SEARCH(("정규교과"),(I44))))</formula>
    </cfRule>
    <cfRule type="containsText" dxfId="5915" priority="11983" operator="containsText" text="프로젝트">
      <formula>NOT(ISERROR(SEARCH(("프로젝트"),(I44))))</formula>
    </cfRule>
    <cfRule type="containsText" dxfId="5914" priority="11982" operator="containsText" text="기타">
      <formula>NOT(ISERROR(SEARCH(("기타"),(I44))))</formula>
    </cfRule>
    <cfRule type="containsText" dxfId="5913" priority="11981" operator="containsText" text="정규교과">
      <formula>NOT(ISERROR(SEARCH(("정규교과"),(I44))))</formula>
    </cfRule>
    <cfRule type="containsText" dxfId="5912" priority="11980" operator="containsText" text="프로젝트">
      <formula>NOT(ISERROR(SEARCH(("프로젝트"),(I44))))</formula>
    </cfRule>
    <cfRule type="containsText" dxfId="5911" priority="11958" operator="containsText" text="기타">
      <formula>NOT(ISERROR(SEARCH(("기타"),(I44))))</formula>
    </cfRule>
    <cfRule type="containsText" dxfId="5910" priority="11979" operator="containsText" text="기타">
      <formula>NOT(ISERROR(SEARCH(("기타"),(I44))))</formula>
    </cfRule>
    <cfRule type="containsText" dxfId="5909" priority="11978" operator="containsText" text="정규교과">
      <formula>NOT(ISERROR(SEARCH(("정규교과"),(I44))))</formula>
    </cfRule>
    <cfRule type="containsText" dxfId="5908" priority="11939" operator="containsText" text="정규교과">
      <formula>NOT(ISERROR(SEARCH(("정규교과"),(I44))))</formula>
    </cfRule>
    <cfRule type="containsText" dxfId="5907" priority="11940" operator="containsText" text="기타">
      <formula>NOT(ISERROR(SEARCH(("기타"),(I44))))</formula>
    </cfRule>
    <cfRule type="containsText" dxfId="5906" priority="11941" operator="containsText" text="프로젝트">
      <formula>NOT(ISERROR(SEARCH(("프로젝트"),(I44))))</formula>
    </cfRule>
    <cfRule type="containsText" dxfId="5905" priority="11942" operator="containsText" text="정규교과">
      <formula>NOT(ISERROR(SEARCH(("정규교과"),(I44))))</formula>
    </cfRule>
    <cfRule type="containsText" dxfId="5904" priority="11943" operator="containsText" text="기타">
      <formula>NOT(ISERROR(SEARCH(("기타"),(I44))))</formula>
    </cfRule>
    <cfRule type="containsText" dxfId="5903" priority="11944" operator="containsText" text="프로젝트">
      <formula>NOT(ISERROR(SEARCH(("프로젝트"),(I44))))</formula>
    </cfRule>
    <cfRule type="containsText" dxfId="5902" priority="11945" operator="containsText" text="정규교과">
      <formula>NOT(ISERROR(SEARCH(("정규교과"),(I44))))</formula>
    </cfRule>
    <cfRule type="containsText" dxfId="5901" priority="11977" operator="containsText" text="프로젝트">
      <formula>NOT(ISERROR(SEARCH(("프로젝트"),(I44))))</formula>
    </cfRule>
    <cfRule type="containsText" dxfId="5900" priority="12012" operator="containsText" text="기타">
      <formula>NOT(ISERROR(SEARCH(("기타"),(I44))))</formula>
    </cfRule>
    <cfRule type="containsText" dxfId="5899" priority="11946" operator="containsText" text="기타">
      <formula>NOT(ISERROR(SEARCH(("기타"),(I44))))</formula>
    </cfRule>
    <cfRule type="containsText" dxfId="5898" priority="11947" operator="containsText" text="프로젝트">
      <formula>NOT(ISERROR(SEARCH(("프로젝트"),(I44))))</formula>
    </cfRule>
    <cfRule type="containsText" dxfId="5897" priority="11948" operator="containsText" text="정규교과">
      <formula>NOT(ISERROR(SEARCH(("정규교과"),(I44))))</formula>
    </cfRule>
    <cfRule type="containsText" dxfId="5896" priority="11949" operator="containsText" text="기타">
      <formula>NOT(ISERROR(SEARCH(("기타"),(I44))))</formula>
    </cfRule>
    <cfRule type="containsText" dxfId="5895" priority="11950" operator="containsText" text="프로젝트">
      <formula>NOT(ISERROR(SEARCH(("프로젝트"),(I44))))</formula>
    </cfRule>
    <cfRule type="containsText" dxfId="5894" priority="11951" operator="containsText" text="정규교과">
      <formula>NOT(ISERROR(SEARCH(("정규교과"),(I44))))</formula>
    </cfRule>
    <cfRule type="containsText" dxfId="5893" priority="11952" operator="containsText" text="기타">
      <formula>NOT(ISERROR(SEARCH(("기타"),(I44))))</formula>
    </cfRule>
    <cfRule type="containsText" dxfId="5892" priority="11953" operator="containsText" text="프로젝트">
      <formula>NOT(ISERROR(SEARCH(("프로젝트"),(I44))))</formula>
    </cfRule>
    <cfRule type="containsText" dxfId="5891" priority="11954" operator="containsText" text="정규교과">
      <formula>NOT(ISERROR(SEARCH(("정규교과"),(I44))))</formula>
    </cfRule>
    <cfRule type="containsText" dxfId="5890" priority="11957" operator="containsText" text="정규교과">
      <formula>NOT(ISERROR(SEARCH(("정규교과"),(I44))))</formula>
    </cfRule>
    <cfRule type="containsText" dxfId="5889" priority="11955" operator="containsText" text="기타">
      <formula>NOT(ISERROR(SEARCH(("기타"),(I44))))</formula>
    </cfRule>
    <cfRule type="containsText" dxfId="5888" priority="11956" operator="containsText" text="프로젝트">
      <formula>NOT(ISERROR(SEARCH(("프로젝트"),(I44))))</formula>
    </cfRule>
    <cfRule type="containsText" dxfId="5887" priority="11976" operator="containsText" text="기타">
      <formula>NOT(ISERROR(SEARCH(("기타"),(I44))))</formula>
    </cfRule>
    <cfRule type="containsText" dxfId="5886" priority="11975" operator="containsText" text="정규교과">
      <formula>NOT(ISERROR(SEARCH(("정규교과"),(I44))))</formula>
    </cfRule>
  </conditionalFormatting>
  <conditionalFormatting sqref="I48">
    <cfRule type="containsText" dxfId="5885" priority="11799" operator="containsText" text="기타">
      <formula>NOT(ISERROR(SEARCH(("기타"),(I48))))</formula>
    </cfRule>
    <cfRule type="containsText" dxfId="5884" priority="11800" operator="containsText" text="프로젝트">
      <formula>NOT(ISERROR(SEARCH(("프로젝트"),(I48))))</formula>
    </cfRule>
    <cfRule type="containsText" dxfId="5883" priority="11801" operator="containsText" text="정규교과">
      <formula>NOT(ISERROR(SEARCH(("정규교과"),(I48))))</formula>
    </cfRule>
    <cfRule type="containsText" dxfId="5882" priority="11802" operator="containsText" text="기타">
      <formula>NOT(ISERROR(SEARCH(("기타"),(I48))))</formula>
    </cfRule>
    <cfRule type="containsText" dxfId="5881" priority="11803" operator="containsText" text="프로젝트">
      <formula>NOT(ISERROR(SEARCH(("프로젝트"),(I48))))</formula>
    </cfRule>
    <cfRule type="containsText" dxfId="5880" priority="11804" operator="containsText" text="정규교과">
      <formula>NOT(ISERROR(SEARCH(("정규교과"),(I48))))</formula>
    </cfRule>
    <cfRule type="containsText" dxfId="5879" priority="11805" operator="containsText" text="기타">
      <formula>NOT(ISERROR(SEARCH(("기타"),(I48))))</formula>
    </cfRule>
    <cfRule type="containsText" dxfId="5878" priority="11806" operator="containsText" text="프로젝트">
      <formula>NOT(ISERROR(SEARCH(("프로젝트"),(I48))))</formula>
    </cfRule>
    <cfRule type="containsText" dxfId="5877" priority="11807" operator="containsText" text="정규교과">
      <formula>NOT(ISERROR(SEARCH(("정규교과"),(I48))))</formula>
    </cfRule>
    <cfRule type="containsText" dxfId="5876" priority="11808" operator="containsText" text="기타">
      <formula>NOT(ISERROR(SEARCH(("기타"),(I48))))</formula>
    </cfRule>
    <cfRule type="containsText" dxfId="5875" priority="11809" operator="containsText" text="프로젝트">
      <formula>NOT(ISERROR(SEARCH(("프로젝트"),(I48))))</formula>
    </cfRule>
    <cfRule type="containsText" dxfId="5874" priority="11810" operator="containsText" text="정규교과">
      <formula>NOT(ISERROR(SEARCH(("정규교과"),(I48))))</formula>
    </cfRule>
    <cfRule type="containsText" dxfId="5873" priority="11811" operator="containsText" text="기타">
      <formula>NOT(ISERROR(SEARCH(("기타"),(I48))))</formula>
    </cfRule>
    <cfRule type="containsText" dxfId="5872" priority="11812" operator="containsText" text="프로젝트">
      <formula>NOT(ISERROR(SEARCH(("프로젝트"),(I48))))</formula>
    </cfRule>
    <cfRule type="containsText" dxfId="5871" priority="11813" operator="containsText" text="정규교과">
      <formula>NOT(ISERROR(SEARCH(("정규교과"),(I48))))</formula>
    </cfRule>
    <cfRule type="containsText" dxfId="5870" priority="11814" operator="containsText" text="기타">
      <formula>NOT(ISERROR(SEARCH(("기타"),(I48))))</formula>
    </cfRule>
    <cfRule type="containsText" dxfId="5869" priority="11815" operator="containsText" text="프로젝트">
      <formula>NOT(ISERROR(SEARCH(("프로젝트"),(I48))))</formula>
    </cfRule>
    <cfRule type="containsText" dxfId="5868" priority="11816" operator="containsText" text="정규교과">
      <formula>NOT(ISERROR(SEARCH(("정규교과"),(I48))))</formula>
    </cfRule>
    <cfRule type="containsText" dxfId="5867" priority="11817" operator="containsText" text="기타">
      <formula>NOT(ISERROR(SEARCH(("기타"),(I48))))</formula>
    </cfRule>
    <cfRule type="containsText" dxfId="5866" priority="11818" operator="containsText" text="프로젝트">
      <formula>NOT(ISERROR(SEARCH(("프로젝트"),(I48))))</formula>
    </cfRule>
    <cfRule type="containsText" dxfId="5865" priority="11819" operator="containsText" text="정규교과">
      <formula>NOT(ISERROR(SEARCH(("정규교과"),(I48))))</formula>
    </cfRule>
    <cfRule type="containsText" dxfId="5864" priority="11821" operator="containsText" text="프로젝트">
      <formula>NOT(ISERROR(SEARCH(("프로젝트"),(I48))))</formula>
    </cfRule>
    <cfRule type="containsText" dxfId="5863" priority="11864" operator="containsText" text="정규교과">
      <formula>NOT(ISERROR(SEARCH(("정규교과"),(I48))))</formula>
    </cfRule>
    <cfRule type="containsText" dxfId="5862" priority="11822" operator="containsText" text="정규교과">
      <formula>NOT(ISERROR(SEARCH(("정규교과"),(I48))))</formula>
    </cfRule>
    <cfRule type="containsText" dxfId="5861" priority="11823" operator="containsText" text="기타">
      <formula>NOT(ISERROR(SEARCH(("기타"),(I48))))</formula>
    </cfRule>
    <cfRule type="containsText" dxfId="5860" priority="11824" operator="containsText" text="프로젝트">
      <formula>NOT(ISERROR(SEARCH(("프로젝트"),(I48))))</formula>
    </cfRule>
    <cfRule type="containsText" dxfId="5859" priority="11825" operator="containsText" text="정규교과">
      <formula>NOT(ISERROR(SEARCH(("정규교과"),(I48))))</formula>
    </cfRule>
    <cfRule type="containsText" dxfId="5858" priority="11826" operator="containsText" text="기타">
      <formula>NOT(ISERROR(SEARCH(("기타"),(I48))))</formula>
    </cfRule>
    <cfRule type="containsText" dxfId="5857" priority="11827" operator="containsText" text="프로젝트">
      <formula>NOT(ISERROR(SEARCH(("프로젝트"),(I48))))</formula>
    </cfRule>
    <cfRule type="containsText" dxfId="5856" priority="11828" operator="containsText" text="정규교과">
      <formula>NOT(ISERROR(SEARCH(("정규교과"),(I48))))</formula>
    </cfRule>
    <cfRule type="containsText" dxfId="5855" priority="11829" operator="containsText" text="기타">
      <formula>NOT(ISERROR(SEARCH(("기타"),(I48))))</formula>
    </cfRule>
    <cfRule type="containsText" dxfId="5854" priority="11830" operator="containsText" text="프로젝트">
      <formula>NOT(ISERROR(SEARCH(("프로젝트"),(I48))))</formula>
    </cfRule>
    <cfRule type="containsText" dxfId="5853" priority="11831" operator="containsText" text="정규교과">
      <formula>NOT(ISERROR(SEARCH(("정규교과"),(I48))))</formula>
    </cfRule>
    <cfRule type="containsText" dxfId="5852" priority="11832" operator="containsText" text="기타">
      <formula>NOT(ISERROR(SEARCH(("기타"),(I48))))</formula>
    </cfRule>
    <cfRule type="containsText" dxfId="5851" priority="11833" operator="containsText" text="프로젝트">
      <formula>NOT(ISERROR(SEARCH(("프로젝트"),(I48))))</formula>
    </cfRule>
    <cfRule type="containsText" dxfId="5850" priority="11834" operator="containsText" text="정규교과">
      <formula>NOT(ISERROR(SEARCH(("정규교과"),(I48))))</formula>
    </cfRule>
    <cfRule type="containsText" dxfId="5849" priority="11835" operator="containsText" text="기타">
      <formula>NOT(ISERROR(SEARCH(("기타"),(I48))))</formula>
    </cfRule>
    <cfRule type="containsText" dxfId="5848" priority="11836" operator="containsText" text="프로젝트">
      <formula>NOT(ISERROR(SEARCH(("프로젝트"),(I48))))</formula>
    </cfRule>
    <cfRule type="containsText" dxfId="5847" priority="11837" operator="containsText" text="정규교과">
      <formula>NOT(ISERROR(SEARCH(("정규교과"),(I48))))</formula>
    </cfRule>
    <cfRule type="containsText" dxfId="5846" priority="11838" operator="containsText" text="기타">
      <formula>NOT(ISERROR(SEARCH(("기타"),(I48))))</formula>
    </cfRule>
    <cfRule type="containsText" dxfId="5845" priority="11839" operator="containsText" text="프로젝트">
      <formula>NOT(ISERROR(SEARCH(("프로젝트"),(I48))))</formula>
    </cfRule>
    <cfRule type="containsText" dxfId="5844" priority="11840" operator="containsText" text="정규교과">
      <formula>NOT(ISERROR(SEARCH(("정규교과"),(I48))))</formula>
    </cfRule>
    <cfRule type="containsText" dxfId="5843" priority="11841" operator="containsText" text="기타">
      <formula>NOT(ISERROR(SEARCH(("기타"),(I48))))</formula>
    </cfRule>
    <cfRule type="containsText" dxfId="5842" priority="11842" operator="containsText" text="프로젝트">
      <formula>NOT(ISERROR(SEARCH(("프로젝트"),(I48))))</formula>
    </cfRule>
    <cfRule type="containsText" dxfId="5841" priority="11843" operator="containsText" text="정규교과">
      <formula>NOT(ISERROR(SEARCH(("정규교과"),(I48))))</formula>
    </cfRule>
    <cfRule type="containsText" dxfId="5840" priority="11844" operator="containsText" text="기타">
      <formula>NOT(ISERROR(SEARCH(("기타"),(I48))))</formula>
    </cfRule>
    <cfRule type="containsText" dxfId="5839" priority="11845" operator="containsText" text="프로젝트">
      <formula>NOT(ISERROR(SEARCH(("프로젝트"),(I48))))</formula>
    </cfRule>
    <cfRule type="containsText" dxfId="5838" priority="11846" operator="containsText" text="정규교과">
      <formula>NOT(ISERROR(SEARCH(("정규교과"),(I48))))</formula>
    </cfRule>
    <cfRule type="containsText" dxfId="5837" priority="11847" operator="containsText" text="기타">
      <formula>NOT(ISERROR(SEARCH(("기타"),(I48))))</formula>
    </cfRule>
    <cfRule type="containsText" dxfId="5836" priority="11848" operator="containsText" text="프로젝트">
      <formula>NOT(ISERROR(SEARCH(("프로젝트"),(I48))))</formula>
    </cfRule>
    <cfRule type="containsText" dxfId="5835" priority="11863" operator="containsText" text="프로젝트">
      <formula>NOT(ISERROR(SEARCH(("프로젝트"),(I48))))</formula>
    </cfRule>
    <cfRule type="containsText" dxfId="5834" priority="11820" operator="containsText" text="기타">
      <formula>NOT(ISERROR(SEARCH(("기타"),(I48))))</formula>
    </cfRule>
    <cfRule type="containsText" dxfId="5833" priority="11798" operator="containsText" text="정규교과">
      <formula>NOT(ISERROR(SEARCH(("정규교과"),(I48))))</formula>
    </cfRule>
    <cfRule type="containsText" dxfId="5832" priority="11861" operator="containsText" text="정규교과">
      <formula>NOT(ISERROR(SEARCH(("정규교과"),(I48))))</formula>
    </cfRule>
    <cfRule type="containsText" dxfId="5831" priority="11862" operator="containsText" text="기타">
      <formula>NOT(ISERROR(SEARCH(("기타"),(I48))))</formula>
    </cfRule>
    <cfRule type="containsText" dxfId="5830" priority="11860" operator="containsText" text="프로젝트">
      <formula>NOT(ISERROR(SEARCH(("프로젝트"),(I48))))</formula>
    </cfRule>
    <cfRule type="containsText" dxfId="5829" priority="11859" operator="containsText" text="기타">
      <formula>NOT(ISERROR(SEARCH(("기타"),(I48))))</formula>
    </cfRule>
    <cfRule type="containsText" dxfId="5828" priority="11858" operator="containsText" text="정규교과">
      <formula>NOT(ISERROR(SEARCH(("정규교과"),(I48))))</formula>
    </cfRule>
    <cfRule type="containsText" dxfId="5827" priority="11857" operator="containsText" text="프로젝트">
      <formula>NOT(ISERROR(SEARCH(("프로젝트"),(I48))))</formula>
    </cfRule>
    <cfRule type="containsText" dxfId="5826" priority="11856" operator="containsText" text="기타">
      <formula>NOT(ISERROR(SEARCH(("기타"),(I48))))</formula>
    </cfRule>
    <cfRule type="containsText" dxfId="5825" priority="11854" operator="containsText" text="프로젝트">
      <formula>NOT(ISERROR(SEARCH(("프로젝트"),(I48))))</formula>
    </cfRule>
    <cfRule type="containsText" dxfId="5824" priority="11853" operator="containsText" text="기타">
      <formula>NOT(ISERROR(SEARCH(("기타"),(I48))))</formula>
    </cfRule>
    <cfRule type="containsText" dxfId="5823" priority="11852" operator="containsText" text="정규교과">
      <formula>NOT(ISERROR(SEARCH(("정규교과"),(I48))))</formula>
    </cfRule>
    <cfRule type="containsText" dxfId="5822" priority="11851" operator="containsText" text="프로젝트">
      <formula>NOT(ISERROR(SEARCH(("프로젝트"),(I48))))</formula>
    </cfRule>
    <cfRule type="containsText" dxfId="5821" priority="11850" operator="containsText" text="기타">
      <formula>NOT(ISERROR(SEARCH(("기타"),(I48))))</formula>
    </cfRule>
    <cfRule type="containsText" dxfId="5820" priority="11849" operator="containsText" text="정규교과">
      <formula>NOT(ISERROR(SEARCH(("정규교과"),(I48))))</formula>
    </cfRule>
    <cfRule type="containsText" dxfId="5819" priority="11855" operator="containsText" text="정규교과">
      <formula>NOT(ISERROR(SEARCH(("정규교과"),(I48))))</formula>
    </cfRule>
    <cfRule type="containsText" dxfId="5818" priority="11871" operator="containsText" text="기타">
      <formula>NOT(ISERROR(SEARCH(("기타"),(I48))))</formula>
    </cfRule>
    <cfRule type="containsText" dxfId="5817" priority="11870" operator="containsText" text="정규교과">
      <formula>NOT(ISERROR(SEARCH(("정규교과"),(I48))))</formula>
    </cfRule>
    <cfRule type="containsText" dxfId="5816" priority="11869" operator="containsText" text="프로젝트">
      <formula>NOT(ISERROR(SEARCH(("프로젝트"),(I48))))</formula>
    </cfRule>
    <cfRule type="containsText" dxfId="5815" priority="11868" operator="containsText" text="기타">
      <formula>NOT(ISERROR(SEARCH(("기타"),(I48))))</formula>
    </cfRule>
    <cfRule type="containsText" dxfId="5814" priority="11867" operator="containsText" text="정규교과">
      <formula>NOT(ISERROR(SEARCH(("정규교과"),(I48))))</formula>
    </cfRule>
    <cfRule type="containsText" dxfId="5813" priority="11866" operator="containsText" text="프로젝트">
      <formula>NOT(ISERROR(SEARCH(("프로젝트"),(I48))))</formula>
    </cfRule>
    <cfRule type="containsText" dxfId="5812" priority="11865" operator="containsText" text="기타">
      <formula>NOT(ISERROR(SEARCH(("기타"),(I48))))</formula>
    </cfRule>
  </conditionalFormatting>
  <conditionalFormatting sqref="I53">
    <cfRule type="containsText" dxfId="5811" priority="11687" operator="containsText" text="정규교과">
      <formula>NOT(ISERROR(SEARCH(("정규교과"),(I53))))</formula>
    </cfRule>
    <cfRule type="containsText" dxfId="5810" priority="11666" operator="containsText" text="정규교과">
      <formula>NOT(ISERROR(SEARCH(("정규교과"),(I53))))</formula>
    </cfRule>
    <cfRule type="containsText" dxfId="5809" priority="11725" operator="containsText" text="프로젝트">
      <formula>NOT(ISERROR(SEARCH(("프로젝트"),(I53))))</formula>
    </cfRule>
    <cfRule type="containsText" dxfId="5808" priority="11724" operator="containsText" text="기타">
      <formula>NOT(ISERROR(SEARCH(("기타"),(I53))))</formula>
    </cfRule>
    <cfRule type="containsText" dxfId="5807" priority="11723" operator="containsText" text="정규교과">
      <formula>NOT(ISERROR(SEARCH(("정규교과"),(I53))))</formula>
    </cfRule>
    <cfRule type="containsText" dxfId="5806" priority="11722" operator="containsText" text="프로젝트">
      <formula>NOT(ISERROR(SEARCH(("프로젝트"),(I53))))</formula>
    </cfRule>
    <cfRule type="containsText" dxfId="5805" priority="11721" operator="containsText" text="기타">
      <formula>NOT(ISERROR(SEARCH(("기타"),(I53))))</formula>
    </cfRule>
    <cfRule type="containsText" dxfId="5804" priority="11665" operator="containsText" text="프로젝트">
      <formula>NOT(ISERROR(SEARCH(("프로젝트"),(I53))))</formula>
    </cfRule>
    <cfRule type="containsText" dxfId="5803" priority="11716" operator="containsText" text="프로젝트">
      <formula>NOT(ISERROR(SEARCH(("프로젝트"),(I53))))</formula>
    </cfRule>
    <cfRule type="containsText" dxfId="5802" priority="11715" operator="containsText" text="기타">
      <formula>NOT(ISERROR(SEARCH(("기타"),(I53))))</formula>
    </cfRule>
    <cfRule type="containsText" dxfId="5801" priority="11714" operator="containsText" text="정규교과">
      <formula>NOT(ISERROR(SEARCH(("정규교과"),(I53))))</formula>
    </cfRule>
    <cfRule type="containsText" dxfId="5800" priority="11727" operator="containsText" text="기타">
      <formula>NOT(ISERROR(SEARCH(("기타"),(I53))))</formula>
    </cfRule>
    <cfRule type="containsText" dxfId="5799" priority="11713" operator="containsText" text="프로젝트">
      <formula>NOT(ISERROR(SEARCH(("프로젝트"),(I53))))</formula>
    </cfRule>
    <cfRule type="containsText" dxfId="5798" priority="11712" operator="containsText" text="기타">
      <formula>NOT(ISERROR(SEARCH(("기타"),(I53))))</formula>
    </cfRule>
    <cfRule type="containsText" dxfId="5797" priority="11711" operator="containsText" text="정규교과">
      <formula>NOT(ISERROR(SEARCH(("정규교과"),(I53))))</formula>
    </cfRule>
    <cfRule type="containsText" dxfId="5796" priority="11710" operator="containsText" text="프로젝트">
      <formula>NOT(ISERROR(SEARCH(("프로젝트"),(I53))))</formula>
    </cfRule>
    <cfRule type="containsText" dxfId="5795" priority="11709" operator="containsText" text="기타">
      <formula>NOT(ISERROR(SEARCH(("기타"),(I53))))</formula>
    </cfRule>
    <cfRule type="containsText" dxfId="5794" priority="11708" operator="containsText" text="정규교과">
      <formula>NOT(ISERROR(SEARCH(("정규교과"),(I53))))</formula>
    </cfRule>
    <cfRule type="containsText" dxfId="5793" priority="11702" operator="containsText" text="정규교과">
      <formula>NOT(ISERROR(SEARCH(("정규교과"),(I53))))</formula>
    </cfRule>
    <cfRule type="containsText" dxfId="5792" priority="11707" operator="containsText" text="프로젝트">
      <formula>NOT(ISERROR(SEARCH(("프로젝트"),(I53))))</formula>
    </cfRule>
    <cfRule type="containsText" dxfId="5791" priority="11706" operator="containsText" text="기타">
      <formula>NOT(ISERROR(SEARCH(("기타"),(I53))))</formula>
    </cfRule>
    <cfRule type="containsText" dxfId="5790" priority="11700" operator="containsText" text="기타">
      <formula>NOT(ISERROR(SEARCH(("기타"),(I53))))</formula>
    </cfRule>
    <cfRule type="containsText" dxfId="5789" priority="11705" operator="containsText" text="정규교과">
      <formula>NOT(ISERROR(SEARCH(("정규교과"),(I53))))</formula>
    </cfRule>
    <cfRule type="containsText" dxfId="5788" priority="11704" operator="containsText" text="프로젝트">
      <formula>NOT(ISERROR(SEARCH(("프로젝트"),(I53))))</formula>
    </cfRule>
    <cfRule type="containsText" dxfId="5787" priority="11699" operator="containsText" text="정규교과">
      <formula>NOT(ISERROR(SEARCH(("정규교과"),(I53))))</formula>
    </cfRule>
    <cfRule type="containsText" dxfId="5786" priority="11698" operator="containsText" text="프로젝트">
      <formula>NOT(ISERROR(SEARCH(("프로젝트"),(I53))))</formula>
    </cfRule>
    <cfRule type="containsText" dxfId="5785" priority="11697" operator="containsText" text="기타">
      <formula>NOT(ISERROR(SEARCH(("기타"),(I53))))</formula>
    </cfRule>
    <cfRule type="containsText" dxfId="5784" priority="11696" operator="containsText" text="정규교과">
      <formula>NOT(ISERROR(SEARCH(("정규교과"),(I53))))</formula>
    </cfRule>
    <cfRule type="containsText" dxfId="5783" priority="11695" operator="containsText" text="프로젝트">
      <formula>NOT(ISERROR(SEARCH(("프로젝트"),(I53))))</formula>
    </cfRule>
    <cfRule type="containsText" dxfId="5782" priority="11694" operator="containsText" text="기타">
      <formula>NOT(ISERROR(SEARCH(("기타"),(I53))))</formula>
    </cfRule>
    <cfRule type="containsText" dxfId="5781" priority="11693" operator="containsText" text="정규교과">
      <formula>NOT(ISERROR(SEARCH(("정규교과"),(I53))))</formula>
    </cfRule>
    <cfRule type="containsText" dxfId="5780" priority="11692" operator="containsText" text="프로젝트">
      <formula>NOT(ISERROR(SEARCH(("프로젝트"),(I53))))</formula>
    </cfRule>
    <cfRule type="containsText" dxfId="5779" priority="11691" operator="containsText" text="기타">
      <formula>NOT(ISERROR(SEARCH(("기타"),(I53))))</formula>
    </cfRule>
    <cfRule type="containsText" dxfId="5778" priority="11690" operator="containsText" text="정규교과">
      <formula>NOT(ISERROR(SEARCH(("정규교과"),(I53))))</formula>
    </cfRule>
    <cfRule type="containsText" dxfId="5777" priority="11689" operator="containsText" text="프로젝트">
      <formula>NOT(ISERROR(SEARCH(("프로젝트"),(I53))))</formula>
    </cfRule>
    <cfRule type="containsText" dxfId="5776" priority="11688" operator="containsText" text="기타">
      <formula>NOT(ISERROR(SEARCH(("기타"),(I53))))</formula>
    </cfRule>
    <cfRule type="containsText" dxfId="5775" priority="11703" operator="containsText" text="기타">
      <formula>NOT(ISERROR(SEARCH(("기타"),(I53))))</formula>
    </cfRule>
    <cfRule type="containsText" dxfId="5774" priority="11686" operator="containsText" text="프로젝트">
      <formula>NOT(ISERROR(SEARCH(("프로젝트"),(I53))))</formula>
    </cfRule>
    <cfRule type="containsText" dxfId="5773" priority="11685" operator="containsText" text="기타">
      <formula>NOT(ISERROR(SEARCH(("기타"),(I53))))</formula>
    </cfRule>
    <cfRule type="containsText" dxfId="5772" priority="11684" operator="containsText" text="정규교과">
      <formula>NOT(ISERROR(SEARCH(("정규교과"),(I53))))</formula>
    </cfRule>
    <cfRule type="containsText" dxfId="5771" priority="11683" operator="containsText" text="프로젝트">
      <formula>NOT(ISERROR(SEARCH(("프로젝트"),(I53))))</formula>
    </cfRule>
    <cfRule type="containsText" dxfId="5770" priority="11682" operator="containsText" text="기타">
      <formula>NOT(ISERROR(SEARCH(("기타"),(I53))))</formula>
    </cfRule>
    <cfRule type="containsText" dxfId="5769" priority="11681" operator="containsText" text="정규교과">
      <formula>NOT(ISERROR(SEARCH(("정규교과"),(I53))))</formula>
    </cfRule>
    <cfRule type="containsText" dxfId="5768" priority="11680" operator="containsText" text="프로젝트">
      <formula>NOT(ISERROR(SEARCH(("프로젝트"),(I53))))</formula>
    </cfRule>
    <cfRule type="containsText" dxfId="5767" priority="11679" operator="containsText" text="기타">
      <formula>NOT(ISERROR(SEARCH(("기타"),(I53))))</formula>
    </cfRule>
    <cfRule type="containsText" dxfId="5766" priority="11678" operator="containsText" text="정규교과">
      <formula>NOT(ISERROR(SEARCH(("정규교과"),(I53))))</formula>
    </cfRule>
    <cfRule type="containsText" dxfId="5765" priority="11677" operator="containsText" text="프로젝트">
      <formula>NOT(ISERROR(SEARCH(("프로젝트"),(I53))))</formula>
    </cfRule>
    <cfRule type="containsText" dxfId="5764" priority="11676" operator="containsText" text="기타">
      <formula>NOT(ISERROR(SEARCH(("기타"),(I53))))</formula>
    </cfRule>
    <cfRule type="containsText" dxfId="5763" priority="11675" operator="containsText" text="정규교과">
      <formula>NOT(ISERROR(SEARCH(("정규교과"),(I53))))</formula>
    </cfRule>
    <cfRule type="containsText" dxfId="5762" priority="11674" operator="containsText" text="프로젝트">
      <formula>NOT(ISERROR(SEARCH(("프로젝트"),(I53))))</formula>
    </cfRule>
    <cfRule type="containsText" dxfId="5761" priority="11673" operator="containsText" text="기타">
      <formula>NOT(ISERROR(SEARCH(("기타"),(I53))))</formula>
    </cfRule>
    <cfRule type="containsText" dxfId="5760" priority="11672" operator="containsText" text="정규교과">
      <formula>NOT(ISERROR(SEARCH(("정규교과"),(I53))))</formula>
    </cfRule>
    <cfRule type="containsText" dxfId="5759" priority="11671" operator="containsText" text="프로젝트">
      <formula>NOT(ISERROR(SEARCH(("프로젝트"),(I53))))</formula>
    </cfRule>
    <cfRule type="containsText" dxfId="5758" priority="11670" operator="containsText" text="기타">
      <formula>NOT(ISERROR(SEARCH(("기타"),(I53))))</formula>
    </cfRule>
    <cfRule type="containsText" dxfId="5757" priority="11669" operator="containsText" text="정규교과">
      <formula>NOT(ISERROR(SEARCH(("정규교과"),(I53))))</formula>
    </cfRule>
    <cfRule type="containsText" dxfId="5756" priority="11668" operator="containsText" text="프로젝트">
      <formula>NOT(ISERROR(SEARCH(("프로젝트"),(I53))))</formula>
    </cfRule>
    <cfRule type="containsText" dxfId="5755" priority="11667" operator="containsText" text="기타">
      <formula>NOT(ISERROR(SEARCH(("기타"),(I53))))</formula>
    </cfRule>
    <cfRule type="containsText" dxfId="5754" priority="11701" operator="containsText" text="프로젝트">
      <formula>NOT(ISERROR(SEARCH(("프로젝트"),(I53))))</formula>
    </cfRule>
    <cfRule type="containsText" dxfId="5753" priority="11663" operator="containsText" text="정규교과">
      <formula>NOT(ISERROR(SEARCH(("정규교과"),(I53))))</formula>
    </cfRule>
    <cfRule type="containsText" dxfId="5752" priority="11728" operator="containsText" text="프로젝트">
      <formula>NOT(ISERROR(SEARCH(("프로젝트"),(I53))))</formula>
    </cfRule>
    <cfRule type="containsText" dxfId="5751" priority="11662" operator="containsText" text="프로젝트">
      <formula>NOT(ISERROR(SEARCH(("프로젝트"),(I53))))</formula>
    </cfRule>
    <cfRule type="containsText" dxfId="5750" priority="11661" operator="containsText" text="기타">
      <formula>NOT(ISERROR(SEARCH(("기타"),(I53))))</formula>
    </cfRule>
    <cfRule type="containsText" dxfId="5749" priority="11660" operator="containsText" text="정규교과">
      <formula>NOT(ISERROR(SEARCH(("정규교과"),(I53))))</formula>
    </cfRule>
    <cfRule type="containsText" dxfId="5748" priority="11659" operator="containsText" text="프로젝트">
      <formula>NOT(ISERROR(SEARCH(("프로젝트"),(I53))))</formula>
    </cfRule>
    <cfRule type="containsText" dxfId="5747" priority="11657" operator="containsText" text="정규교과">
      <formula>NOT(ISERROR(SEARCH(("정규교과"),(I53))))</formula>
    </cfRule>
    <cfRule type="containsText" dxfId="5746" priority="11658" operator="containsText" text="기타">
      <formula>NOT(ISERROR(SEARCH(("기타"),(I53))))</formula>
    </cfRule>
    <cfRule type="containsText" dxfId="5745" priority="11726" operator="containsText" text="정규교과">
      <formula>NOT(ISERROR(SEARCH(("정규교과"),(I53))))</formula>
    </cfRule>
    <cfRule type="containsText" dxfId="5744" priority="11729" operator="containsText" text="정규교과">
      <formula>NOT(ISERROR(SEARCH(("정규교과"),(I53))))</formula>
    </cfRule>
    <cfRule type="containsText" dxfId="5743" priority="11664" operator="containsText" text="기타">
      <formula>NOT(ISERROR(SEARCH(("기타"),(I53))))</formula>
    </cfRule>
    <cfRule type="containsText" dxfId="5742" priority="11720" operator="containsText" text="정규교과">
      <formula>NOT(ISERROR(SEARCH(("정규교과"),(I53))))</formula>
    </cfRule>
    <cfRule type="containsText" dxfId="5741" priority="11719" operator="containsText" text="프로젝트">
      <formula>NOT(ISERROR(SEARCH(("프로젝트"),(I53))))</formula>
    </cfRule>
    <cfRule type="containsText" dxfId="5740" priority="11718" operator="containsText" text="기타">
      <formula>NOT(ISERROR(SEARCH(("기타"),(I53))))</formula>
    </cfRule>
    <cfRule type="containsText" dxfId="5739" priority="11717" operator="containsText" text="정규교과">
      <formula>NOT(ISERROR(SEARCH(("정규교과"),(I53))))</formula>
    </cfRule>
    <cfRule type="containsText" dxfId="5738" priority="11730" operator="containsText" text="기타">
      <formula>NOT(ISERROR(SEARCH(("기타"),(I53))))</formula>
    </cfRule>
  </conditionalFormatting>
  <conditionalFormatting sqref="I57">
    <cfRule type="containsText" dxfId="5737" priority="11555" operator="containsText" text="정규교과">
      <formula>NOT(ISERROR(SEARCH(("정규교과"),(I57))))</formula>
    </cfRule>
    <cfRule type="containsText" dxfId="5736" priority="11516" operator="containsText" text="정규교과">
      <formula>NOT(ISERROR(SEARCH(("정규교과"),(I57))))</formula>
    </cfRule>
    <cfRule type="containsText" dxfId="5735" priority="11540" operator="containsText" text="정규교과">
      <formula>NOT(ISERROR(SEARCH(("정규교과"),(I57))))</formula>
    </cfRule>
    <cfRule type="containsText" dxfId="5734" priority="11541" operator="containsText" text="기타">
      <formula>NOT(ISERROR(SEARCH(("기타"),(I57))))</formula>
    </cfRule>
    <cfRule type="containsText" dxfId="5733" priority="11542" operator="containsText" text="프로젝트">
      <formula>NOT(ISERROR(SEARCH(("프로젝트"),(I57))))</formula>
    </cfRule>
    <cfRule type="containsText" dxfId="5732" priority="11543" operator="containsText" text="정규교과">
      <formula>NOT(ISERROR(SEARCH(("정규교과"),(I57))))</formula>
    </cfRule>
    <cfRule type="containsText" dxfId="5731" priority="11544" operator="containsText" text="기타">
      <formula>NOT(ISERROR(SEARCH(("기타"),(I57))))</formula>
    </cfRule>
    <cfRule type="containsText" dxfId="5730" priority="11545" operator="containsText" text="프로젝트">
      <formula>NOT(ISERROR(SEARCH(("프로젝트"),(I57))))</formula>
    </cfRule>
    <cfRule type="containsText" dxfId="5729" priority="11546" operator="containsText" text="정규교과">
      <formula>NOT(ISERROR(SEARCH(("정규교과"),(I57))))</formula>
    </cfRule>
    <cfRule type="containsText" dxfId="5728" priority="11547" operator="containsText" text="기타">
      <formula>NOT(ISERROR(SEARCH(("기타"),(I57))))</formula>
    </cfRule>
    <cfRule type="containsText" dxfId="5727" priority="11548" operator="containsText" text="프로젝트">
      <formula>NOT(ISERROR(SEARCH(("프로젝트"),(I57))))</formula>
    </cfRule>
    <cfRule type="containsText" dxfId="5726" priority="11549" operator="containsText" text="정규교과">
      <formula>NOT(ISERROR(SEARCH(("정규교과"),(I57))))</formula>
    </cfRule>
    <cfRule type="containsText" dxfId="5725" priority="11550" operator="containsText" text="기타">
      <formula>NOT(ISERROR(SEARCH(("기타"),(I57))))</formula>
    </cfRule>
    <cfRule type="containsText" dxfId="5724" priority="11551" operator="containsText" text="프로젝트">
      <formula>NOT(ISERROR(SEARCH(("프로젝트"),(I57))))</formula>
    </cfRule>
    <cfRule type="containsText" dxfId="5723" priority="11552" operator="containsText" text="정규교과">
      <formula>NOT(ISERROR(SEARCH(("정규교과"),(I57))))</formula>
    </cfRule>
    <cfRule type="containsText" dxfId="5722" priority="11553" operator="containsText" text="기타">
      <formula>NOT(ISERROR(SEARCH(("기타"),(I57))))</formula>
    </cfRule>
    <cfRule type="containsText" dxfId="5721" priority="11554" operator="containsText" text="프로젝트">
      <formula>NOT(ISERROR(SEARCH(("프로젝트"),(I57))))</formula>
    </cfRule>
    <cfRule type="containsText" dxfId="5720" priority="11575" operator="containsText" text="프로젝트">
      <formula>NOT(ISERROR(SEARCH(("프로젝트"),(I57))))</formula>
    </cfRule>
    <cfRule type="containsText" dxfId="5719" priority="11576" operator="containsText" text="정규교과">
      <formula>NOT(ISERROR(SEARCH(("정규교과"),(I57))))</formula>
    </cfRule>
    <cfRule type="containsText" dxfId="5718" priority="11577" operator="containsText" text="기타">
      <formula>NOT(ISERROR(SEARCH(("기타"),(I57))))</formula>
    </cfRule>
    <cfRule type="containsText" dxfId="5717" priority="11578" operator="containsText" text="프로젝트">
      <formula>NOT(ISERROR(SEARCH(("프로젝트"),(I57))))</formula>
    </cfRule>
    <cfRule type="containsText" dxfId="5716" priority="11528" operator="containsText" text="정규교과">
      <formula>NOT(ISERROR(SEARCH(("정규교과"),(I57))))</formula>
    </cfRule>
    <cfRule type="containsText" dxfId="5715" priority="11529" operator="containsText" text="기타">
      <formula>NOT(ISERROR(SEARCH(("기타"),(I57))))</formula>
    </cfRule>
    <cfRule type="containsText" dxfId="5714" priority="11530" operator="containsText" text="프로젝트">
      <formula>NOT(ISERROR(SEARCH(("프로젝트"),(I57))))</formula>
    </cfRule>
    <cfRule type="containsText" dxfId="5713" priority="11531" operator="containsText" text="정규교과">
      <formula>NOT(ISERROR(SEARCH(("정규교과"),(I57))))</formula>
    </cfRule>
    <cfRule type="containsText" dxfId="5712" priority="11532" operator="containsText" text="기타">
      <formula>NOT(ISERROR(SEARCH(("기타"),(I57))))</formula>
    </cfRule>
    <cfRule type="containsText" dxfId="5711" priority="11579" operator="containsText" text="정규교과">
      <formula>NOT(ISERROR(SEARCH(("정규교과"),(I57))))</formula>
    </cfRule>
    <cfRule type="containsText" dxfId="5710" priority="11533" operator="containsText" text="프로젝트">
      <formula>NOT(ISERROR(SEARCH(("프로젝트"),(I57))))</formula>
    </cfRule>
    <cfRule type="containsText" dxfId="5709" priority="11589" operator="containsText" text="기타">
      <formula>NOT(ISERROR(SEARCH(("기타"),(I57))))</formula>
    </cfRule>
    <cfRule type="containsText" dxfId="5708" priority="11539" operator="containsText" text="프로젝트">
      <formula>NOT(ISERROR(SEARCH(("프로젝트"),(I57))))</formula>
    </cfRule>
    <cfRule type="containsText" dxfId="5707" priority="11517" operator="containsText" text="기타">
      <formula>NOT(ISERROR(SEARCH(("기타"),(I57))))</formula>
    </cfRule>
    <cfRule type="containsText" dxfId="5706" priority="11518" operator="containsText" text="프로젝트">
      <formula>NOT(ISERROR(SEARCH(("프로젝트"),(I57))))</formula>
    </cfRule>
    <cfRule type="containsText" dxfId="5705" priority="11519" operator="containsText" text="정규교과">
      <formula>NOT(ISERROR(SEARCH(("정규교과"),(I57))))</formula>
    </cfRule>
    <cfRule type="containsText" dxfId="5704" priority="11520" operator="containsText" text="기타">
      <formula>NOT(ISERROR(SEARCH(("기타"),(I57))))</formula>
    </cfRule>
    <cfRule type="containsText" dxfId="5703" priority="11521" operator="containsText" text="프로젝트">
      <formula>NOT(ISERROR(SEARCH(("프로젝트"),(I57))))</formula>
    </cfRule>
    <cfRule type="containsText" dxfId="5702" priority="11587" operator="containsText" text="프로젝트">
      <formula>NOT(ISERROR(SEARCH(("프로젝트"),(I57))))</formula>
    </cfRule>
    <cfRule type="containsText" dxfId="5701" priority="11522" operator="containsText" text="정규교과">
      <formula>NOT(ISERROR(SEARCH(("정규교과"),(I57))))</formula>
    </cfRule>
    <cfRule type="containsText" dxfId="5700" priority="11523" operator="containsText" text="기타">
      <formula>NOT(ISERROR(SEARCH(("기타"),(I57))))</formula>
    </cfRule>
    <cfRule type="containsText" dxfId="5699" priority="11524" operator="containsText" text="프로젝트">
      <formula>NOT(ISERROR(SEARCH(("프로젝트"),(I57))))</formula>
    </cfRule>
    <cfRule type="containsText" dxfId="5698" priority="11525" operator="containsText" text="정규교과">
      <formula>NOT(ISERROR(SEARCH(("정규교과"),(I57))))</formula>
    </cfRule>
    <cfRule type="containsText" dxfId="5697" priority="11526" operator="containsText" text="기타">
      <formula>NOT(ISERROR(SEARCH(("기타"),(I57))))</formula>
    </cfRule>
    <cfRule type="containsText" dxfId="5696" priority="11527" operator="containsText" text="프로젝트">
      <formula>NOT(ISERROR(SEARCH(("프로젝트"),(I57))))</formula>
    </cfRule>
    <cfRule type="containsText" dxfId="5695" priority="11586" operator="containsText" text="기타">
      <formula>NOT(ISERROR(SEARCH(("기타"),(I57))))</formula>
    </cfRule>
    <cfRule type="containsText" dxfId="5694" priority="11585" operator="containsText" text="정규교과">
      <formula>NOT(ISERROR(SEARCH(("정규교과"),(I57))))</formula>
    </cfRule>
    <cfRule type="containsText" dxfId="5693" priority="11584" operator="containsText" text="프로젝트">
      <formula>NOT(ISERROR(SEARCH(("프로젝트"),(I57))))</formula>
    </cfRule>
    <cfRule type="containsText" dxfId="5692" priority="11583" operator="containsText" text="기타">
      <formula>NOT(ISERROR(SEARCH(("기타"),(I57))))</formula>
    </cfRule>
    <cfRule type="containsText" dxfId="5691" priority="11535" operator="containsText" text="기타">
      <formula>NOT(ISERROR(SEARCH(("기타"),(I57))))</formula>
    </cfRule>
    <cfRule type="containsText" dxfId="5690" priority="11582" operator="containsText" text="정규교과">
      <formula>NOT(ISERROR(SEARCH(("정규교과"),(I57))))</formula>
    </cfRule>
    <cfRule type="containsText" dxfId="5689" priority="11580" operator="containsText" text="기타">
      <formula>NOT(ISERROR(SEARCH(("기타"),(I57))))</formula>
    </cfRule>
    <cfRule type="containsText" dxfId="5688" priority="11536" operator="containsText" text="프로젝트">
      <formula>NOT(ISERROR(SEARCH(("프로젝트"),(I57))))</formula>
    </cfRule>
    <cfRule type="containsText" dxfId="5687" priority="11558" operator="containsText" text="정규교과">
      <formula>NOT(ISERROR(SEARCH(("정규교과"),(I57))))</formula>
    </cfRule>
    <cfRule type="containsText" dxfId="5686" priority="11559" operator="containsText" text="기타">
      <formula>NOT(ISERROR(SEARCH(("기타"),(I57))))</formula>
    </cfRule>
    <cfRule type="containsText" dxfId="5685" priority="11560" operator="containsText" text="프로젝트">
      <formula>NOT(ISERROR(SEARCH(("프로젝트"),(I57))))</formula>
    </cfRule>
    <cfRule type="containsText" dxfId="5684" priority="11561" operator="containsText" text="정규교과">
      <formula>NOT(ISERROR(SEARCH(("정규교과"),(I57))))</formula>
    </cfRule>
    <cfRule type="containsText" dxfId="5683" priority="11562" operator="containsText" text="기타">
      <formula>NOT(ISERROR(SEARCH(("기타"),(I57))))</formula>
    </cfRule>
    <cfRule type="containsText" dxfId="5682" priority="11563" operator="containsText" text="프로젝트">
      <formula>NOT(ISERROR(SEARCH(("프로젝트"),(I57))))</formula>
    </cfRule>
    <cfRule type="containsText" dxfId="5681" priority="11564" operator="containsText" text="정규교과">
      <formula>NOT(ISERROR(SEARCH(("정규교과"),(I57))))</formula>
    </cfRule>
    <cfRule type="containsText" dxfId="5680" priority="11565" operator="containsText" text="기타">
      <formula>NOT(ISERROR(SEARCH(("기타"),(I57))))</formula>
    </cfRule>
    <cfRule type="containsText" dxfId="5679" priority="11566" operator="containsText" text="프로젝트">
      <formula>NOT(ISERROR(SEARCH(("프로젝트"),(I57))))</formula>
    </cfRule>
    <cfRule type="containsText" dxfId="5678" priority="11567" operator="containsText" text="정규교과">
      <formula>NOT(ISERROR(SEARCH(("정규교과"),(I57))))</formula>
    </cfRule>
    <cfRule type="containsText" dxfId="5677" priority="11568" operator="containsText" text="기타">
      <formula>NOT(ISERROR(SEARCH(("기타"),(I57))))</formula>
    </cfRule>
    <cfRule type="containsText" dxfId="5676" priority="11569" operator="containsText" text="프로젝트">
      <formula>NOT(ISERROR(SEARCH(("프로젝트"),(I57))))</formula>
    </cfRule>
    <cfRule type="containsText" dxfId="5675" priority="11570" operator="containsText" text="정규교과">
      <formula>NOT(ISERROR(SEARCH(("정규교과"),(I57))))</formula>
    </cfRule>
    <cfRule type="containsText" dxfId="5674" priority="11571" operator="containsText" text="기타">
      <formula>NOT(ISERROR(SEARCH(("기타"),(I57))))</formula>
    </cfRule>
    <cfRule type="containsText" dxfId="5673" priority="11572" operator="containsText" text="프로젝트">
      <formula>NOT(ISERROR(SEARCH(("프로젝트"),(I57))))</formula>
    </cfRule>
    <cfRule type="containsText" dxfId="5672" priority="11573" operator="containsText" text="정규교과">
      <formula>NOT(ISERROR(SEARCH(("정규교과"),(I57))))</formula>
    </cfRule>
    <cfRule type="containsText" dxfId="5671" priority="11574" operator="containsText" text="기타">
      <formula>NOT(ISERROR(SEARCH(("기타"),(I57))))</formula>
    </cfRule>
    <cfRule type="containsText" dxfId="5670" priority="11581" operator="containsText" text="프로젝트">
      <formula>NOT(ISERROR(SEARCH(("프로젝트"),(I57))))</formula>
    </cfRule>
    <cfRule type="containsText" dxfId="5669" priority="11537" operator="containsText" text="정규교과">
      <formula>NOT(ISERROR(SEARCH(("정규교과"),(I57))))</formula>
    </cfRule>
    <cfRule type="containsText" dxfId="5668" priority="11538" operator="containsText" text="기타">
      <formula>NOT(ISERROR(SEARCH(("기타"),(I57))))</formula>
    </cfRule>
    <cfRule type="containsText" dxfId="5667" priority="11534" operator="containsText" text="정규교과">
      <formula>NOT(ISERROR(SEARCH(("정규교과"),(I57))))</formula>
    </cfRule>
    <cfRule type="containsText" dxfId="5666" priority="11557" operator="containsText" text="프로젝트">
      <formula>NOT(ISERROR(SEARCH(("프로젝트"),(I57))))</formula>
    </cfRule>
    <cfRule type="containsText" dxfId="5665" priority="11556" operator="containsText" text="기타">
      <formula>NOT(ISERROR(SEARCH(("기타"),(I57))))</formula>
    </cfRule>
    <cfRule type="containsText" dxfId="5664" priority="11588" operator="containsText" text="정규교과">
      <formula>NOT(ISERROR(SEARCH(("정규교과"),(I57))))</formula>
    </cfRule>
  </conditionalFormatting>
  <conditionalFormatting sqref="I61">
    <cfRule type="containsText" dxfId="5663" priority="11391" operator="containsText" text="기타">
      <formula>NOT(ISERROR(SEARCH(("기타"),(I61))))</formula>
    </cfRule>
    <cfRule type="containsText" dxfId="5662" priority="11392" operator="containsText" text="프로젝트">
      <formula>NOT(ISERROR(SEARCH(("프로젝트"),(I61))))</formula>
    </cfRule>
    <cfRule type="containsText" dxfId="5661" priority="11393" operator="containsText" text="정규교과">
      <formula>NOT(ISERROR(SEARCH(("정규교과"),(I61))))</formula>
    </cfRule>
    <cfRule type="containsText" dxfId="5660" priority="11394" operator="containsText" text="기타">
      <formula>NOT(ISERROR(SEARCH(("기타"),(I61))))</formula>
    </cfRule>
    <cfRule type="containsText" dxfId="5659" priority="11395" operator="containsText" text="프로젝트">
      <formula>NOT(ISERROR(SEARCH(("프로젝트"),(I61))))</formula>
    </cfRule>
    <cfRule type="containsText" dxfId="5658" priority="11396" operator="containsText" text="정규교과">
      <formula>NOT(ISERROR(SEARCH(("정규교과"),(I61))))</formula>
    </cfRule>
    <cfRule type="containsText" dxfId="5657" priority="11397" operator="containsText" text="기타">
      <formula>NOT(ISERROR(SEARCH(("기타"),(I61))))</formula>
    </cfRule>
    <cfRule type="containsText" dxfId="5656" priority="11398" operator="containsText" text="프로젝트">
      <formula>NOT(ISERROR(SEARCH(("프로젝트"),(I61))))</formula>
    </cfRule>
    <cfRule type="containsText" dxfId="5655" priority="11399" operator="containsText" text="정규교과">
      <formula>NOT(ISERROR(SEARCH(("정규교과"),(I61))))</formula>
    </cfRule>
    <cfRule type="containsText" dxfId="5654" priority="11400" operator="containsText" text="기타">
      <formula>NOT(ISERROR(SEARCH(("기타"),(I61))))</formula>
    </cfRule>
    <cfRule type="containsText" dxfId="5653" priority="11401" operator="containsText" text="프로젝트">
      <formula>NOT(ISERROR(SEARCH(("프로젝트"),(I61))))</formula>
    </cfRule>
    <cfRule type="containsText" dxfId="5652" priority="11402" operator="containsText" text="정규교과">
      <formula>NOT(ISERROR(SEARCH(("정규교과"),(I61))))</formula>
    </cfRule>
    <cfRule type="containsText" dxfId="5651" priority="11403" operator="containsText" text="기타">
      <formula>NOT(ISERROR(SEARCH(("기타"),(I61))))</formula>
    </cfRule>
    <cfRule type="containsText" dxfId="5650" priority="11404" operator="containsText" text="프로젝트">
      <formula>NOT(ISERROR(SEARCH(("프로젝트"),(I61))))</formula>
    </cfRule>
    <cfRule type="containsText" dxfId="5649" priority="11405" operator="containsText" text="정규교과">
      <formula>NOT(ISERROR(SEARCH(("정규교과"),(I61))))</formula>
    </cfRule>
    <cfRule type="containsText" dxfId="5648" priority="11406" operator="containsText" text="기타">
      <formula>NOT(ISERROR(SEARCH(("기타"),(I61))))</formula>
    </cfRule>
    <cfRule type="containsText" dxfId="5647" priority="11407" operator="containsText" text="프로젝트">
      <formula>NOT(ISERROR(SEARCH(("프로젝트"),(I61))))</formula>
    </cfRule>
    <cfRule type="containsText" dxfId="5646" priority="11408" operator="containsText" text="정규교과">
      <formula>NOT(ISERROR(SEARCH(("정규교과"),(I61))))</formula>
    </cfRule>
    <cfRule type="containsText" dxfId="5645" priority="11409" operator="containsText" text="기타">
      <formula>NOT(ISERROR(SEARCH(("기타"),(I61))))</formula>
    </cfRule>
    <cfRule type="containsText" dxfId="5644" priority="11410" operator="containsText" text="프로젝트">
      <formula>NOT(ISERROR(SEARCH(("프로젝트"),(I61))))</formula>
    </cfRule>
    <cfRule type="containsText" dxfId="5643" priority="11411" operator="containsText" text="정규교과">
      <formula>NOT(ISERROR(SEARCH(("정규교과"),(I61))))</formula>
    </cfRule>
    <cfRule type="containsText" dxfId="5642" priority="11412" operator="containsText" text="기타">
      <formula>NOT(ISERROR(SEARCH(("기타"),(I61))))</formula>
    </cfRule>
    <cfRule type="containsText" dxfId="5641" priority="11413" operator="containsText" text="프로젝트">
      <formula>NOT(ISERROR(SEARCH(("프로젝트"),(I61))))</formula>
    </cfRule>
    <cfRule type="containsText" dxfId="5640" priority="11414" operator="containsText" text="정규교과">
      <formula>NOT(ISERROR(SEARCH(("정규교과"),(I61))))</formula>
    </cfRule>
    <cfRule type="containsText" dxfId="5639" priority="11415" operator="containsText" text="기타">
      <formula>NOT(ISERROR(SEARCH(("기타"),(I61))))</formula>
    </cfRule>
    <cfRule type="containsText" dxfId="5638" priority="11416" operator="containsText" text="프로젝트">
      <formula>NOT(ISERROR(SEARCH(("프로젝트"),(I61))))</formula>
    </cfRule>
    <cfRule type="containsText" dxfId="5637" priority="11418" operator="containsText" text="기타">
      <formula>NOT(ISERROR(SEARCH(("기타"),(I61))))</formula>
    </cfRule>
    <cfRule type="containsText" dxfId="5636" priority="11419" operator="containsText" text="프로젝트">
      <formula>NOT(ISERROR(SEARCH(("프로젝트"),(I61))))</formula>
    </cfRule>
    <cfRule type="containsText" dxfId="5635" priority="11420" operator="containsText" text="정규교과">
      <formula>NOT(ISERROR(SEARCH(("정규교과"),(I61))))</formula>
    </cfRule>
    <cfRule type="containsText" dxfId="5634" priority="11421" operator="containsText" text="기타">
      <formula>NOT(ISERROR(SEARCH(("기타"),(I61))))</formula>
    </cfRule>
    <cfRule type="containsText" dxfId="5633" priority="11422" operator="containsText" text="프로젝트">
      <formula>NOT(ISERROR(SEARCH(("프로젝트"),(I61))))</formula>
    </cfRule>
    <cfRule type="containsText" dxfId="5632" priority="11423" operator="containsText" text="정규교과">
      <formula>NOT(ISERROR(SEARCH(("정규교과"),(I61))))</formula>
    </cfRule>
    <cfRule type="containsText" dxfId="5631" priority="11424" operator="containsText" text="기타">
      <formula>NOT(ISERROR(SEARCH(("기타"),(I61))))</formula>
    </cfRule>
    <cfRule type="containsText" dxfId="5630" priority="11425" operator="containsText" text="프로젝트">
      <formula>NOT(ISERROR(SEARCH(("프로젝트"),(I61))))</formula>
    </cfRule>
    <cfRule type="containsText" dxfId="5629" priority="11426" operator="containsText" text="정규교과">
      <formula>NOT(ISERROR(SEARCH(("정규교과"),(I61))))</formula>
    </cfRule>
    <cfRule type="containsText" dxfId="5628" priority="11427" operator="containsText" text="기타">
      <formula>NOT(ISERROR(SEARCH(("기타"),(I61))))</formula>
    </cfRule>
    <cfRule type="containsText" dxfId="5627" priority="11428" operator="containsText" text="프로젝트">
      <formula>NOT(ISERROR(SEARCH(("프로젝트"),(I61))))</formula>
    </cfRule>
    <cfRule type="containsText" dxfId="5626" priority="11429" operator="containsText" text="정규교과">
      <formula>NOT(ISERROR(SEARCH(("정규교과"),(I61))))</formula>
    </cfRule>
    <cfRule type="containsText" dxfId="5625" priority="11430" operator="containsText" text="기타">
      <formula>NOT(ISERROR(SEARCH(("기타"),(I61))))</formula>
    </cfRule>
    <cfRule type="containsText" dxfId="5624" priority="11431" operator="containsText" text="프로젝트">
      <formula>NOT(ISERROR(SEARCH(("프로젝트"),(I61))))</formula>
    </cfRule>
    <cfRule type="containsText" dxfId="5623" priority="11432" operator="containsText" text="정규교과">
      <formula>NOT(ISERROR(SEARCH(("정규교과"),(I61))))</formula>
    </cfRule>
    <cfRule type="containsText" dxfId="5622" priority="11433" operator="containsText" text="기타">
      <formula>NOT(ISERROR(SEARCH(("기타"),(I61))))</formula>
    </cfRule>
    <cfRule type="containsText" dxfId="5621" priority="11434" operator="containsText" text="프로젝트">
      <formula>NOT(ISERROR(SEARCH(("프로젝트"),(I61))))</formula>
    </cfRule>
    <cfRule type="containsText" dxfId="5620" priority="11435" operator="containsText" text="정규교과">
      <formula>NOT(ISERROR(SEARCH(("정규교과"),(I61))))</formula>
    </cfRule>
    <cfRule type="containsText" dxfId="5619" priority="11436" operator="containsText" text="기타">
      <formula>NOT(ISERROR(SEARCH(("기타"),(I61))))</formula>
    </cfRule>
    <cfRule type="containsText" dxfId="5618" priority="11437" operator="containsText" text="프로젝트">
      <formula>NOT(ISERROR(SEARCH(("프로젝트"),(I61))))</formula>
    </cfRule>
    <cfRule type="containsText" dxfId="5617" priority="11438" operator="containsText" text="정규교과">
      <formula>NOT(ISERROR(SEARCH(("정규교과"),(I61))))</formula>
    </cfRule>
    <cfRule type="containsText" dxfId="5616" priority="11439" operator="containsText" text="기타">
      <formula>NOT(ISERROR(SEARCH(("기타"),(I61))))</formula>
    </cfRule>
    <cfRule type="containsText" dxfId="5615" priority="11417" operator="containsText" text="정규교과">
      <formula>NOT(ISERROR(SEARCH(("정규교과"),(I61))))</formula>
    </cfRule>
    <cfRule type="containsText" dxfId="5614" priority="11440" operator="containsText" text="프로젝트">
      <formula>NOT(ISERROR(SEARCH(("프로젝트"),(I61))))</formula>
    </cfRule>
    <cfRule type="containsText" dxfId="5613" priority="11441" operator="containsText" text="정규교과">
      <formula>NOT(ISERROR(SEARCH(("정규교과"),(I61))))</formula>
    </cfRule>
    <cfRule type="containsText" dxfId="5612" priority="11442" operator="containsText" text="기타">
      <formula>NOT(ISERROR(SEARCH(("기타"),(I61))))</formula>
    </cfRule>
    <cfRule type="containsText" dxfId="5611" priority="11443" operator="containsText" text="프로젝트">
      <formula>NOT(ISERROR(SEARCH(("프로젝트"),(I61))))</formula>
    </cfRule>
    <cfRule type="containsText" dxfId="5610" priority="11444" operator="containsText" text="정규교과">
      <formula>NOT(ISERROR(SEARCH(("정규교과"),(I61))))</formula>
    </cfRule>
    <cfRule type="containsText" dxfId="5609" priority="11445" operator="containsText" text="기타">
      <formula>NOT(ISERROR(SEARCH(("기타"),(I61))))</formula>
    </cfRule>
    <cfRule type="containsText" dxfId="5608" priority="11446" operator="containsText" text="프로젝트">
      <formula>NOT(ISERROR(SEARCH(("프로젝트"),(I61))))</formula>
    </cfRule>
    <cfRule type="containsText" dxfId="5607" priority="11447" operator="containsText" text="정규교과">
      <formula>NOT(ISERROR(SEARCH(("정규교과"),(I61))))</formula>
    </cfRule>
    <cfRule type="containsText" dxfId="5606" priority="11448" operator="containsText" text="기타">
      <formula>NOT(ISERROR(SEARCH(("기타"),(I61))))</formula>
    </cfRule>
    <cfRule type="containsText" dxfId="5605" priority="11375" operator="containsText" text="정규교과">
      <formula>NOT(ISERROR(SEARCH(("정규교과"),(I61))))</formula>
    </cfRule>
    <cfRule type="containsText" dxfId="5604" priority="11376" operator="containsText" text="기타">
      <formula>NOT(ISERROR(SEARCH(("기타"),(I61))))</formula>
    </cfRule>
    <cfRule type="containsText" dxfId="5603" priority="11377" operator="containsText" text="프로젝트">
      <formula>NOT(ISERROR(SEARCH(("프로젝트"),(I61))))</formula>
    </cfRule>
    <cfRule type="containsText" dxfId="5602" priority="11378" operator="containsText" text="정규교과">
      <formula>NOT(ISERROR(SEARCH(("정규교과"),(I61))))</formula>
    </cfRule>
    <cfRule type="containsText" dxfId="5601" priority="11379" operator="containsText" text="기타">
      <formula>NOT(ISERROR(SEARCH(("기타"),(I61))))</formula>
    </cfRule>
    <cfRule type="containsText" dxfId="5600" priority="11380" operator="containsText" text="프로젝트">
      <formula>NOT(ISERROR(SEARCH(("프로젝트"),(I61))))</formula>
    </cfRule>
    <cfRule type="containsText" dxfId="5599" priority="11381" operator="containsText" text="정규교과">
      <formula>NOT(ISERROR(SEARCH(("정규교과"),(I61))))</formula>
    </cfRule>
    <cfRule type="containsText" dxfId="5598" priority="11382" operator="containsText" text="기타">
      <formula>NOT(ISERROR(SEARCH(("기타"),(I61))))</formula>
    </cfRule>
    <cfRule type="containsText" dxfId="5597" priority="11383" operator="containsText" text="프로젝트">
      <formula>NOT(ISERROR(SEARCH(("프로젝트"),(I61))))</formula>
    </cfRule>
    <cfRule type="containsText" dxfId="5596" priority="11384" operator="containsText" text="정규교과">
      <formula>NOT(ISERROR(SEARCH(("정규교과"),(I61))))</formula>
    </cfRule>
    <cfRule type="containsText" dxfId="5595" priority="11385" operator="containsText" text="기타">
      <formula>NOT(ISERROR(SEARCH(("기타"),(I61))))</formula>
    </cfRule>
    <cfRule type="containsText" dxfId="5594" priority="11386" operator="containsText" text="프로젝트">
      <formula>NOT(ISERROR(SEARCH(("프로젝트"),(I61))))</formula>
    </cfRule>
    <cfRule type="containsText" dxfId="5593" priority="11387" operator="containsText" text="정규교과">
      <formula>NOT(ISERROR(SEARCH(("정규교과"),(I61))))</formula>
    </cfRule>
    <cfRule type="containsText" dxfId="5592" priority="11388" operator="containsText" text="기타">
      <formula>NOT(ISERROR(SEARCH(("기타"),(I61))))</formula>
    </cfRule>
    <cfRule type="containsText" dxfId="5591" priority="11389" operator="containsText" text="프로젝트">
      <formula>NOT(ISERROR(SEARCH(("프로젝트"),(I61))))</formula>
    </cfRule>
    <cfRule type="containsText" dxfId="5590" priority="11390" operator="containsText" text="정규교과">
      <formula>NOT(ISERROR(SEARCH(("정규교과"),(I61))))</formula>
    </cfRule>
  </conditionalFormatting>
  <conditionalFormatting sqref="I65">
    <cfRule type="containsText" dxfId="5589" priority="11246" operator="containsText" text="정규교과">
      <formula>NOT(ISERROR(SEARCH(("정규교과"),(I65))))</formula>
    </cfRule>
    <cfRule type="containsText" dxfId="5588" priority="11290" operator="containsText" text="프로젝트">
      <formula>NOT(ISERROR(SEARCH(("프로젝트"),(I65))))</formula>
    </cfRule>
    <cfRule type="containsText" dxfId="5587" priority="11254" operator="containsText" text="프로젝트">
      <formula>NOT(ISERROR(SEARCH(("프로젝트"),(I65))))</formula>
    </cfRule>
    <cfRule type="containsText" dxfId="5586" priority="11255" operator="containsText" text="정규교과">
      <formula>NOT(ISERROR(SEARCH(("정규교과"),(I65))))</formula>
    </cfRule>
    <cfRule type="containsText" dxfId="5585" priority="11256" operator="containsText" text="기타">
      <formula>NOT(ISERROR(SEARCH(("기타"),(I65))))</formula>
    </cfRule>
    <cfRule type="containsText" dxfId="5584" priority="11257" operator="containsText" text="프로젝트">
      <formula>NOT(ISERROR(SEARCH(("프로젝트"),(I65))))</formula>
    </cfRule>
    <cfRule type="containsText" dxfId="5583" priority="11234" operator="containsText" text="정규교과">
      <formula>NOT(ISERROR(SEARCH(("정규교과"),(I65))))</formula>
    </cfRule>
    <cfRule type="containsText" dxfId="5582" priority="11235" operator="containsText" text="기타">
      <formula>NOT(ISERROR(SEARCH(("기타"),(I65))))</formula>
    </cfRule>
    <cfRule type="containsText" dxfId="5581" priority="11236" operator="containsText" text="프로젝트">
      <formula>NOT(ISERROR(SEARCH(("프로젝트"),(I65))))</formula>
    </cfRule>
    <cfRule type="containsText" dxfId="5580" priority="11237" operator="containsText" text="정규교과">
      <formula>NOT(ISERROR(SEARCH(("정규교과"),(I65))))</formula>
    </cfRule>
    <cfRule type="containsText" dxfId="5579" priority="11238" operator="containsText" text="기타">
      <formula>NOT(ISERROR(SEARCH(("기타"),(I65))))</formula>
    </cfRule>
    <cfRule type="containsText" dxfId="5578" priority="11239" operator="containsText" text="프로젝트">
      <formula>NOT(ISERROR(SEARCH(("프로젝트"),(I65))))</formula>
    </cfRule>
    <cfRule type="containsText" dxfId="5577" priority="11240" operator="containsText" text="정규교과">
      <formula>NOT(ISERROR(SEARCH(("정규교과"),(I65))))</formula>
    </cfRule>
    <cfRule type="containsText" dxfId="5576" priority="11241" operator="containsText" text="기타">
      <formula>NOT(ISERROR(SEARCH(("기타"),(I65))))</formula>
    </cfRule>
    <cfRule type="containsText" dxfId="5575" priority="11242" operator="containsText" text="프로젝트">
      <formula>NOT(ISERROR(SEARCH(("프로젝트"),(I65))))</formula>
    </cfRule>
    <cfRule type="containsText" dxfId="5574" priority="11243" operator="containsText" text="정규교과">
      <formula>NOT(ISERROR(SEARCH(("정규교과"),(I65))))</formula>
    </cfRule>
    <cfRule type="containsText" dxfId="5573" priority="11244" operator="containsText" text="기타">
      <formula>NOT(ISERROR(SEARCH(("기타"),(I65))))</formula>
    </cfRule>
    <cfRule type="containsText" dxfId="5572" priority="11245" operator="containsText" text="프로젝트">
      <formula>NOT(ISERROR(SEARCH(("프로젝트"),(I65))))</formula>
    </cfRule>
    <cfRule type="containsText" dxfId="5571" priority="11307" operator="containsText" text="기타">
      <formula>NOT(ISERROR(SEARCH(("기타"),(I65))))</formula>
    </cfRule>
    <cfRule type="containsText" dxfId="5570" priority="11247" operator="containsText" text="기타">
      <formula>NOT(ISERROR(SEARCH(("기타"),(I65))))</formula>
    </cfRule>
    <cfRule type="containsText" dxfId="5569" priority="11248" operator="containsText" text="프로젝트">
      <formula>NOT(ISERROR(SEARCH(("프로젝트"),(I65))))</formula>
    </cfRule>
    <cfRule type="containsText" dxfId="5568" priority="11249" operator="containsText" text="정규교과">
      <formula>NOT(ISERROR(SEARCH(("정규교과"),(I65))))</formula>
    </cfRule>
    <cfRule type="containsText" dxfId="5567" priority="11250" operator="containsText" text="기타">
      <formula>NOT(ISERROR(SEARCH(("기타"),(I65))))</formula>
    </cfRule>
    <cfRule type="containsText" dxfId="5566" priority="11251" operator="containsText" text="프로젝트">
      <formula>NOT(ISERROR(SEARCH(("프로젝트"),(I65))))</formula>
    </cfRule>
    <cfRule type="containsText" dxfId="5565" priority="11259" operator="containsText" text="기타">
      <formula>NOT(ISERROR(SEARCH(("기타"),(I65))))</formula>
    </cfRule>
    <cfRule type="containsText" dxfId="5564" priority="11260" operator="containsText" text="프로젝트">
      <formula>NOT(ISERROR(SEARCH(("프로젝트"),(I65))))</formula>
    </cfRule>
    <cfRule type="containsText" dxfId="5563" priority="11261" operator="containsText" text="정규교과">
      <formula>NOT(ISERROR(SEARCH(("정규교과"),(I65))))</formula>
    </cfRule>
    <cfRule type="containsText" dxfId="5562" priority="11262" operator="containsText" text="기타">
      <formula>NOT(ISERROR(SEARCH(("기타"),(I65))))</formula>
    </cfRule>
    <cfRule type="containsText" dxfId="5561" priority="11263" operator="containsText" text="프로젝트">
      <formula>NOT(ISERROR(SEARCH(("프로젝트"),(I65))))</formula>
    </cfRule>
    <cfRule type="containsText" dxfId="5560" priority="11264" operator="containsText" text="정규교과">
      <formula>NOT(ISERROR(SEARCH(("정규교과"),(I65))))</formula>
    </cfRule>
    <cfRule type="containsText" dxfId="5559" priority="11265" operator="containsText" text="기타">
      <formula>NOT(ISERROR(SEARCH(("기타"),(I65))))</formula>
    </cfRule>
    <cfRule type="containsText" dxfId="5558" priority="11266" operator="containsText" text="프로젝트">
      <formula>NOT(ISERROR(SEARCH(("프로젝트"),(I65))))</formula>
    </cfRule>
    <cfRule type="containsText" dxfId="5557" priority="11267" operator="containsText" text="정규교과">
      <formula>NOT(ISERROR(SEARCH(("정규교과"),(I65))))</formula>
    </cfRule>
    <cfRule type="containsText" dxfId="5556" priority="11268" operator="containsText" text="기타">
      <formula>NOT(ISERROR(SEARCH(("기타"),(I65))))</formula>
    </cfRule>
    <cfRule type="containsText" dxfId="5555" priority="11269" operator="containsText" text="프로젝트">
      <formula>NOT(ISERROR(SEARCH(("프로젝트"),(I65))))</formula>
    </cfRule>
    <cfRule type="containsText" dxfId="5554" priority="11270" operator="containsText" text="정규교과">
      <formula>NOT(ISERROR(SEARCH(("정규교과"),(I65))))</formula>
    </cfRule>
    <cfRule type="containsText" dxfId="5553" priority="11258" operator="containsText" text="정규교과">
      <formula>NOT(ISERROR(SEARCH(("정규교과"),(I65))))</formula>
    </cfRule>
    <cfRule type="containsText" dxfId="5552" priority="11306" operator="containsText" text="정규교과">
      <formula>NOT(ISERROR(SEARCH(("정규교과"),(I65))))</formula>
    </cfRule>
    <cfRule type="containsText" dxfId="5551" priority="11305" operator="containsText" text="프로젝트">
      <formula>NOT(ISERROR(SEARCH(("프로젝트"),(I65))))</formula>
    </cfRule>
    <cfRule type="containsText" dxfId="5550" priority="11304" operator="containsText" text="기타">
      <formula>NOT(ISERROR(SEARCH(("기타"),(I65))))</formula>
    </cfRule>
    <cfRule type="containsText" dxfId="5549" priority="11303" operator="containsText" text="정규교과">
      <formula>NOT(ISERROR(SEARCH(("정규교과"),(I65))))</formula>
    </cfRule>
    <cfRule type="containsText" dxfId="5548" priority="11302" operator="containsText" text="프로젝트">
      <formula>NOT(ISERROR(SEARCH(("프로젝트"),(I65))))</formula>
    </cfRule>
    <cfRule type="containsText" dxfId="5547" priority="11252" operator="containsText" text="정규교과">
      <formula>NOT(ISERROR(SEARCH(("정규교과"),(I65))))</formula>
    </cfRule>
    <cfRule type="containsText" dxfId="5546" priority="11301" operator="containsText" text="기타">
      <formula>NOT(ISERROR(SEARCH(("기타"),(I65))))</formula>
    </cfRule>
    <cfRule type="containsText" dxfId="5545" priority="11300" operator="containsText" text="정규교과">
      <formula>NOT(ISERROR(SEARCH(("정규교과"),(I65))))</formula>
    </cfRule>
    <cfRule type="containsText" dxfId="5544" priority="11299" operator="containsText" text="프로젝트">
      <formula>NOT(ISERROR(SEARCH(("프로젝트"),(I65))))</formula>
    </cfRule>
    <cfRule type="containsText" dxfId="5543" priority="11298" operator="containsText" text="기타">
      <formula>NOT(ISERROR(SEARCH(("기타"),(I65))))</formula>
    </cfRule>
    <cfRule type="containsText" dxfId="5542" priority="11297" operator="containsText" text="정규교과">
      <formula>NOT(ISERROR(SEARCH(("정규교과"),(I65))))</formula>
    </cfRule>
    <cfRule type="containsText" dxfId="5541" priority="11296" operator="containsText" text="프로젝트">
      <formula>NOT(ISERROR(SEARCH(("프로젝트"),(I65))))</formula>
    </cfRule>
    <cfRule type="containsText" dxfId="5540" priority="11295" operator="containsText" text="기타">
      <formula>NOT(ISERROR(SEARCH(("기타"),(I65))))</formula>
    </cfRule>
    <cfRule type="containsText" dxfId="5539" priority="11294" operator="containsText" text="정규교과">
      <formula>NOT(ISERROR(SEARCH(("정규교과"),(I65))))</formula>
    </cfRule>
    <cfRule type="containsText" dxfId="5538" priority="11293" operator="containsText" text="프로젝트">
      <formula>NOT(ISERROR(SEARCH(("프로젝트"),(I65))))</formula>
    </cfRule>
    <cfRule type="containsText" dxfId="5537" priority="11292" operator="containsText" text="기타">
      <formula>NOT(ISERROR(SEARCH(("기타"),(I65))))</formula>
    </cfRule>
    <cfRule type="containsText" dxfId="5536" priority="11291" operator="containsText" text="정규교과">
      <formula>NOT(ISERROR(SEARCH(("정규교과"),(I65))))</formula>
    </cfRule>
    <cfRule type="containsText" dxfId="5535" priority="11271" operator="containsText" text="기타">
      <formula>NOT(ISERROR(SEARCH(("기타"),(I65))))</formula>
    </cfRule>
    <cfRule type="containsText" dxfId="5534" priority="11272" operator="containsText" text="프로젝트">
      <formula>NOT(ISERROR(SEARCH(("프로젝트"),(I65))))</formula>
    </cfRule>
    <cfRule type="containsText" dxfId="5533" priority="11274" operator="containsText" text="기타">
      <formula>NOT(ISERROR(SEARCH(("기타"),(I65))))</formula>
    </cfRule>
    <cfRule type="containsText" dxfId="5532" priority="11275" operator="containsText" text="프로젝트">
      <formula>NOT(ISERROR(SEARCH(("프로젝트"),(I65))))</formula>
    </cfRule>
    <cfRule type="containsText" dxfId="5531" priority="11276" operator="containsText" text="정규교과">
      <formula>NOT(ISERROR(SEARCH(("정규교과"),(I65))))</formula>
    </cfRule>
    <cfRule type="containsText" dxfId="5530" priority="11273" operator="containsText" text="정규교과">
      <formula>NOT(ISERROR(SEARCH(("정규교과"),(I65))))</formula>
    </cfRule>
    <cfRule type="containsText" dxfId="5529" priority="11277" operator="containsText" text="기타">
      <formula>NOT(ISERROR(SEARCH(("기타"),(I65))))</formula>
    </cfRule>
    <cfRule type="containsText" dxfId="5528" priority="11278" operator="containsText" text="프로젝트">
      <formula>NOT(ISERROR(SEARCH(("프로젝트"),(I65))))</formula>
    </cfRule>
    <cfRule type="containsText" dxfId="5527" priority="11279" operator="containsText" text="정규교과">
      <formula>NOT(ISERROR(SEARCH(("정규교과"),(I65))))</formula>
    </cfRule>
    <cfRule type="containsText" dxfId="5526" priority="11280" operator="containsText" text="기타">
      <formula>NOT(ISERROR(SEARCH(("기타"),(I65))))</formula>
    </cfRule>
    <cfRule type="containsText" dxfId="5525" priority="11281" operator="containsText" text="프로젝트">
      <formula>NOT(ISERROR(SEARCH(("프로젝트"),(I65))))</formula>
    </cfRule>
    <cfRule type="containsText" dxfId="5524" priority="11282" operator="containsText" text="정규교과">
      <formula>NOT(ISERROR(SEARCH(("정규교과"),(I65))))</formula>
    </cfRule>
    <cfRule type="containsText" dxfId="5523" priority="11283" operator="containsText" text="기타">
      <formula>NOT(ISERROR(SEARCH(("기타"),(I65))))</formula>
    </cfRule>
    <cfRule type="containsText" dxfId="5522" priority="11284" operator="containsText" text="프로젝트">
      <formula>NOT(ISERROR(SEARCH(("프로젝트"),(I65))))</formula>
    </cfRule>
    <cfRule type="containsText" dxfId="5521" priority="11285" operator="containsText" text="정규교과">
      <formula>NOT(ISERROR(SEARCH(("정규교과"),(I65))))</formula>
    </cfRule>
    <cfRule type="containsText" dxfId="5520" priority="11286" operator="containsText" text="기타">
      <formula>NOT(ISERROR(SEARCH(("기타"),(I65))))</formula>
    </cfRule>
    <cfRule type="containsText" dxfId="5519" priority="11287" operator="containsText" text="프로젝트">
      <formula>NOT(ISERROR(SEARCH(("프로젝트"),(I65))))</formula>
    </cfRule>
    <cfRule type="containsText" dxfId="5518" priority="11288" operator="containsText" text="정규교과">
      <formula>NOT(ISERROR(SEARCH(("정규교과"),(I65))))</formula>
    </cfRule>
    <cfRule type="containsText" dxfId="5517" priority="11253" operator="containsText" text="기타">
      <formula>NOT(ISERROR(SEARCH(("기타"),(I65))))</formula>
    </cfRule>
    <cfRule type="containsText" dxfId="5516" priority="11289" operator="containsText" text="기타">
      <formula>NOT(ISERROR(SEARCH(("기타"),(I65))))</formula>
    </cfRule>
  </conditionalFormatting>
  <conditionalFormatting sqref="I69">
    <cfRule type="containsText" dxfId="5515" priority="11162" operator="containsText" text="정규교과">
      <formula>NOT(ISERROR(SEARCH(("정규교과"),(I69))))</formula>
    </cfRule>
    <cfRule type="containsText" dxfId="5514" priority="11163" operator="containsText" text="기타">
      <formula>NOT(ISERROR(SEARCH(("기타"),(I69))))</formula>
    </cfRule>
    <cfRule type="containsText" dxfId="5513" priority="11164" operator="containsText" text="프로젝트">
      <formula>NOT(ISERROR(SEARCH(("프로젝트"),(I69))))</formula>
    </cfRule>
    <cfRule type="containsText" dxfId="5512" priority="11165" operator="containsText" text="정규교과">
      <formula>NOT(ISERROR(SEARCH(("정규교과"),(I69))))</formula>
    </cfRule>
    <cfRule type="containsText" dxfId="5511" priority="11166" operator="containsText" text="기타">
      <formula>NOT(ISERROR(SEARCH(("기타"),(I69))))</formula>
    </cfRule>
    <cfRule type="containsText" dxfId="5510" priority="11161" operator="containsText" text="프로젝트">
      <formula>NOT(ISERROR(SEARCH(("프로젝트"),(I69))))</formula>
    </cfRule>
    <cfRule type="containsText" dxfId="5509" priority="11093" operator="containsText" text="정규교과">
      <formula>NOT(ISERROR(SEARCH(("정규교과"),(I69))))</formula>
    </cfRule>
    <cfRule type="containsText" dxfId="5508" priority="11094" operator="containsText" text="기타">
      <formula>NOT(ISERROR(SEARCH(("기타"),(I69))))</formula>
    </cfRule>
    <cfRule type="containsText" dxfId="5507" priority="11095" operator="containsText" text="프로젝트">
      <formula>NOT(ISERROR(SEARCH(("프로젝트"),(I69))))</formula>
    </cfRule>
    <cfRule type="containsText" dxfId="5506" priority="11096" operator="containsText" text="정규교과">
      <formula>NOT(ISERROR(SEARCH(("정규교과"),(I69))))</formula>
    </cfRule>
    <cfRule type="containsText" dxfId="5505" priority="11097" operator="containsText" text="기타">
      <formula>NOT(ISERROR(SEARCH(("기타"),(I69))))</formula>
    </cfRule>
    <cfRule type="containsText" dxfId="5504" priority="11098" operator="containsText" text="프로젝트">
      <formula>NOT(ISERROR(SEARCH(("프로젝트"),(I69))))</formula>
    </cfRule>
    <cfRule type="containsText" dxfId="5503" priority="11099" operator="containsText" text="정규교과">
      <formula>NOT(ISERROR(SEARCH(("정규교과"),(I69))))</formula>
    </cfRule>
    <cfRule type="containsText" dxfId="5502" priority="11100" operator="containsText" text="기타">
      <formula>NOT(ISERROR(SEARCH(("기타"),(I69))))</formula>
    </cfRule>
    <cfRule type="containsText" dxfId="5501" priority="11101" operator="containsText" text="프로젝트">
      <formula>NOT(ISERROR(SEARCH(("프로젝트"),(I69))))</formula>
    </cfRule>
    <cfRule type="containsText" dxfId="5500" priority="11102" operator="containsText" text="정규교과">
      <formula>NOT(ISERROR(SEARCH(("정규교과"),(I69))))</formula>
    </cfRule>
    <cfRule type="containsText" dxfId="5499" priority="11103" operator="containsText" text="기타">
      <formula>NOT(ISERROR(SEARCH(("기타"),(I69))))</formula>
    </cfRule>
    <cfRule type="containsText" dxfId="5498" priority="11104" operator="containsText" text="프로젝트">
      <formula>NOT(ISERROR(SEARCH(("프로젝트"),(I69))))</formula>
    </cfRule>
    <cfRule type="containsText" dxfId="5497" priority="11105" operator="containsText" text="정규교과">
      <formula>NOT(ISERROR(SEARCH(("정규교과"),(I69))))</formula>
    </cfRule>
    <cfRule type="containsText" dxfId="5496" priority="11106" operator="containsText" text="기타">
      <formula>NOT(ISERROR(SEARCH(("기타"),(I69))))</formula>
    </cfRule>
    <cfRule type="containsText" dxfId="5495" priority="11107" operator="containsText" text="프로젝트">
      <formula>NOT(ISERROR(SEARCH(("프로젝트"),(I69))))</formula>
    </cfRule>
    <cfRule type="containsText" dxfId="5494" priority="11108" operator="containsText" text="정규교과">
      <formula>NOT(ISERROR(SEARCH(("정규교과"),(I69))))</formula>
    </cfRule>
    <cfRule type="containsText" dxfId="5493" priority="11109" operator="containsText" text="기타">
      <formula>NOT(ISERROR(SEARCH(("기타"),(I69))))</formula>
    </cfRule>
    <cfRule type="containsText" dxfId="5492" priority="11110" operator="containsText" text="프로젝트">
      <formula>NOT(ISERROR(SEARCH(("프로젝트"),(I69))))</formula>
    </cfRule>
    <cfRule type="containsText" dxfId="5491" priority="11111" operator="containsText" text="정규교과">
      <formula>NOT(ISERROR(SEARCH(("정규교과"),(I69))))</formula>
    </cfRule>
    <cfRule type="containsText" dxfId="5490" priority="11112" operator="containsText" text="기타">
      <formula>NOT(ISERROR(SEARCH(("기타"),(I69))))</formula>
    </cfRule>
    <cfRule type="containsText" dxfId="5489" priority="11113" operator="containsText" text="프로젝트">
      <formula>NOT(ISERROR(SEARCH(("프로젝트"),(I69))))</formula>
    </cfRule>
    <cfRule type="containsText" dxfId="5488" priority="11114" operator="containsText" text="정규교과">
      <formula>NOT(ISERROR(SEARCH(("정규교과"),(I69))))</formula>
    </cfRule>
    <cfRule type="containsText" dxfId="5487" priority="11115" operator="containsText" text="기타">
      <formula>NOT(ISERROR(SEARCH(("기타"),(I69))))</formula>
    </cfRule>
    <cfRule type="containsText" dxfId="5486" priority="11116" operator="containsText" text="프로젝트">
      <formula>NOT(ISERROR(SEARCH(("프로젝트"),(I69))))</formula>
    </cfRule>
    <cfRule type="containsText" dxfId="5485" priority="11117" operator="containsText" text="정규교과">
      <formula>NOT(ISERROR(SEARCH(("정규교과"),(I69))))</formula>
    </cfRule>
    <cfRule type="containsText" dxfId="5484" priority="11118" operator="containsText" text="기타">
      <formula>NOT(ISERROR(SEARCH(("기타"),(I69))))</formula>
    </cfRule>
    <cfRule type="containsText" dxfId="5483" priority="11119" operator="containsText" text="프로젝트">
      <formula>NOT(ISERROR(SEARCH(("프로젝트"),(I69))))</formula>
    </cfRule>
    <cfRule type="containsText" dxfId="5482" priority="11120" operator="containsText" text="정규교과">
      <formula>NOT(ISERROR(SEARCH(("정규교과"),(I69))))</formula>
    </cfRule>
    <cfRule type="containsText" dxfId="5481" priority="11121" operator="containsText" text="기타">
      <formula>NOT(ISERROR(SEARCH(("기타"),(I69))))</formula>
    </cfRule>
    <cfRule type="containsText" dxfId="5480" priority="11122" operator="containsText" text="프로젝트">
      <formula>NOT(ISERROR(SEARCH(("프로젝트"),(I69))))</formula>
    </cfRule>
    <cfRule type="containsText" dxfId="5479" priority="11123" operator="containsText" text="정규교과">
      <formula>NOT(ISERROR(SEARCH(("정규교과"),(I69))))</formula>
    </cfRule>
    <cfRule type="containsText" dxfId="5478" priority="11124" operator="containsText" text="기타">
      <formula>NOT(ISERROR(SEARCH(("기타"),(I69))))</formula>
    </cfRule>
    <cfRule type="containsText" dxfId="5477" priority="11125" operator="containsText" text="프로젝트">
      <formula>NOT(ISERROR(SEARCH(("프로젝트"),(I69))))</formula>
    </cfRule>
    <cfRule type="containsText" dxfId="5476" priority="11126" operator="containsText" text="정규교과">
      <formula>NOT(ISERROR(SEARCH(("정규교과"),(I69))))</formula>
    </cfRule>
    <cfRule type="containsText" dxfId="5475" priority="11127" operator="containsText" text="기타">
      <formula>NOT(ISERROR(SEARCH(("기타"),(I69))))</formula>
    </cfRule>
    <cfRule type="containsText" dxfId="5474" priority="11128" operator="containsText" text="프로젝트">
      <formula>NOT(ISERROR(SEARCH(("프로젝트"),(I69))))</formula>
    </cfRule>
    <cfRule type="containsText" dxfId="5473" priority="11129" operator="containsText" text="정규교과">
      <formula>NOT(ISERROR(SEARCH(("정규교과"),(I69))))</formula>
    </cfRule>
    <cfRule type="containsText" dxfId="5472" priority="11130" operator="containsText" text="기타">
      <formula>NOT(ISERROR(SEARCH(("기타"),(I69))))</formula>
    </cfRule>
    <cfRule type="containsText" dxfId="5471" priority="11131" operator="containsText" text="프로젝트">
      <formula>NOT(ISERROR(SEARCH(("프로젝트"),(I69))))</formula>
    </cfRule>
    <cfRule type="containsText" dxfId="5470" priority="11132" operator="containsText" text="정규교과">
      <formula>NOT(ISERROR(SEARCH(("정규교과"),(I69))))</formula>
    </cfRule>
    <cfRule type="containsText" dxfId="5469" priority="11133" operator="containsText" text="기타">
      <formula>NOT(ISERROR(SEARCH(("기타"),(I69))))</formula>
    </cfRule>
    <cfRule type="containsText" dxfId="5468" priority="11134" operator="containsText" text="프로젝트">
      <formula>NOT(ISERROR(SEARCH(("프로젝트"),(I69))))</formula>
    </cfRule>
    <cfRule type="containsText" dxfId="5467" priority="11135" operator="containsText" text="정규교과">
      <formula>NOT(ISERROR(SEARCH(("정규교과"),(I69))))</formula>
    </cfRule>
    <cfRule type="containsText" dxfId="5466" priority="11136" operator="containsText" text="기타">
      <formula>NOT(ISERROR(SEARCH(("기타"),(I69))))</formula>
    </cfRule>
    <cfRule type="containsText" dxfId="5465" priority="11137" operator="containsText" text="프로젝트">
      <formula>NOT(ISERROR(SEARCH(("프로젝트"),(I69))))</formula>
    </cfRule>
    <cfRule type="containsText" dxfId="5464" priority="11138" operator="containsText" text="정규교과">
      <formula>NOT(ISERROR(SEARCH(("정규교과"),(I69))))</formula>
    </cfRule>
    <cfRule type="containsText" dxfId="5463" priority="11139" operator="containsText" text="기타">
      <formula>NOT(ISERROR(SEARCH(("기타"),(I69))))</formula>
    </cfRule>
    <cfRule type="containsText" dxfId="5462" priority="11140" operator="containsText" text="프로젝트">
      <formula>NOT(ISERROR(SEARCH(("프로젝트"),(I69))))</formula>
    </cfRule>
    <cfRule type="containsText" dxfId="5461" priority="11141" operator="containsText" text="정규교과">
      <formula>NOT(ISERROR(SEARCH(("정규교과"),(I69))))</formula>
    </cfRule>
    <cfRule type="containsText" dxfId="5460" priority="11142" operator="containsText" text="기타">
      <formula>NOT(ISERROR(SEARCH(("기타"),(I69))))</formula>
    </cfRule>
    <cfRule type="containsText" dxfId="5459" priority="11143" operator="containsText" text="프로젝트">
      <formula>NOT(ISERROR(SEARCH(("프로젝트"),(I69))))</formula>
    </cfRule>
    <cfRule type="containsText" dxfId="5458" priority="11144" operator="containsText" text="정규교과">
      <formula>NOT(ISERROR(SEARCH(("정규교과"),(I69))))</formula>
    </cfRule>
    <cfRule type="containsText" dxfId="5457" priority="11145" operator="containsText" text="기타">
      <formula>NOT(ISERROR(SEARCH(("기타"),(I69))))</formula>
    </cfRule>
    <cfRule type="containsText" dxfId="5456" priority="11146" operator="containsText" text="프로젝트">
      <formula>NOT(ISERROR(SEARCH(("프로젝트"),(I69))))</formula>
    </cfRule>
    <cfRule type="containsText" dxfId="5455" priority="11147" operator="containsText" text="정규교과">
      <formula>NOT(ISERROR(SEARCH(("정규교과"),(I69))))</formula>
    </cfRule>
    <cfRule type="containsText" dxfId="5454" priority="11148" operator="containsText" text="기타">
      <formula>NOT(ISERROR(SEARCH(("기타"),(I69))))</formula>
    </cfRule>
    <cfRule type="containsText" dxfId="5453" priority="11149" operator="containsText" text="프로젝트">
      <formula>NOT(ISERROR(SEARCH(("프로젝트"),(I69))))</formula>
    </cfRule>
    <cfRule type="containsText" dxfId="5452" priority="11150" operator="containsText" text="정규교과">
      <formula>NOT(ISERROR(SEARCH(("정규교과"),(I69))))</formula>
    </cfRule>
    <cfRule type="containsText" dxfId="5451" priority="11151" operator="containsText" text="기타">
      <formula>NOT(ISERROR(SEARCH(("기타"),(I69))))</formula>
    </cfRule>
    <cfRule type="containsText" dxfId="5450" priority="11152" operator="containsText" text="프로젝트">
      <formula>NOT(ISERROR(SEARCH(("프로젝트"),(I69))))</formula>
    </cfRule>
    <cfRule type="containsText" dxfId="5449" priority="11153" operator="containsText" text="정규교과">
      <formula>NOT(ISERROR(SEARCH(("정규교과"),(I69))))</formula>
    </cfRule>
    <cfRule type="containsText" dxfId="5448" priority="11154" operator="containsText" text="기타">
      <formula>NOT(ISERROR(SEARCH(("기타"),(I69))))</formula>
    </cfRule>
    <cfRule type="containsText" dxfId="5447" priority="11155" operator="containsText" text="프로젝트">
      <formula>NOT(ISERROR(SEARCH(("프로젝트"),(I69))))</formula>
    </cfRule>
    <cfRule type="containsText" dxfId="5446" priority="11156" operator="containsText" text="정규교과">
      <formula>NOT(ISERROR(SEARCH(("정규교과"),(I69))))</formula>
    </cfRule>
    <cfRule type="containsText" dxfId="5445" priority="11157" operator="containsText" text="기타">
      <formula>NOT(ISERROR(SEARCH(("기타"),(I69))))</formula>
    </cfRule>
    <cfRule type="containsText" dxfId="5444" priority="11158" operator="containsText" text="프로젝트">
      <formula>NOT(ISERROR(SEARCH(("프로젝트"),(I69))))</formula>
    </cfRule>
    <cfRule type="containsText" dxfId="5443" priority="11159" operator="containsText" text="정규교과">
      <formula>NOT(ISERROR(SEARCH(("정규교과"),(I69))))</formula>
    </cfRule>
    <cfRule type="containsText" dxfId="5442" priority="11160" operator="containsText" text="기타">
      <formula>NOT(ISERROR(SEARCH(("기타"),(I69))))</formula>
    </cfRule>
  </conditionalFormatting>
  <conditionalFormatting sqref="I75">
    <cfRule type="containsText" dxfId="5441" priority="9894" operator="containsText" text="정규교과">
      <formula>NOT(ISERROR(SEARCH(("정규교과"),(I75))))</formula>
    </cfRule>
    <cfRule type="containsText" dxfId="5440" priority="9895" operator="containsText" text="기타">
      <formula>NOT(ISERROR(SEARCH(("기타"),(I75))))</formula>
    </cfRule>
    <cfRule type="containsText" dxfId="5439" priority="9896" operator="containsText" text="프로젝트">
      <formula>NOT(ISERROR(SEARCH(("프로젝트"),(I75))))</formula>
    </cfRule>
    <cfRule type="containsText" dxfId="5438" priority="9897" operator="containsText" text="정규교과">
      <formula>NOT(ISERROR(SEARCH(("정규교과"),(I75))))</formula>
    </cfRule>
    <cfRule type="containsText" dxfId="5437" priority="9898" operator="containsText" text="기타">
      <formula>NOT(ISERROR(SEARCH(("기타"),(I75))))</formula>
    </cfRule>
    <cfRule type="containsText" dxfId="5436" priority="9899" operator="containsText" text="프로젝트">
      <formula>NOT(ISERROR(SEARCH(("프로젝트"),(I75))))</formula>
    </cfRule>
    <cfRule type="containsText" dxfId="5435" priority="9900" operator="containsText" text="정규교과">
      <formula>NOT(ISERROR(SEARCH(("정규교과"),(I75))))</formula>
    </cfRule>
    <cfRule type="containsText" dxfId="5434" priority="9901" operator="containsText" text="기타">
      <formula>NOT(ISERROR(SEARCH(("기타"),(I75))))</formula>
    </cfRule>
    <cfRule type="containsText" dxfId="5433" priority="9902" operator="containsText" text="프로젝트">
      <formula>NOT(ISERROR(SEARCH(("프로젝트"),(I75))))</formula>
    </cfRule>
    <cfRule type="containsText" dxfId="5432" priority="9903" operator="containsText" text="정규교과">
      <formula>NOT(ISERROR(SEARCH(("정규교과"),(I75))))</formula>
    </cfRule>
    <cfRule type="containsText" dxfId="5431" priority="9904" operator="containsText" text="기타">
      <formula>NOT(ISERROR(SEARCH(("기타"),(I75))))</formula>
    </cfRule>
    <cfRule type="containsText" dxfId="5430" priority="9905" operator="containsText" text="프로젝트">
      <formula>NOT(ISERROR(SEARCH(("프로젝트"),(I75))))</formula>
    </cfRule>
    <cfRule type="containsText" dxfId="5429" priority="9906" operator="containsText" text="정규교과">
      <formula>NOT(ISERROR(SEARCH(("정규교과"),(I75))))</formula>
    </cfRule>
    <cfRule type="containsText" dxfId="5428" priority="9907" operator="containsText" text="기타">
      <formula>NOT(ISERROR(SEARCH(("기타"),(I75))))</formula>
    </cfRule>
    <cfRule type="containsText" dxfId="5427" priority="9909" operator="containsText" text="프로젝트">
      <formula>NOT(ISERROR(SEARCH(("프로젝트"),(I75))))</formula>
    </cfRule>
    <cfRule type="containsText" dxfId="5426" priority="9910" operator="containsText" text="정규교과">
      <formula>NOT(ISERROR(SEARCH(("정규교과"),(I75))))</formula>
    </cfRule>
    <cfRule type="containsText" dxfId="5425" priority="9911" operator="containsText" text="기타">
      <formula>NOT(ISERROR(SEARCH(("기타"),(I75))))</formula>
    </cfRule>
    <cfRule type="containsText" dxfId="5424" priority="9912" operator="containsText" text="프로젝트">
      <formula>NOT(ISERROR(SEARCH(("프로젝트"),(I75))))</formula>
    </cfRule>
    <cfRule type="containsText" dxfId="5423" priority="9913" operator="containsText" text="정규교과">
      <formula>NOT(ISERROR(SEARCH(("정규교과"),(I75))))</formula>
    </cfRule>
    <cfRule type="containsText" dxfId="5422" priority="9908" operator="containsText" text="휴강">
      <formula>NOT(ISERROR(SEARCH(("휴강"),(I75))))</formula>
    </cfRule>
    <cfRule type="containsText" dxfId="5421" priority="9914" operator="containsText" text="기타">
      <formula>NOT(ISERROR(SEARCH(("기타"),(I75))))</formula>
    </cfRule>
    <cfRule type="containsText" dxfId="5420" priority="9915" operator="containsText" text="프로젝트">
      <formula>NOT(ISERROR(SEARCH(("프로젝트"),(I75))))</formula>
    </cfRule>
    <cfRule type="containsText" dxfId="5419" priority="9916" operator="containsText" text="정규교과">
      <formula>NOT(ISERROR(SEARCH(("정규교과"),(I75))))</formula>
    </cfRule>
    <cfRule type="containsText" dxfId="5418" priority="9917" operator="containsText" text="기타">
      <formula>NOT(ISERROR(SEARCH(("기타"),(I75))))</formula>
    </cfRule>
    <cfRule type="containsText" dxfId="5417" priority="9918" operator="containsText" text="프로젝트">
      <formula>NOT(ISERROR(SEARCH(("프로젝트"),(I75))))</formula>
    </cfRule>
    <cfRule type="containsText" dxfId="5416" priority="9919" operator="containsText" text="정규교과">
      <formula>NOT(ISERROR(SEARCH(("정규교과"),(I75))))</formula>
    </cfRule>
    <cfRule type="containsText" dxfId="5415" priority="9920" operator="containsText" text="기타">
      <formula>NOT(ISERROR(SEARCH(("기타"),(I75))))</formula>
    </cfRule>
    <cfRule type="containsText" dxfId="5414" priority="9922" operator="containsText" text="정규교과">
      <formula>NOT(ISERROR(SEARCH(("정규교과"),(I75))))</formula>
    </cfRule>
    <cfRule type="containsText" dxfId="5413" priority="9923" operator="containsText" text="기타">
      <formula>NOT(ISERROR(SEARCH(("기타"),(I75))))</formula>
    </cfRule>
    <cfRule type="containsText" dxfId="5412" priority="9891" operator="containsText" text="정규교과">
      <formula>NOT(ISERROR(SEARCH(("정규교과"),(I75))))</formula>
    </cfRule>
    <cfRule type="containsText" dxfId="5411" priority="9873" operator="containsText" text="정규교과">
      <formula>NOT(ISERROR(SEARCH(("정규교과"),(I75))))</formula>
    </cfRule>
    <cfRule type="containsText" dxfId="5410" priority="9874" operator="containsText" text="기타">
      <formula>NOT(ISERROR(SEARCH(("기타"),(I75))))</formula>
    </cfRule>
    <cfRule type="containsText" dxfId="5409" priority="9875" operator="containsText" text="프로젝트">
      <formula>NOT(ISERROR(SEARCH(("프로젝트"),(I75))))</formula>
    </cfRule>
    <cfRule type="containsText" dxfId="5408" priority="9876" operator="containsText" text="정규교과">
      <formula>NOT(ISERROR(SEARCH(("정규교과"),(I75))))</formula>
    </cfRule>
    <cfRule type="containsText" dxfId="5407" priority="9877" operator="containsText" text="기타">
      <formula>NOT(ISERROR(SEARCH(("기타"),(I75))))</formula>
    </cfRule>
    <cfRule type="containsText" dxfId="5406" priority="9878" operator="containsText" text="프로젝트">
      <formula>NOT(ISERROR(SEARCH(("프로젝트"),(I75))))</formula>
    </cfRule>
    <cfRule type="containsText" dxfId="5405" priority="9879" operator="containsText" text="정규교과">
      <formula>NOT(ISERROR(SEARCH(("정규교과"),(I75))))</formula>
    </cfRule>
    <cfRule type="containsText" dxfId="5404" priority="9880" operator="containsText" text="기타">
      <formula>NOT(ISERROR(SEARCH(("기타"),(I75))))</formula>
    </cfRule>
    <cfRule type="containsText" dxfId="5403" priority="9881" operator="containsText" text="프로젝트">
      <formula>NOT(ISERROR(SEARCH(("프로젝트"),(I75))))</formula>
    </cfRule>
    <cfRule type="containsText" dxfId="5402" priority="9882" operator="containsText" text="정규교과">
      <formula>NOT(ISERROR(SEARCH(("정규교과"),(I75))))</formula>
    </cfRule>
    <cfRule type="containsText" dxfId="5401" priority="9883" operator="containsText" text="기타">
      <formula>NOT(ISERROR(SEARCH(("기타"),(I75))))</formula>
    </cfRule>
    <cfRule type="containsText" dxfId="5400" priority="9884" operator="containsText" text="프로젝트">
      <formula>NOT(ISERROR(SEARCH(("프로젝트"),(I75))))</formula>
    </cfRule>
    <cfRule type="containsText" dxfId="5399" priority="9885" operator="containsText" text="정규교과">
      <formula>NOT(ISERROR(SEARCH(("정규교과"),(I75))))</formula>
    </cfRule>
    <cfRule type="containsText" dxfId="5398" priority="9886" operator="containsText" text="기타">
      <formula>NOT(ISERROR(SEARCH(("기타"),(I75))))</formula>
    </cfRule>
    <cfRule type="containsText" dxfId="5397" priority="9887" operator="containsText" text="프로젝트">
      <formula>NOT(ISERROR(SEARCH(("프로젝트"),(I75))))</formula>
    </cfRule>
    <cfRule type="containsText" dxfId="5396" priority="9888" operator="containsText" text="정규교과">
      <formula>NOT(ISERROR(SEARCH(("정규교과"),(I75))))</formula>
    </cfRule>
    <cfRule type="containsText" dxfId="5395" priority="9889" operator="containsText" text="기타">
      <formula>NOT(ISERROR(SEARCH(("기타"),(I75))))</formula>
    </cfRule>
    <cfRule type="containsText" dxfId="5394" priority="9890" operator="containsText" text="프로젝트">
      <formula>NOT(ISERROR(SEARCH(("프로젝트"),(I75))))</formula>
    </cfRule>
    <cfRule type="containsText" dxfId="5393" priority="9892" operator="containsText" text="기타">
      <formula>NOT(ISERROR(SEARCH(("기타"),(I75))))</formula>
    </cfRule>
    <cfRule type="containsText" dxfId="5392" priority="9893" operator="containsText" text="프로젝트">
      <formula>NOT(ISERROR(SEARCH(("프로젝트"),(I75))))</formula>
    </cfRule>
  </conditionalFormatting>
  <conditionalFormatting sqref="I79">
    <cfRule type="containsText" dxfId="5391" priority="9770" operator="containsText" text="기타">
      <formula>NOT(ISERROR(SEARCH(("기타"),(I79))))</formula>
    </cfRule>
    <cfRule type="containsText" dxfId="5390" priority="9812" operator="containsText" text="정규교과">
      <formula>NOT(ISERROR(SEARCH(("정규교과"),(I79))))</formula>
    </cfRule>
    <cfRule type="containsText" dxfId="5389" priority="9813" operator="containsText" text="기타">
      <formula>NOT(ISERROR(SEARCH(("기타"),(I79))))</formula>
    </cfRule>
    <cfRule type="containsText" dxfId="5388" priority="9814" operator="containsText" text="프로젝트">
      <formula>NOT(ISERROR(SEARCH(("프로젝트"),(I79))))</formula>
    </cfRule>
    <cfRule type="containsText" dxfId="5387" priority="9815" operator="containsText" text="정규교과">
      <formula>NOT(ISERROR(SEARCH(("정규교과"),(I79))))</formula>
    </cfRule>
    <cfRule type="containsText" dxfId="5386" priority="9816" operator="containsText" text="기타">
      <formula>NOT(ISERROR(SEARCH(("기타"),(I79))))</formula>
    </cfRule>
    <cfRule type="containsText" dxfId="5385" priority="9781" operator="containsText" text="정규교과">
      <formula>NOT(ISERROR(SEARCH(("정규교과"),(I79))))</formula>
    </cfRule>
    <cfRule type="containsText" dxfId="5384" priority="9782" operator="containsText" text="기타">
      <formula>NOT(ISERROR(SEARCH(("기타"),(I79))))</formula>
    </cfRule>
    <cfRule type="containsText" dxfId="5383" priority="9783" operator="containsText" text="프로젝트">
      <formula>NOT(ISERROR(SEARCH(("프로젝트"),(I79))))</formula>
    </cfRule>
    <cfRule type="containsText" dxfId="5382" priority="9784" operator="containsText" text="정규교과">
      <formula>NOT(ISERROR(SEARCH(("정규교과"),(I79))))</formula>
    </cfRule>
    <cfRule type="containsText" dxfId="5381" priority="9785" operator="containsText" text="기타">
      <formula>NOT(ISERROR(SEARCH(("기타"),(I79))))</formula>
    </cfRule>
    <cfRule type="containsText" dxfId="5380" priority="9786" operator="containsText" text="프로젝트">
      <formula>NOT(ISERROR(SEARCH(("프로젝트"),(I79))))</formula>
    </cfRule>
    <cfRule type="containsText" dxfId="5379" priority="9795" operator="containsText" text="프로젝트">
      <formula>NOT(ISERROR(SEARCH(("프로젝트"),(I79))))</formula>
    </cfRule>
    <cfRule type="containsText" dxfId="5378" priority="9787" operator="containsText" text="정규교과">
      <formula>NOT(ISERROR(SEARCH(("정규교과"),(I79))))</formula>
    </cfRule>
    <cfRule type="containsText" dxfId="5377" priority="9788" operator="containsText" text="기타">
      <formula>NOT(ISERROR(SEARCH(("기타"),(I79))))</formula>
    </cfRule>
    <cfRule type="containsText" dxfId="5376" priority="9796" operator="containsText" text="정규교과">
      <formula>NOT(ISERROR(SEARCH(("정규교과"),(I79))))</formula>
    </cfRule>
    <cfRule type="containsText" dxfId="5375" priority="9789" operator="containsText" text="프로젝트">
      <formula>NOT(ISERROR(SEARCH(("프로젝트"),(I79))))</formula>
    </cfRule>
    <cfRule type="containsText" dxfId="5374" priority="9790" operator="containsText" text="정규교과">
      <formula>NOT(ISERROR(SEARCH(("정규교과"),(I79))))</formula>
    </cfRule>
    <cfRule type="containsText" dxfId="5373" priority="9777" operator="containsText" text="프로젝트">
      <formula>NOT(ISERROR(SEARCH(("프로젝트"),(I79))))</formula>
    </cfRule>
    <cfRule type="containsText" dxfId="5372" priority="9791" operator="containsText" text="기타">
      <formula>NOT(ISERROR(SEARCH(("기타"),(I79))))</formula>
    </cfRule>
    <cfRule type="containsText" dxfId="5371" priority="9792" operator="containsText" text="프로젝트">
      <formula>NOT(ISERROR(SEARCH(("프로젝트"),(I79))))</formula>
    </cfRule>
    <cfRule type="containsText" dxfId="5370" priority="9793" operator="containsText" text="정규교과">
      <formula>NOT(ISERROR(SEARCH(("정규교과"),(I79))))</formula>
    </cfRule>
    <cfRule type="containsText" dxfId="5369" priority="9769" operator="containsText" text="정규교과">
      <formula>NOT(ISERROR(SEARCH(("정규교과"),(I79))))</formula>
    </cfRule>
    <cfRule type="containsText" dxfId="5368" priority="9771" operator="containsText" text="프로젝트">
      <formula>NOT(ISERROR(SEARCH(("프로젝트"),(I79))))</formula>
    </cfRule>
    <cfRule type="containsText" dxfId="5367" priority="9772" operator="containsText" text="정규교과">
      <formula>NOT(ISERROR(SEARCH(("정규교과"),(I79))))</formula>
    </cfRule>
    <cfRule type="containsText" dxfId="5366" priority="9773" operator="containsText" text="기타">
      <formula>NOT(ISERROR(SEARCH(("기타"),(I79))))</formula>
    </cfRule>
    <cfRule type="containsText" dxfId="5365" priority="9774" operator="containsText" text="프로젝트">
      <formula>NOT(ISERROR(SEARCH(("프로젝트"),(I79))))</formula>
    </cfRule>
    <cfRule type="containsText" dxfId="5364" priority="9775" operator="containsText" text="정규교과">
      <formula>NOT(ISERROR(SEARCH(("정규교과"),(I79))))</formula>
    </cfRule>
    <cfRule type="containsText" dxfId="5363" priority="9776" operator="containsText" text="기타">
      <formula>NOT(ISERROR(SEARCH(("기타"),(I79))))</formula>
    </cfRule>
    <cfRule type="containsText" dxfId="5362" priority="9818" operator="containsText" text="정규교과">
      <formula>NOT(ISERROR(SEARCH(("정규교과"),(I79))))</formula>
    </cfRule>
    <cfRule type="containsText" dxfId="5361" priority="9778" operator="containsText" text="정규교과">
      <formula>NOT(ISERROR(SEARCH(("정규교과"),(I79))))</formula>
    </cfRule>
    <cfRule type="containsText" dxfId="5360" priority="9779" operator="containsText" text="기타">
      <formula>NOT(ISERROR(SEARCH(("기타"),(I79))))</formula>
    </cfRule>
    <cfRule type="containsText" dxfId="5359" priority="9780" operator="containsText" text="프로젝트">
      <formula>NOT(ISERROR(SEARCH(("프로젝트"),(I79))))</formula>
    </cfRule>
    <cfRule type="containsText" dxfId="5358" priority="9797" operator="containsText" text="기타">
      <formula>NOT(ISERROR(SEARCH(("기타"),(I79))))</formula>
    </cfRule>
    <cfRule type="containsText" dxfId="5357" priority="9798" operator="containsText" text="프로젝트">
      <formula>NOT(ISERROR(SEARCH(("프로젝트"),(I79))))</formula>
    </cfRule>
    <cfRule type="containsText" dxfId="5356" priority="9799" operator="containsText" text="정규교과">
      <formula>NOT(ISERROR(SEARCH(("정규교과"),(I79))))</formula>
    </cfRule>
    <cfRule type="containsText" dxfId="5355" priority="9800" operator="containsText" text="기타">
      <formula>NOT(ISERROR(SEARCH(("기타"),(I79))))</formula>
    </cfRule>
    <cfRule type="containsText" dxfId="5354" priority="9794" operator="containsText" text="기타">
      <formula>NOT(ISERROR(SEARCH(("기타"),(I79))))</formula>
    </cfRule>
    <cfRule type="containsText" dxfId="5353" priority="9802" operator="containsText" text="정규교과">
      <formula>NOT(ISERROR(SEARCH(("정규교과"),(I79))))</formula>
    </cfRule>
    <cfRule type="containsText" dxfId="5352" priority="9801" operator="containsText" text="프로젝트">
      <formula>NOT(ISERROR(SEARCH(("프로젝트"),(I79))))</formula>
    </cfRule>
    <cfRule type="containsText" dxfId="5351" priority="9803" operator="containsText" text="기타">
      <formula>NOT(ISERROR(SEARCH(("기타"),(I79))))</formula>
    </cfRule>
    <cfRule type="containsText" dxfId="5350" priority="9804" operator="containsText" text="휴강">
      <formula>NOT(ISERROR(SEARCH(("휴강"),(I79))))</formula>
    </cfRule>
    <cfRule type="containsText" dxfId="5349" priority="9805" operator="containsText" text="프로젝트">
      <formula>NOT(ISERROR(SEARCH(("프로젝트"),(I79))))</formula>
    </cfRule>
    <cfRule type="containsText" dxfId="5348" priority="9806" operator="containsText" text="정규교과">
      <formula>NOT(ISERROR(SEARCH(("정규교과"),(I79))))</formula>
    </cfRule>
    <cfRule type="containsText" dxfId="5347" priority="9807" operator="containsText" text="기타">
      <formula>NOT(ISERROR(SEARCH(("기타"),(I79))))</formula>
    </cfRule>
    <cfRule type="containsText" dxfId="5346" priority="9808" operator="containsText" text="프로젝트">
      <formula>NOT(ISERROR(SEARCH(("프로젝트"),(I79))))</formula>
    </cfRule>
    <cfRule type="containsText" dxfId="5345" priority="9809" operator="containsText" text="정규교과">
      <formula>NOT(ISERROR(SEARCH(("정규교과"),(I79))))</formula>
    </cfRule>
    <cfRule type="containsText" dxfId="5344" priority="9810" operator="containsText" text="기타">
      <formula>NOT(ISERROR(SEARCH(("기타"),(I79))))</formula>
    </cfRule>
    <cfRule type="containsText" dxfId="5343" priority="9811" operator="containsText" text="프로젝트">
      <formula>NOT(ISERROR(SEARCH(("프로젝트"),(I79))))</formula>
    </cfRule>
    <cfRule type="containsText" dxfId="5342" priority="9819" operator="containsText" text="기타">
      <formula>NOT(ISERROR(SEARCH(("기타"),(I79))))</formula>
    </cfRule>
  </conditionalFormatting>
  <conditionalFormatting sqref="I83">
    <cfRule type="containsText" dxfId="5341" priority="9702" operator="containsText" text="정규교과">
      <formula>NOT(ISERROR(SEARCH(("정규교과"),(I83))))</formula>
    </cfRule>
    <cfRule type="containsText" dxfId="5340" priority="9703" operator="containsText" text="기타">
      <formula>NOT(ISERROR(SEARCH(("기타"),(I83))))</formula>
    </cfRule>
    <cfRule type="containsText" dxfId="5339" priority="9704" operator="containsText" text="프로젝트">
      <formula>NOT(ISERROR(SEARCH(("프로젝트"),(I83))))</formula>
    </cfRule>
    <cfRule type="containsText" dxfId="5338" priority="9705" operator="containsText" text="정규교과">
      <formula>NOT(ISERROR(SEARCH(("정규교과"),(I83))))</formula>
    </cfRule>
    <cfRule type="containsText" dxfId="5337" priority="9706" operator="containsText" text="기타">
      <formula>NOT(ISERROR(SEARCH(("기타"),(I83))))</formula>
    </cfRule>
    <cfRule type="containsText" dxfId="5336" priority="9707" operator="containsText" text="프로젝트">
      <formula>NOT(ISERROR(SEARCH(("프로젝트"),(I83))))</formula>
    </cfRule>
    <cfRule type="containsText" dxfId="5335" priority="9708" operator="containsText" text="정규교과">
      <formula>NOT(ISERROR(SEARCH(("정규교과"),(I83))))</formula>
    </cfRule>
    <cfRule type="containsText" dxfId="5334" priority="9709" operator="containsText" text="기타">
      <formula>NOT(ISERROR(SEARCH(("기타"),(I83))))</formula>
    </cfRule>
    <cfRule type="containsText" dxfId="5333" priority="9710" operator="containsText" text="프로젝트">
      <formula>NOT(ISERROR(SEARCH(("프로젝트"),(I83))))</formula>
    </cfRule>
    <cfRule type="containsText" dxfId="5332" priority="9711" operator="containsText" text="정규교과">
      <formula>NOT(ISERROR(SEARCH(("정규교과"),(I83))))</formula>
    </cfRule>
    <cfRule type="containsText" dxfId="5331" priority="9712" operator="containsText" text="기타">
      <formula>NOT(ISERROR(SEARCH(("기타"),(I83))))</formula>
    </cfRule>
    <cfRule type="containsText" dxfId="5330" priority="9714" operator="containsText" text="정규교과">
      <formula>NOT(ISERROR(SEARCH(("정규교과"),(I83))))</formula>
    </cfRule>
    <cfRule type="containsText" dxfId="5329" priority="9715" operator="containsText" text="기타">
      <formula>NOT(ISERROR(SEARCH(("기타"),(I83))))</formula>
    </cfRule>
    <cfRule type="containsText" dxfId="5328" priority="9700" operator="containsText" text="휴강">
      <formula>NOT(ISERROR(SEARCH(("휴강"),(I83))))</formula>
    </cfRule>
    <cfRule type="containsText" dxfId="5327" priority="9699" operator="containsText" text="기타">
      <formula>NOT(ISERROR(SEARCH(("기타"),(I83))))</formula>
    </cfRule>
    <cfRule type="containsText" dxfId="5326" priority="9697" operator="containsText" text="프로젝트">
      <formula>NOT(ISERROR(SEARCH(("프로젝트"),(I83))))</formula>
    </cfRule>
    <cfRule type="containsText" dxfId="5325" priority="9696" operator="containsText" text="기타">
      <formula>NOT(ISERROR(SEARCH(("기타"),(I83))))</formula>
    </cfRule>
    <cfRule type="containsText" dxfId="5324" priority="9695" operator="containsText" text="정규교과">
      <formula>NOT(ISERROR(SEARCH(("정규교과"),(I83))))</formula>
    </cfRule>
    <cfRule type="containsText" dxfId="5323" priority="9694" operator="containsText" text="프로젝트">
      <formula>NOT(ISERROR(SEARCH(("프로젝트"),(I83))))</formula>
    </cfRule>
    <cfRule type="containsText" dxfId="5322" priority="9693" operator="containsText" text="기타">
      <formula>NOT(ISERROR(SEARCH(("기타"),(I83))))</formula>
    </cfRule>
    <cfRule type="containsText" dxfId="5321" priority="9692" operator="containsText" text="정규교과">
      <formula>NOT(ISERROR(SEARCH(("정규교과"),(I83))))</formula>
    </cfRule>
    <cfRule type="containsText" dxfId="5320" priority="9691" operator="containsText" text="프로젝트">
      <formula>NOT(ISERROR(SEARCH(("프로젝트"),(I83))))</formula>
    </cfRule>
    <cfRule type="containsText" dxfId="5319" priority="9690" operator="containsText" text="기타">
      <formula>NOT(ISERROR(SEARCH(("기타"),(I83))))</formula>
    </cfRule>
    <cfRule type="containsText" dxfId="5318" priority="9689" operator="containsText" text="정규교과">
      <formula>NOT(ISERROR(SEARCH(("정규교과"),(I83))))</formula>
    </cfRule>
    <cfRule type="containsText" dxfId="5317" priority="9688" operator="containsText" text="프로젝트">
      <formula>NOT(ISERROR(SEARCH(("프로젝트"),(I83))))</formula>
    </cfRule>
    <cfRule type="containsText" dxfId="5316" priority="9687" operator="containsText" text="기타">
      <formula>NOT(ISERROR(SEARCH(("기타"),(I83))))</formula>
    </cfRule>
    <cfRule type="containsText" dxfId="5315" priority="9686" operator="containsText" text="정규교과">
      <formula>NOT(ISERROR(SEARCH(("정규교과"),(I83))))</formula>
    </cfRule>
    <cfRule type="containsText" dxfId="5314" priority="9685" operator="containsText" text="프로젝트">
      <formula>NOT(ISERROR(SEARCH(("프로젝트"),(I83))))</formula>
    </cfRule>
    <cfRule type="containsText" dxfId="5313" priority="9684" operator="containsText" text="기타">
      <formula>NOT(ISERROR(SEARCH(("기타"),(I83))))</formula>
    </cfRule>
    <cfRule type="containsText" dxfId="5312" priority="9683" operator="containsText" text="정규교과">
      <formula>NOT(ISERROR(SEARCH(("정규교과"),(I83))))</formula>
    </cfRule>
    <cfRule type="containsText" dxfId="5311" priority="9682" operator="containsText" text="프로젝트">
      <formula>NOT(ISERROR(SEARCH(("프로젝트"),(I83))))</formula>
    </cfRule>
    <cfRule type="containsText" dxfId="5310" priority="9681" operator="containsText" text="기타">
      <formula>NOT(ISERROR(SEARCH(("기타"),(I83))))</formula>
    </cfRule>
    <cfRule type="containsText" dxfId="5309" priority="9680" operator="containsText" text="정규교과">
      <formula>NOT(ISERROR(SEARCH(("정규교과"),(I83))))</formula>
    </cfRule>
    <cfRule type="containsText" dxfId="5308" priority="9679" operator="containsText" text="프로젝트">
      <formula>NOT(ISERROR(SEARCH(("프로젝트"),(I83))))</formula>
    </cfRule>
    <cfRule type="containsText" dxfId="5307" priority="9678" operator="containsText" text="기타">
      <formula>NOT(ISERROR(SEARCH(("기타"),(I83))))</formula>
    </cfRule>
    <cfRule type="containsText" dxfId="5306" priority="9677" operator="containsText" text="정규교과">
      <formula>NOT(ISERROR(SEARCH(("정규교과"),(I83))))</formula>
    </cfRule>
    <cfRule type="containsText" dxfId="5305" priority="9676" operator="containsText" text="프로젝트">
      <formula>NOT(ISERROR(SEARCH(("프로젝트"),(I83))))</formula>
    </cfRule>
    <cfRule type="containsText" dxfId="5304" priority="9675" operator="containsText" text="기타">
      <formula>NOT(ISERROR(SEARCH(("기타"),(I83))))</formula>
    </cfRule>
    <cfRule type="containsText" dxfId="5303" priority="9674" operator="containsText" text="정규교과">
      <formula>NOT(ISERROR(SEARCH(("정규교과"),(I83))))</formula>
    </cfRule>
    <cfRule type="containsText" dxfId="5302" priority="9673" operator="containsText" text="프로젝트">
      <formula>NOT(ISERROR(SEARCH(("프로젝트"),(I83))))</formula>
    </cfRule>
    <cfRule type="containsText" dxfId="5301" priority="9701" operator="containsText" text="프로젝트">
      <formula>NOT(ISERROR(SEARCH(("프로젝트"),(I83))))</formula>
    </cfRule>
    <cfRule type="containsText" dxfId="5300" priority="9672" operator="containsText" text="기타">
      <formula>NOT(ISERROR(SEARCH(("기타"),(I83))))</formula>
    </cfRule>
    <cfRule type="containsText" dxfId="5299" priority="9671" operator="containsText" text="정규교과">
      <formula>NOT(ISERROR(SEARCH(("정규교과"),(I83))))</formula>
    </cfRule>
    <cfRule type="containsText" dxfId="5298" priority="9670" operator="containsText" text="프로젝트">
      <formula>NOT(ISERROR(SEARCH(("프로젝트"),(I83))))</formula>
    </cfRule>
    <cfRule type="containsText" dxfId="5297" priority="9669" operator="containsText" text="기타">
      <formula>NOT(ISERROR(SEARCH(("기타"),(I83))))</formula>
    </cfRule>
    <cfRule type="containsText" dxfId="5296" priority="9668" operator="containsText" text="정규교과">
      <formula>NOT(ISERROR(SEARCH(("정규교과"),(I83))))</formula>
    </cfRule>
    <cfRule type="containsText" dxfId="5295" priority="9667" operator="containsText" text="프로젝트">
      <formula>NOT(ISERROR(SEARCH(("프로젝트"),(I83))))</formula>
    </cfRule>
    <cfRule type="containsText" dxfId="5294" priority="9666" operator="containsText" text="기타">
      <formula>NOT(ISERROR(SEARCH(("기타"),(I83))))</formula>
    </cfRule>
    <cfRule type="containsText" dxfId="5293" priority="9665" operator="containsText" text="정규교과">
      <formula>NOT(ISERROR(SEARCH(("정규교과"),(I83))))</formula>
    </cfRule>
    <cfRule type="containsText" dxfId="5292" priority="9698" operator="containsText" text="정규교과">
      <formula>NOT(ISERROR(SEARCH(("정규교과"),(I83))))</formula>
    </cfRule>
  </conditionalFormatting>
  <conditionalFormatting sqref="I88">
    <cfRule type="containsText" dxfId="5291" priority="9611" operator="containsText" text="기타">
      <formula>NOT(ISERROR(SEARCH(("기타"),(I88))))</formula>
    </cfRule>
    <cfRule type="containsText" dxfId="5290" priority="9579" operator="containsText" text="정규교과">
      <formula>NOT(ISERROR(SEARCH(("정규교과"),(I88))))</formula>
    </cfRule>
    <cfRule type="containsText" dxfId="5289" priority="9580" operator="containsText" text="기타">
      <formula>NOT(ISERROR(SEARCH(("기타"),(I88))))</formula>
    </cfRule>
    <cfRule type="containsText" dxfId="5288" priority="9581" operator="containsText" text="프로젝트">
      <formula>NOT(ISERROR(SEARCH(("프로젝트"),(I88))))</formula>
    </cfRule>
    <cfRule type="containsText" dxfId="5287" priority="9582" operator="containsText" text="정규교과">
      <formula>NOT(ISERROR(SEARCH(("정규교과"),(I88))))</formula>
    </cfRule>
    <cfRule type="containsText" dxfId="5286" priority="9583" operator="containsText" text="기타">
      <formula>NOT(ISERROR(SEARCH(("기타"),(I88))))</formula>
    </cfRule>
    <cfRule type="containsText" dxfId="5285" priority="9584" operator="containsText" text="프로젝트">
      <formula>NOT(ISERROR(SEARCH(("프로젝트"),(I88))))</formula>
    </cfRule>
    <cfRule type="containsText" dxfId="5284" priority="9585" operator="containsText" text="정규교과">
      <formula>NOT(ISERROR(SEARCH(("정규교과"),(I88))))</formula>
    </cfRule>
    <cfRule type="containsText" dxfId="5283" priority="9586" operator="containsText" text="기타">
      <formula>NOT(ISERROR(SEARCH(("기타"),(I88))))</formula>
    </cfRule>
    <cfRule type="containsText" dxfId="5282" priority="9587" operator="containsText" text="프로젝트">
      <formula>NOT(ISERROR(SEARCH(("프로젝트"),(I88))))</formula>
    </cfRule>
    <cfRule type="containsText" dxfId="5281" priority="9588" operator="containsText" text="정규교과">
      <formula>NOT(ISERROR(SEARCH(("정규교과"),(I88))))</formula>
    </cfRule>
    <cfRule type="containsText" dxfId="5280" priority="9589" operator="containsText" text="기타">
      <formula>NOT(ISERROR(SEARCH(("기타"),(I88))))</formula>
    </cfRule>
    <cfRule type="containsText" dxfId="5279" priority="9590" operator="containsText" text="프로젝트">
      <formula>NOT(ISERROR(SEARCH(("프로젝트"),(I88))))</formula>
    </cfRule>
    <cfRule type="containsText" dxfId="5278" priority="9562" operator="containsText" text="기타">
      <formula>NOT(ISERROR(SEARCH(("기타"),(I88))))</formula>
    </cfRule>
    <cfRule type="containsText" dxfId="5277" priority="9592" operator="containsText" text="기타">
      <formula>NOT(ISERROR(SEARCH(("기타"),(I88))))</formula>
    </cfRule>
    <cfRule type="containsText" dxfId="5276" priority="9593" operator="containsText" text="프로젝트">
      <formula>NOT(ISERROR(SEARCH(("프로젝트"),(I88))))</formula>
    </cfRule>
    <cfRule type="containsText" dxfId="5275" priority="9594" operator="containsText" text="정규교과">
      <formula>NOT(ISERROR(SEARCH(("정규교과"),(I88))))</formula>
    </cfRule>
    <cfRule type="containsText" dxfId="5274" priority="9595" operator="containsText" text="기타">
      <formula>NOT(ISERROR(SEARCH(("기타"),(I88))))</formula>
    </cfRule>
    <cfRule type="containsText" dxfId="5273" priority="9596" operator="containsText" text="휴강">
      <formula>NOT(ISERROR(SEARCH(("휴강"),(I88))))</formula>
    </cfRule>
    <cfRule type="containsText" dxfId="5272" priority="9597" operator="containsText" text="프로젝트">
      <formula>NOT(ISERROR(SEARCH(("프로젝트"),(I88))))</formula>
    </cfRule>
    <cfRule type="containsText" dxfId="5271" priority="9598" operator="containsText" text="정규교과">
      <formula>NOT(ISERROR(SEARCH(("정규교과"),(I88))))</formula>
    </cfRule>
    <cfRule type="containsText" dxfId="5270" priority="9599" operator="containsText" text="기타">
      <formula>NOT(ISERROR(SEARCH(("기타"),(I88))))</formula>
    </cfRule>
    <cfRule type="containsText" dxfId="5269" priority="9600" operator="containsText" text="프로젝트">
      <formula>NOT(ISERROR(SEARCH(("프로젝트"),(I88))))</formula>
    </cfRule>
    <cfRule type="containsText" dxfId="5268" priority="9601" operator="containsText" text="정규교과">
      <formula>NOT(ISERROR(SEARCH(("정규교과"),(I88))))</formula>
    </cfRule>
    <cfRule type="containsText" dxfId="5267" priority="9602" operator="containsText" text="기타">
      <formula>NOT(ISERROR(SEARCH(("기타"),(I88))))</formula>
    </cfRule>
    <cfRule type="containsText" dxfId="5266" priority="9603" operator="containsText" text="프로젝트">
      <formula>NOT(ISERROR(SEARCH(("프로젝트"),(I88))))</formula>
    </cfRule>
    <cfRule type="containsText" dxfId="5265" priority="9604" operator="containsText" text="정규교과">
      <formula>NOT(ISERROR(SEARCH(("정규교과"),(I88))))</formula>
    </cfRule>
    <cfRule type="containsText" dxfId="5264" priority="9605" operator="containsText" text="기타">
      <formula>NOT(ISERROR(SEARCH(("기타"),(I88))))</formula>
    </cfRule>
    <cfRule type="containsText" dxfId="5263" priority="9606" operator="containsText" text="프로젝트">
      <formula>NOT(ISERROR(SEARCH(("프로젝트"),(I88))))</formula>
    </cfRule>
    <cfRule type="containsText" dxfId="5262" priority="9607" operator="containsText" text="정규교과">
      <formula>NOT(ISERROR(SEARCH(("정규교과"),(I88))))</formula>
    </cfRule>
    <cfRule type="containsText" dxfId="5261" priority="9563" operator="containsText" text="프로젝트">
      <formula>NOT(ISERROR(SEARCH(("프로젝트"),(I88))))</formula>
    </cfRule>
    <cfRule type="containsText" dxfId="5260" priority="9566" operator="containsText" text="프로젝트">
      <formula>NOT(ISERROR(SEARCH(("프로젝트"),(I88))))</formula>
    </cfRule>
    <cfRule type="containsText" dxfId="5259" priority="9564" operator="containsText" text="정규교과">
      <formula>NOT(ISERROR(SEARCH(("정규교과"),(I88))))</formula>
    </cfRule>
    <cfRule type="containsText" dxfId="5258" priority="9565" operator="containsText" text="기타">
      <formula>NOT(ISERROR(SEARCH(("기타"),(I88))))</formula>
    </cfRule>
    <cfRule type="containsText" dxfId="5257" priority="9561" operator="containsText" text="정규교과">
      <formula>NOT(ISERROR(SEARCH(("정규교과"),(I88))))</formula>
    </cfRule>
    <cfRule type="containsText" dxfId="5256" priority="9567" operator="containsText" text="정규교과">
      <formula>NOT(ISERROR(SEARCH(("정규교과"),(I88))))</formula>
    </cfRule>
    <cfRule type="containsText" dxfId="5255" priority="9568" operator="containsText" text="기타">
      <formula>NOT(ISERROR(SEARCH(("기타"),(I88))))</formula>
    </cfRule>
    <cfRule type="containsText" dxfId="5254" priority="9569" operator="containsText" text="프로젝트">
      <formula>NOT(ISERROR(SEARCH(("프로젝트"),(I88))))</formula>
    </cfRule>
    <cfRule type="containsText" dxfId="5253" priority="9570" operator="containsText" text="정규교과">
      <formula>NOT(ISERROR(SEARCH(("정규교과"),(I88))))</formula>
    </cfRule>
    <cfRule type="containsText" dxfId="5252" priority="9571" operator="containsText" text="기타">
      <formula>NOT(ISERROR(SEARCH(("기타"),(I88))))</formula>
    </cfRule>
    <cfRule type="containsText" dxfId="5251" priority="9572" operator="containsText" text="프로젝트">
      <formula>NOT(ISERROR(SEARCH(("프로젝트"),(I88))))</formula>
    </cfRule>
    <cfRule type="containsText" dxfId="5250" priority="9608" operator="containsText" text="기타">
      <formula>NOT(ISERROR(SEARCH(("기타"),(I88))))</formula>
    </cfRule>
    <cfRule type="containsText" dxfId="5249" priority="9573" operator="containsText" text="정규교과">
      <formula>NOT(ISERROR(SEARCH(("정규교과"),(I88))))</formula>
    </cfRule>
    <cfRule type="containsText" dxfId="5248" priority="9610" operator="containsText" text="정규교과">
      <formula>NOT(ISERROR(SEARCH(("정규교과"),(I88))))</formula>
    </cfRule>
    <cfRule type="containsText" dxfId="5247" priority="9574" operator="containsText" text="기타">
      <formula>NOT(ISERROR(SEARCH(("기타"),(I88))))</formula>
    </cfRule>
    <cfRule type="containsText" dxfId="5246" priority="9575" operator="containsText" text="프로젝트">
      <formula>NOT(ISERROR(SEARCH(("프로젝트"),(I88))))</formula>
    </cfRule>
    <cfRule type="containsText" dxfId="5245" priority="9576" operator="containsText" text="정규교과">
      <formula>NOT(ISERROR(SEARCH(("정규교과"),(I88))))</formula>
    </cfRule>
    <cfRule type="containsText" dxfId="5244" priority="9577" operator="containsText" text="기타">
      <formula>NOT(ISERROR(SEARCH(("기타"),(I88))))</formula>
    </cfRule>
    <cfRule type="containsText" dxfId="5243" priority="9578" operator="containsText" text="프로젝트">
      <formula>NOT(ISERROR(SEARCH(("프로젝트"),(I88))))</formula>
    </cfRule>
    <cfRule type="containsText" dxfId="5242" priority="9591" operator="containsText" text="정규교과">
      <formula>NOT(ISERROR(SEARCH(("정규교과"),(I88))))</formula>
    </cfRule>
  </conditionalFormatting>
  <conditionalFormatting sqref="I92">
    <cfRule type="containsText" dxfId="5241" priority="9458" operator="containsText" text="기타">
      <formula>NOT(ISERROR(SEARCH(("기타"),(I92))))</formula>
    </cfRule>
    <cfRule type="containsText" dxfId="5240" priority="9457" operator="containsText" text="정규교과">
      <formula>NOT(ISERROR(SEARCH(("정규교과"),(I92))))</formula>
    </cfRule>
    <cfRule type="containsText" dxfId="5239" priority="9486" operator="containsText" text="프로젝트">
      <formula>NOT(ISERROR(SEARCH(("프로젝트"),(I92))))</formula>
    </cfRule>
    <cfRule type="containsText" dxfId="5238" priority="9485" operator="containsText" text="기타">
      <formula>NOT(ISERROR(SEARCH(("기타"),(I92))))</formula>
    </cfRule>
    <cfRule type="containsText" dxfId="5237" priority="9484" operator="containsText" text="정규교과">
      <formula>NOT(ISERROR(SEARCH(("정규교과"),(I92))))</formula>
    </cfRule>
    <cfRule type="containsText" dxfId="5236" priority="9483" operator="containsText" text="프로젝트">
      <formula>NOT(ISERROR(SEARCH(("프로젝트"),(I92))))</formula>
    </cfRule>
    <cfRule type="containsText" dxfId="5235" priority="9488" operator="containsText" text="기타">
      <formula>NOT(ISERROR(SEARCH(("기타"),(I92))))</formula>
    </cfRule>
    <cfRule type="containsText" dxfId="5234" priority="9498" operator="containsText" text="기타">
      <formula>NOT(ISERROR(SEARCH(("기타"),(I92))))</formula>
    </cfRule>
    <cfRule type="containsText" dxfId="5233" priority="9499" operator="containsText" text="프로젝트">
      <formula>NOT(ISERROR(SEARCH(("프로젝트"),(I92))))</formula>
    </cfRule>
    <cfRule type="containsText" dxfId="5232" priority="9500" operator="containsText" text="정규교과">
      <formula>NOT(ISERROR(SEARCH(("정규교과"),(I92))))</formula>
    </cfRule>
    <cfRule type="containsText" dxfId="5231" priority="9501" operator="containsText" text="기타">
      <formula>NOT(ISERROR(SEARCH(("기타"),(I92))))</formula>
    </cfRule>
    <cfRule type="containsText" dxfId="5230" priority="9502" operator="containsText" text="프로젝트">
      <formula>NOT(ISERROR(SEARCH(("프로젝트"),(I92))))</formula>
    </cfRule>
    <cfRule type="containsText" dxfId="5229" priority="9503" operator="containsText" text="정규교과">
      <formula>NOT(ISERROR(SEARCH(("정규교과"),(I92))))</formula>
    </cfRule>
    <cfRule type="containsText" dxfId="5228" priority="9504" operator="containsText" text="기타">
      <formula>NOT(ISERROR(SEARCH(("기타"),(I92))))</formula>
    </cfRule>
    <cfRule type="containsText" dxfId="5227" priority="9506" operator="containsText" text="정규교과">
      <formula>NOT(ISERROR(SEARCH(("정규교과"),(I92))))</formula>
    </cfRule>
    <cfRule type="containsText" dxfId="5226" priority="9507" operator="containsText" text="기타">
      <formula>NOT(ISERROR(SEARCH(("기타"),(I92))))</formula>
    </cfRule>
    <cfRule type="containsText" dxfId="5225" priority="9489" operator="containsText" text="프로젝트">
      <formula>NOT(ISERROR(SEARCH(("프로젝트"),(I92))))</formula>
    </cfRule>
    <cfRule type="containsText" dxfId="5224" priority="9490" operator="containsText" text="정규교과">
      <formula>NOT(ISERROR(SEARCH(("정규교과"),(I92))))</formula>
    </cfRule>
    <cfRule type="containsText" dxfId="5223" priority="9491" operator="containsText" text="기타">
      <formula>NOT(ISERROR(SEARCH(("기타"),(I92))))</formula>
    </cfRule>
    <cfRule type="containsText" dxfId="5222" priority="9492" operator="containsText" text="휴강">
      <formula>NOT(ISERROR(SEARCH(("휴강"),(I92))))</formula>
    </cfRule>
    <cfRule type="containsText" dxfId="5221" priority="9493" operator="containsText" text="프로젝트">
      <formula>NOT(ISERROR(SEARCH(("프로젝트"),(I92))))</formula>
    </cfRule>
    <cfRule type="containsText" dxfId="5220" priority="9494" operator="containsText" text="정규교과">
      <formula>NOT(ISERROR(SEARCH(("정규교과"),(I92))))</formula>
    </cfRule>
    <cfRule type="containsText" dxfId="5219" priority="9495" operator="containsText" text="기타">
      <formula>NOT(ISERROR(SEARCH(("기타"),(I92))))</formula>
    </cfRule>
    <cfRule type="containsText" dxfId="5218" priority="9487" operator="containsText" text="정규교과">
      <formula>NOT(ISERROR(SEARCH(("정규교과"),(I92))))</formula>
    </cfRule>
    <cfRule type="containsText" dxfId="5217" priority="9496" operator="containsText" text="프로젝트">
      <formula>NOT(ISERROR(SEARCH(("프로젝트"),(I92))))</formula>
    </cfRule>
    <cfRule type="containsText" dxfId="5216" priority="9497" operator="containsText" text="정규교과">
      <formula>NOT(ISERROR(SEARCH(("정규교과"),(I92))))</formula>
    </cfRule>
    <cfRule type="containsText" dxfId="5215" priority="9482" operator="containsText" text="기타">
      <formula>NOT(ISERROR(SEARCH(("기타"),(I92))))</formula>
    </cfRule>
    <cfRule type="containsText" dxfId="5214" priority="9461" operator="containsText" text="기타">
      <formula>NOT(ISERROR(SEARCH(("기타"),(I92))))</formula>
    </cfRule>
    <cfRule type="containsText" dxfId="5213" priority="9481" operator="containsText" text="정규교과">
      <formula>NOT(ISERROR(SEARCH(("정규교과"),(I92))))</formula>
    </cfRule>
    <cfRule type="containsText" dxfId="5212" priority="9480" operator="containsText" text="프로젝트">
      <formula>NOT(ISERROR(SEARCH(("프로젝트"),(I92))))</formula>
    </cfRule>
    <cfRule type="containsText" dxfId="5211" priority="9479" operator="containsText" text="기타">
      <formula>NOT(ISERROR(SEARCH(("기타"),(I92))))</formula>
    </cfRule>
    <cfRule type="containsText" dxfId="5210" priority="9478" operator="containsText" text="정규교과">
      <formula>NOT(ISERROR(SEARCH(("정규교과"),(I92))))</formula>
    </cfRule>
    <cfRule type="containsText" dxfId="5209" priority="9477" operator="containsText" text="프로젝트">
      <formula>NOT(ISERROR(SEARCH(("프로젝트"),(I92))))</formula>
    </cfRule>
    <cfRule type="containsText" dxfId="5208" priority="9476" operator="containsText" text="기타">
      <formula>NOT(ISERROR(SEARCH(("기타"),(I92))))</formula>
    </cfRule>
    <cfRule type="containsText" dxfId="5207" priority="9475" operator="containsText" text="정규교과">
      <formula>NOT(ISERROR(SEARCH(("정규교과"),(I92))))</formula>
    </cfRule>
    <cfRule type="containsText" dxfId="5206" priority="9474" operator="containsText" text="프로젝트">
      <formula>NOT(ISERROR(SEARCH(("프로젝트"),(I92))))</formula>
    </cfRule>
    <cfRule type="containsText" dxfId="5205" priority="9473" operator="containsText" text="기타">
      <formula>NOT(ISERROR(SEARCH(("기타"),(I92))))</formula>
    </cfRule>
    <cfRule type="containsText" dxfId="5204" priority="9472" operator="containsText" text="정규교과">
      <formula>NOT(ISERROR(SEARCH(("정규교과"),(I92))))</formula>
    </cfRule>
    <cfRule type="containsText" dxfId="5203" priority="9471" operator="containsText" text="프로젝트">
      <formula>NOT(ISERROR(SEARCH(("프로젝트"),(I92))))</formula>
    </cfRule>
    <cfRule type="containsText" dxfId="5202" priority="9470" operator="containsText" text="기타">
      <formula>NOT(ISERROR(SEARCH(("기타"),(I92))))</formula>
    </cfRule>
    <cfRule type="containsText" dxfId="5201" priority="9469" operator="containsText" text="정규교과">
      <formula>NOT(ISERROR(SEARCH(("정규교과"),(I92))))</formula>
    </cfRule>
    <cfRule type="containsText" dxfId="5200" priority="9468" operator="containsText" text="프로젝트">
      <formula>NOT(ISERROR(SEARCH(("프로젝트"),(I92))))</formula>
    </cfRule>
    <cfRule type="containsText" dxfId="5199" priority="9467" operator="containsText" text="기타">
      <formula>NOT(ISERROR(SEARCH(("기타"),(I92))))</formula>
    </cfRule>
    <cfRule type="containsText" dxfId="5198" priority="9466" operator="containsText" text="정규교과">
      <formula>NOT(ISERROR(SEARCH(("정규교과"),(I92))))</formula>
    </cfRule>
    <cfRule type="containsText" dxfId="5197" priority="9465" operator="containsText" text="프로젝트">
      <formula>NOT(ISERROR(SEARCH(("프로젝트"),(I92))))</formula>
    </cfRule>
    <cfRule type="containsText" dxfId="5196" priority="9464" operator="containsText" text="기타">
      <formula>NOT(ISERROR(SEARCH(("기타"),(I92))))</formula>
    </cfRule>
    <cfRule type="containsText" dxfId="5195" priority="9463" operator="containsText" text="정규교과">
      <formula>NOT(ISERROR(SEARCH(("정규교과"),(I92))))</formula>
    </cfRule>
    <cfRule type="containsText" dxfId="5194" priority="9462" operator="containsText" text="프로젝트">
      <formula>NOT(ISERROR(SEARCH(("프로젝트"),(I92))))</formula>
    </cfRule>
    <cfRule type="containsText" dxfId="5193" priority="9460" operator="containsText" text="정규교과">
      <formula>NOT(ISERROR(SEARCH(("정규교과"),(I92))))</formula>
    </cfRule>
    <cfRule type="containsText" dxfId="5192" priority="9459" operator="containsText" text="프로젝트">
      <formula>NOT(ISERROR(SEARCH(("프로젝트"),(I92))))</formula>
    </cfRule>
  </conditionalFormatting>
  <conditionalFormatting sqref="I96">
    <cfRule type="containsText" dxfId="5191" priority="9374" operator="containsText" text="정규교과">
      <formula>NOT(ISERROR(SEARCH(("정규교과"),(I96))))</formula>
    </cfRule>
    <cfRule type="containsText" dxfId="5190" priority="9373" operator="containsText" text="프로젝트">
      <formula>NOT(ISERROR(SEARCH(("프로젝트"),(I96))))</formula>
    </cfRule>
    <cfRule type="containsText" dxfId="5189" priority="9366" operator="containsText" text="기타">
      <formula>NOT(ISERROR(SEARCH(("기타"),(I96))))</formula>
    </cfRule>
    <cfRule type="containsText" dxfId="5188" priority="9365" operator="containsText" text="정규교과">
      <formula>NOT(ISERROR(SEARCH(("정규교과"),(I96))))</formula>
    </cfRule>
    <cfRule type="containsText" dxfId="5187" priority="9364" operator="containsText" text="프로젝트">
      <formula>NOT(ISERROR(SEARCH(("프로젝트"),(I96))))</formula>
    </cfRule>
    <cfRule type="containsText" dxfId="5186" priority="9384" operator="containsText" text="기타">
      <formula>NOT(ISERROR(SEARCH(("기타"),(I96))))</formula>
    </cfRule>
    <cfRule type="containsText" dxfId="5185" priority="9385" operator="containsText" text="프로젝트">
      <formula>NOT(ISERROR(SEARCH(("프로젝트"),(I96))))</formula>
    </cfRule>
    <cfRule type="containsText" dxfId="5184" priority="9386" operator="containsText" text="정규교과">
      <formula>NOT(ISERROR(SEARCH(("정규교과"),(I96))))</formula>
    </cfRule>
    <cfRule type="containsText" dxfId="5183" priority="9387" operator="containsText" text="기타">
      <formula>NOT(ISERROR(SEARCH(("기타"),(I96))))</formula>
    </cfRule>
    <cfRule type="containsText" dxfId="5182" priority="9388" operator="containsText" text="휴강">
      <formula>NOT(ISERROR(SEARCH(("휴강"),(I96))))</formula>
    </cfRule>
    <cfRule type="containsText" dxfId="5181" priority="9389" operator="containsText" text="프로젝트">
      <formula>NOT(ISERROR(SEARCH(("프로젝트"),(I96))))</formula>
    </cfRule>
    <cfRule type="containsText" dxfId="5180" priority="9402" operator="containsText" text="정규교과">
      <formula>NOT(ISERROR(SEARCH(("정규교과"),(I96))))</formula>
    </cfRule>
    <cfRule type="containsText" dxfId="5179" priority="9403" operator="containsText" text="기타">
      <formula>NOT(ISERROR(SEARCH(("기타"),(I96))))</formula>
    </cfRule>
    <cfRule type="containsText" dxfId="5178" priority="9390" operator="containsText" text="정규교과">
      <formula>NOT(ISERROR(SEARCH(("정규교과"),(I96))))</formula>
    </cfRule>
    <cfRule type="containsText" dxfId="5177" priority="9391" operator="containsText" text="기타">
      <formula>NOT(ISERROR(SEARCH(("기타"),(I96))))</formula>
    </cfRule>
    <cfRule type="containsText" dxfId="5176" priority="9392" operator="containsText" text="프로젝트">
      <formula>NOT(ISERROR(SEARCH(("프로젝트"),(I96))))</formula>
    </cfRule>
    <cfRule type="containsText" dxfId="5175" priority="9393" operator="containsText" text="정규교과">
      <formula>NOT(ISERROR(SEARCH(("정규교과"),(I96))))</formula>
    </cfRule>
    <cfRule type="containsText" dxfId="5174" priority="9394" operator="containsText" text="기타">
      <formula>NOT(ISERROR(SEARCH(("기타"),(I96))))</formula>
    </cfRule>
    <cfRule type="containsText" dxfId="5173" priority="9395" operator="containsText" text="프로젝트">
      <formula>NOT(ISERROR(SEARCH(("프로젝트"),(I96))))</formula>
    </cfRule>
    <cfRule type="containsText" dxfId="5172" priority="9354" operator="containsText" text="기타">
      <formula>NOT(ISERROR(SEARCH(("기타"),(I96))))</formula>
    </cfRule>
    <cfRule type="containsText" dxfId="5171" priority="9396" operator="containsText" text="정규교과">
      <formula>NOT(ISERROR(SEARCH(("정규교과"),(I96))))</formula>
    </cfRule>
    <cfRule type="containsText" dxfId="5170" priority="9363" operator="containsText" text="기타">
      <formula>NOT(ISERROR(SEARCH(("기타"),(I96))))</formula>
    </cfRule>
    <cfRule type="containsText" dxfId="5169" priority="9397" operator="containsText" text="기타">
      <formula>NOT(ISERROR(SEARCH(("기타"),(I96))))</formula>
    </cfRule>
    <cfRule type="containsText" dxfId="5168" priority="9398" operator="containsText" text="프로젝트">
      <formula>NOT(ISERROR(SEARCH(("프로젝트"),(I96))))</formula>
    </cfRule>
    <cfRule type="containsText" dxfId="5167" priority="9399" operator="containsText" text="정규교과">
      <formula>NOT(ISERROR(SEARCH(("정규교과"),(I96))))</formula>
    </cfRule>
    <cfRule type="containsText" dxfId="5166" priority="9362" operator="containsText" text="정규교과">
      <formula>NOT(ISERROR(SEARCH(("정규교과"),(I96))))</formula>
    </cfRule>
    <cfRule type="containsText" dxfId="5165" priority="9361" operator="containsText" text="프로젝트">
      <formula>NOT(ISERROR(SEARCH(("프로젝트"),(I96))))</formula>
    </cfRule>
    <cfRule type="containsText" dxfId="5164" priority="9400" operator="containsText" text="기타">
      <formula>NOT(ISERROR(SEARCH(("기타"),(I96))))</formula>
    </cfRule>
    <cfRule type="containsText" dxfId="5163" priority="9360" operator="containsText" text="기타">
      <formula>NOT(ISERROR(SEARCH(("기타"),(I96))))</formula>
    </cfRule>
    <cfRule type="containsText" dxfId="5162" priority="9359" operator="containsText" text="정규교과">
      <formula>NOT(ISERROR(SEARCH(("정규교과"),(I96))))</formula>
    </cfRule>
    <cfRule type="containsText" dxfId="5161" priority="9358" operator="containsText" text="프로젝트">
      <formula>NOT(ISERROR(SEARCH(("프로젝트"),(I96))))</formula>
    </cfRule>
    <cfRule type="containsText" dxfId="5160" priority="9357" operator="containsText" text="기타">
      <formula>NOT(ISERROR(SEARCH(("기타"),(I96))))</formula>
    </cfRule>
    <cfRule type="containsText" dxfId="5159" priority="9356" operator="containsText" text="정규교과">
      <formula>NOT(ISERROR(SEARCH(("정규교과"),(I96))))</formula>
    </cfRule>
    <cfRule type="containsText" dxfId="5158" priority="9355" operator="containsText" text="프로젝트">
      <formula>NOT(ISERROR(SEARCH(("프로젝트"),(I96))))</formula>
    </cfRule>
    <cfRule type="containsText" dxfId="5157" priority="9353" operator="containsText" text="정규교과">
      <formula>NOT(ISERROR(SEARCH(("정규교과"),(I96))))</formula>
    </cfRule>
    <cfRule type="containsText" dxfId="5156" priority="9352" operator="containsText" text="프로젝트">
      <formula>NOT(ISERROR(SEARCH(("프로젝트"),(I96))))</formula>
    </cfRule>
    <cfRule type="containsText" dxfId="5155" priority="9375" operator="containsText" text="기타">
      <formula>NOT(ISERROR(SEARCH(("기타"),(I96))))</formula>
    </cfRule>
    <cfRule type="containsText" dxfId="5154" priority="9376" operator="containsText" text="프로젝트">
      <formula>NOT(ISERROR(SEARCH(("프로젝트"),(I96))))</formula>
    </cfRule>
    <cfRule type="containsText" dxfId="5153" priority="9377" operator="containsText" text="정규교과">
      <formula>NOT(ISERROR(SEARCH(("정규교과"),(I96))))</formula>
    </cfRule>
    <cfRule type="containsText" dxfId="5152" priority="9378" operator="containsText" text="기타">
      <formula>NOT(ISERROR(SEARCH(("기타"),(I96))))</formula>
    </cfRule>
    <cfRule type="containsText" dxfId="5151" priority="9379" operator="containsText" text="프로젝트">
      <formula>NOT(ISERROR(SEARCH(("프로젝트"),(I96))))</formula>
    </cfRule>
    <cfRule type="containsText" dxfId="5150" priority="9380" operator="containsText" text="정규교과">
      <formula>NOT(ISERROR(SEARCH(("정규교과"),(I96))))</formula>
    </cfRule>
    <cfRule type="containsText" dxfId="5149" priority="9381" operator="containsText" text="기타">
      <formula>NOT(ISERROR(SEARCH(("기타"),(I96))))</formula>
    </cfRule>
    <cfRule type="containsText" dxfId="5148" priority="9383" operator="containsText" text="정규교과">
      <formula>NOT(ISERROR(SEARCH(("정규교과"),(I96))))</formula>
    </cfRule>
    <cfRule type="containsText" dxfId="5147" priority="9367" operator="containsText" text="프로젝트">
      <formula>NOT(ISERROR(SEARCH(("프로젝트"),(I96))))</formula>
    </cfRule>
    <cfRule type="containsText" dxfId="5146" priority="9368" operator="containsText" text="정규교과">
      <formula>NOT(ISERROR(SEARCH(("정규교과"),(I96))))</formula>
    </cfRule>
    <cfRule type="containsText" dxfId="5145" priority="9369" operator="containsText" text="기타">
      <formula>NOT(ISERROR(SEARCH(("기타"),(I96))))</formula>
    </cfRule>
    <cfRule type="containsText" dxfId="5144" priority="9370" operator="containsText" text="프로젝트">
      <formula>NOT(ISERROR(SEARCH(("프로젝트"),(I96))))</formula>
    </cfRule>
    <cfRule type="containsText" dxfId="5143" priority="9371" operator="containsText" text="정규교과">
      <formula>NOT(ISERROR(SEARCH(("정규교과"),(I96))))</formula>
    </cfRule>
    <cfRule type="containsText" dxfId="5142" priority="9372" operator="containsText" text="기타">
      <formula>NOT(ISERROR(SEARCH(("기타"),(I96))))</formula>
    </cfRule>
    <cfRule type="containsText" dxfId="5141" priority="9382" operator="containsText" text="프로젝트">
      <formula>NOT(ISERROR(SEARCH(("프로젝트"),(I96))))</formula>
    </cfRule>
  </conditionalFormatting>
  <conditionalFormatting sqref="I100">
    <cfRule type="containsText" dxfId="5140" priority="9255" operator="containsText" text="정규교과">
      <formula>NOT(ISERROR(SEARCH(("정규교과"),(I100))))</formula>
    </cfRule>
    <cfRule type="containsText" dxfId="5139" priority="9256" operator="containsText" text="기타">
      <formula>NOT(ISERROR(SEARCH(("기타"),(I100))))</formula>
    </cfRule>
    <cfRule type="containsText" dxfId="5138" priority="9257" operator="containsText" text="프로젝트">
      <formula>NOT(ISERROR(SEARCH(("프로젝트"),(I100))))</formula>
    </cfRule>
    <cfRule type="containsText" dxfId="5137" priority="9258" operator="containsText" text="정규교과">
      <formula>NOT(ISERROR(SEARCH(("정규교과"),(I100))))</formula>
    </cfRule>
    <cfRule type="containsText" dxfId="5136" priority="9259" operator="containsText" text="기타">
      <formula>NOT(ISERROR(SEARCH(("기타"),(I100))))</formula>
    </cfRule>
    <cfRule type="containsText" dxfId="5135" priority="9260" operator="containsText" text="프로젝트">
      <formula>NOT(ISERROR(SEARCH(("프로젝트"),(I100))))</formula>
    </cfRule>
    <cfRule type="containsText" dxfId="5134" priority="9261" operator="containsText" text="정규교과">
      <formula>NOT(ISERROR(SEARCH(("정규교과"),(I100))))</formula>
    </cfRule>
    <cfRule type="containsText" dxfId="5133" priority="9263" operator="containsText" text="프로젝트">
      <formula>NOT(ISERROR(SEARCH(("프로젝트"),(I100))))</formula>
    </cfRule>
    <cfRule type="containsText" dxfId="5132" priority="9265" operator="containsText" text="기타">
      <formula>NOT(ISERROR(SEARCH(("기타"),(I100))))</formula>
    </cfRule>
    <cfRule type="containsText" dxfId="5131" priority="9266" operator="containsText" text="프로젝트">
      <formula>NOT(ISERROR(SEARCH(("프로젝트"),(I100))))</formula>
    </cfRule>
    <cfRule type="containsText" dxfId="5130" priority="9267" operator="containsText" text="정규교과">
      <formula>NOT(ISERROR(SEARCH(("정규교과"),(I100))))</formula>
    </cfRule>
    <cfRule type="containsText" dxfId="5129" priority="9268" operator="containsText" text="기타">
      <formula>NOT(ISERROR(SEARCH(("기타"),(I100))))</formula>
    </cfRule>
    <cfRule type="containsText" dxfId="5128" priority="9292" operator="containsText" text="정규교과">
      <formula>NOT(ISERROR(SEARCH(("정규교과"),(I100))))</formula>
    </cfRule>
    <cfRule type="containsText" dxfId="5127" priority="9269" operator="containsText" text="프로젝트">
      <formula>NOT(ISERROR(SEARCH(("프로젝트"),(I100))))</formula>
    </cfRule>
    <cfRule type="containsText" dxfId="5126" priority="9270" operator="containsText" text="정규교과">
      <formula>NOT(ISERROR(SEARCH(("정규교과"),(I100))))</formula>
    </cfRule>
    <cfRule type="containsText" dxfId="5125" priority="9271" operator="containsText" text="기타">
      <formula>NOT(ISERROR(SEARCH(("기타"),(I100))))</formula>
    </cfRule>
    <cfRule type="containsText" dxfId="5124" priority="9272" operator="containsText" text="프로젝트">
      <formula>NOT(ISERROR(SEARCH(("프로젝트"),(I100))))</formula>
    </cfRule>
    <cfRule type="containsText" dxfId="5123" priority="9273" operator="containsText" text="정규교과">
      <formula>NOT(ISERROR(SEARCH(("정규교과"),(I100))))</formula>
    </cfRule>
    <cfRule type="containsText" dxfId="5122" priority="9274" operator="containsText" text="기타">
      <formula>NOT(ISERROR(SEARCH(("기타"),(I100))))</formula>
    </cfRule>
    <cfRule type="containsText" dxfId="5121" priority="9275" operator="containsText" text="프로젝트">
      <formula>NOT(ISERROR(SEARCH(("프로젝트"),(I100))))</formula>
    </cfRule>
    <cfRule type="containsText" dxfId="5120" priority="9277" operator="containsText" text="기타">
      <formula>NOT(ISERROR(SEARCH(("기타"),(I100))))</formula>
    </cfRule>
    <cfRule type="containsText" dxfId="5119" priority="9278" operator="containsText" text="프로젝트">
      <formula>NOT(ISERROR(SEARCH(("프로젝트"),(I100))))</formula>
    </cfRule>
    <cfRule type="containsText" dxfId="5118" priority="9279" operator="containsText" text="정규교과">
      <formula>NOT(ISERROR(SEARCH(("정규교과"),(I100))))</formula>
    </cfRule>
    <cfRule type="containsText" dxfId="5117" priority="9280" operator="containsText" text="기타">
      <formula>NOT(ISERROR(SEARCH(("기타"),(I100))))</formula>
    </cfRule>
    <cfRule type="containsText" dxfId="5116" priority="9281" operator="containsText" text="프로젝트">
      <formula>NOT(ISERROR(SEARCH(("프로젝트"),(I100))))</formula>
    </cfRule>
    <cfRule type="containsText" dxfId="5115" priority="9282" operator="containsText" text="정규교과">
      <formula>NOT(ISERROR(SEARCH(("정규교과"),(I100))))</formula>
    </cfRule>
    <cfRule type="containsText" dxfId="5114" priority="9262" operator="containsText" text="기타">
      <formula>NOT(ISERROR(SEARCH(("기타"),(I100))))</formula>
    </cfRule>
    <cfRule type="containsText" dxfId="5113" priority="9283" operator="containsText" text="기타">
      <formula>NOT(ISERROR(SEARCH(("기타"),(I100))))</formula>
    </cfRule>
    <cfRule type="containsText" dxfId="5112" priority="9264" operator="containsText" text="정규교과">
      <formula>NOT(ISERROR(SEARCH(("정규교과"),(I100))))</formula>
    </cfRule>
    <cfRule type="containsText" dxfId="5111" priority="9284" operator="containsText" text="휴강">
      <formula>NOT(ISERROR(SEARCH(("휴강"),(I100))))</formula>
    </cfRule>
    <cfRule type="containsText" dxfId="5110" priority="9285" operator="containsText" text="프로젝트">
      <formula>NOT(ISERROR(SEARCH(("프로젝트"),(I100))))</formula>
    </cfRule>
    <cfRule type="containsText" dxfId="5109" priority="9286" operator="containsText" text="정규교과">
      <formula>NOT(ISERROR(SEARCH(("정규교과"),(I100))))</formula>
    </cfRule>
    <cfRule type="containsText" dxfId="5108" priority="9287" operator="containsText" text="기타">
      <formula>NOT(ISERROR(SEARCH(("기타"),(I100))))</formula>
    </cfRule>
    <cfRule type="containsText" dxfId="5107" priority="9288" operator="containsText" text="프로젝트">
      <formula>NOT(ISERROR(SEARCH(("프로젝트"),(I100))))</formula>
    </cfRule>
    <cfRule type="containsText" dxfId="5106" priority="9289" operator="containsText" text="정규교과">
      <formula>NOT(ISERROR(SEARCH(("정규교과"),(I100))))</formula>
    </cfRule>
    <cfRule type="containsText" dxfId="5105" priority="9290" operator="containsText" text="기타">
      <formula>NOT(ISERROR(SEARCH(("기타"),(I100))))</formula>
    </cfRule>
    <cfRule type="containsText" dxfId="5104" priority="9291" operator="containsText" text="프로젝트">
      <formula>NOT(ISERROR(SEARCH(("프로젝트"),(I100))))</formula>
    </cfRule>
    <cfRule type="containsText" dxfId="5103" priority="9293" operator="containsText" text="기타">
      <formula>NOT(ISERROR(SEARCH(("기타"),(I100))))</formula>
    </cfRule>
    <cfRule type="containsText" dxfId="5102" priority="9294" operator="containsText" text="프로젝트">
      <formula>NOT(ISERROR(SEARCH(("프로젝트"),(I100))))</formula>
    </cfRule>
    <cfRule type="containsText" dxfId="5101" priority="9295" operator="containsText" text="정규교과">
      <formula>NOT(ISERROR(SEARCH(("정규교과"),(I100))))</formula>
    </cfRule>
    <cfRule type="containsText" dxfId="5100" priority="9296" operator="containsText" text="기타">
      <formula>NOT(ISERROR(SEARCH(("기타"),(I100))))</formula>
    </cfRule>
    <cfRule type="containsText" dxfId="5099" priority="9297" operator="containsText" text="프로젝트">
      <formula>NOT(ISERROR(SEARCH(("프로젝트"),(I100))))</formula>
    </cfRule>
    <cfRule type="containsText" dxfId="5098" priority="9298" operator="containsText" text="정규교과">
      <formula>NOT(ISERROR(SEARCH(("정규교과"),(I100))))</formula>
    </cfRule>
    <cfRule type="containsText" dxfId="5097" priority="9299" operator="containsText" text="기타">
      <formula>NOT(ISERROR(SEARCH(("기타"),(I100))))</formula>
    </cfRule>
    <cfRule type="containsText" dxfId="5096" priority="9276" operator="containsText" text="정규교과">
      <formula>NOT(ISERROR(SEARCH(("정규교과"),(I100))))</formula>
    </cfRule>
    <cfRule type="containsText" dxfId="5095" priority="9248" operator="containsText" text="프로젝트">
      <formula>NOT(ISERROR(SEARCH(("프로젝트"),(I100))))</formula>
    </cfRule>
    <cfRule type="containsText" dxfId="5094" priority="9249" operator="containsText" text="정규교과">
      <formula>NOT(ISERROR(SEARCH(("정규교과"),(I100))))</formula>
    </cfRule>
    <cfRule type="containsText" dxfId="5093" priority="9250" operator="containsText" text="기타">
      <formula>NOT(ISERROR(SEARCH(("기타"),(I100))))</formula>
    </cfRule>
    <cfRule type="containsText" dxfId="5092" priority="9251" operator="containsText" text="프로젝트">
      <formula>NOT(ISERROR(SEARCH(("프로젝트"),(I100))))</formula>
    </cfRule>
    <cfRule type="containsText" dxfId="5091" priority="9252" operator="containsText" text="정규교과">
      <formula>NOT(ISERROR(SEARCH(("정규교과"),(I100))))</formula>
    </cfRule>
    <cfRule type="containsText" dxfId="5090" priority="9253" operator="containsText" text="기타">
      <formula>NOT(ISERROR(SEARCH(("기타"),(I100))))</formula>
    </cfRule>
    <cfRule type="containsText" dxfId="5089" priority="9254" operator="containsText" text="프로젝트">
      <formula>NOT(ISERROR(SEARCH(("프로젝트"),(I100))))</formula>
    </cfRule>
  </conditionalFormatting>
  <conditionalFormatting sqref="I104">
    <cfRule type="containsText" dxfId="5088" priority="9144" operator="containsText" text="프로젝트">
      <formula>NOT(ISERROR(SEARCH(("프로젝트"),(I104))))</formula>
    </cfRule>
    <cfRule type="containsText" dxfId="5087" priority="9145" operator="containsText" text="정규교과">
      <formula>NOT(ISERROR(SEARCH(("정규교과"),(I104))))</formula>
    </cfRule>
    <cfRule type="containsText" dxfId="5086" priority="9146" operator="containsText" text="기타">
      <formula>NOT(ISERROR(SEARCH(("기타"),(I104))))</formula>
    </cfRule>
    <cfRule type="containsText" dxfId="5085" priority="9147" operator="containsText" text="프로젝트">
      <formula>NOT(ISERROR(SEARCH(("프로젝트"),(I104))))</formula>
    </cfRule>
    <cfRule type="containsText" dxfId="5084" priority="9148" operator="containsText" text="정규교과">
      <formula>NOT(ISERROR(SEARCH(("정규교과"),(I104))))</formula>
    </cfRule>
    <cfRule type="containsText" dxfId="5083" priority="9149" operator="containsText" text="기타">
      <formula>NOT(ISERROR(SEARCH(("기타"),(I104))))</formula>
    </cfRule>
    <cfRule type="containsText" dxfId="5082" priority="9150" operator="containsText" text="프로젝트">
      <formula>NOT(ISERROR(SEARCH(("프로젝트"),(I104))))</formula>
    </cfRule>
    <cfRule type="containsText" dxfId="5081" priority="9183" operator="containsText" text="기타">
      <formula>NOT(ISERROR(SEARCH(("기타"),(I104))))</formula>
    </cfRule>
    <cfRule type="containsText" dxfId="5080" priority="9151" operator="containsText" text="정규교과">
      <formula>NOT(ISERROR(SEARCH(("정규교과"),(I104))))</formula>
    </cfRule>
    <cfRule type="containsText" dxfId="5079" priority="9152" operator="containsText" text="기타">
      <formula>NOT(ISERROR(SEARCH(("기타"),(I104))))</formula>
    </cfRule>
    <cfRule type="containsText" dxfId="5078" priority="9153" operator="containsText" text="프로젝트">
      <formula>NOT(ISERROR(SEARCH(("프로젝트"),(I104))))</formula>
    </cfRule>
    <cfRule type="containsText" dxfId="5077" priority="9154" operator="containsText" text="정규교과">
      <formula>NOT(ISERROR(SEARCH(("정규교과"),(I104))))</formula>
    </cfRule>
    <cfRule type="containsText" dxfId="5076" priority="9155" operator="containsText" text="기타">
      <formula>NOT(ISERROR(SEARCH(("기타"),(I104))))</formula>
    </cfRule>
    <cfRule type="containsText" dxfId="5075" priority="9156" operator="containsText" text="프로젝트">
      <formula>NOT(ISERROR(SEARCH(("프로젝트"),(I104))))</formula>
    </cfRule>
    <cfRule type="containsText" dxfId="5074" priority="9157" operator="containsText" text="정규교과">
      <formula>NOT(ISERROR(SEARCH(("정규교과"),(I104))))</formula>
    </cfRule>
    <cfRule type="containsText" dxfId="5073" priority="9184" operator="containsText" text="프로젝트">
      <formula>NOT(ISERROR(SEARCH(("프로젝트"),(I104))))</formula>
    </cfRule>
    <cfRule type="containsText" dxfId="5072" priority="9185" operator="containsText" text="정규교과">
      <formula>NOT(ISERROR(SEARCH(("정규교과"),(I104))))</formula>
    </cfRule>
    <cfRule type="containsText" dxfId="5071" priority="9186" operator="containsText" text="기타">
      <formula>NOT(ISERROR(SEARCH(("기타"),(I104))))</formula>
    </cfRule>
    <cfRule type="containsText" dxfId="5070" priority="9187" operator="containsText" text="프로젝트">
      <formula>NOT(ISERROR(SEARCH(("프로젝트"),(I104))))</formula>
    </cfRule>
    <cfRule type="containsText" dxfId="5069" priority="9188" operator="containsText" text="정규교과">
      <formula>NOT(ISERROR(SEARCH(("정규교과"),(I104))))</formula>
    </cfRule>
    <cfRule type="containsText" dxfId="5068" priority="9182" operator="containsText" text="정규교과">
      <formula>NOT(ISERROR(SEARCH(("정규교과"),(I104))))</formula>
    </cfRule>
    <cfRule type="containsText" dxfId="5067" priority="9189" operator="containsText" text="기타">
      <formula>NOT(ISERROR(SEARCH(("기타"),(I104))))</formula>
    </cfRule>
    <cfRule type="containsText" dxfId="5066" priority="9190" operator="containsText" text="프로젝트">
      <formula>NOT(ISERROR(SEARCH(("프로젝트"),(I104))))</formula>
    </cfRule>
    <cfRule type="containsText" dxfId="5065" priority="9191" operator="containsText" text="정규교과">
      <formula>NOT(ISERROR(SEARCH(("정규교과"),(I104))))</formula>
    </cfRule>
    <cfRule type="containsText" dxfId="5064" priority="9192" operator="containsText" text="기타">
      <formula>NOT(ISERROR(SEARCH(("기타"),(I104))))</formula>
    </cfRule>
    <cfRule type="containsText" dxfId="5063" priority="9180" operator="containsText" text="휴강">
      <formula>NOT(ISERROR(SEARCH(("휴강"),(I104))))</formula>
    </cfRule>
    <cfRule type="containsText" dxfId="5062" priority="9179" operator="containsText" text="기타">
      <formula>NOT(ISERROR(SEARCH(("기타"),(I104))))</formula>
    </cfRule>
    <cfRule type="containsText" dxfId="5061" priority="9178" operator="containsText" text="정규교과">
      <formula>NOT(ISERROR(SEARCH(("정규교과"),(I104))))</formula>
    </cfRule>
    <cfRule type="containsText" dxfId="5060" priority="9177" operator="containsText" text="프로젝트">
      <formula>NOT(ISERROR(SEARCH(("프로젝트"),(I104))))</formula>
    </cfRule>
    <cfRule type="containsText" dxfId="5059" priority="9176" operator="containsText" text="기타">
      <formula>NOT(ISERROR(SEARCH(("기타"),(I104))))</formula>
    </cfRule>
    <cfRule type="containsText" dxfId="5058" priority="9158" operator="containsText" text="기타">
      <formula>NOT(ISERROR(SEARCH(("기타"),(I104))))</formula>
    </cfRule>
    <cfRule type="containsText" dxfId="5057" priority="9159" operator="containsText" text="프로젝트">
      <formula>NOT(ISERROR(SEARCH(("프로젝트"),(I104))))</formula>
    </cfRule>
    <cfRule type="containsText" dxfId="5056" priority="9175" operator="containsText" text="정규교과">
      <formula>NOT(ISERROR(SEARCH(("정규교과"),(I104))))</formula>
    </cfRule>
    <cfRule type="containsText" dxfId="5055" priority="9160" operator="containsText" text="정규교과">
      <formula>NOT(ISERROR(SEARCH(("정규교과"),(I104))))</formula>
    </cfRule>
    <cfRule type="containsText" dxfId="5054" priority="9161" operator="containsText" text="기타">
      <formula>NOT(ISERROR(SEARCH(("기타"),(I104))))</formula>
    </cfRule>
    <cfRule type="containsText" dxfId="5053" priority="9162" operator="containsText" text="프로젝트">
      <formula>NOT(ISERROR(SEARCH(("프로젝트"),(I104))))</formula>
    </cfRule>
    <cfRule type="containsText" dxfId="5052" priority="9163" operator="containsText" text="정규교과">
      <formula>NOT(ISERROR(SEARCH(("정규교과"),(I104))))</formula>
    </cfRule>
    <cfRule type="containsText" dxfId="5051" priority="9164" operator="containsText" text="기타">
      <formula>NOT(ISERROR(SEARCH(("기타"),(I104))))</formula>
    </cfRule>
    <cfRule type="containsText" dxfId="5050" priority="9165" operator="containsText" text="프로젝트">
      <formula>NOT(ISERROR(SEARCH(("프로젝트"),(I104))))</formula>
    </cfRule>
    <cfRule type="containsText" dxfId="5049" priority="9166" operator="containsText" text="정규교과">
      <formula>NOT(ISERROR(SEARCH(("정규교과"),(I104))))</formula>
    </cfRule>
    <cfRule type="containsText" dxfId="5048" priority="9167" operator="containsText" text="기타">
      <formula>NOT(ISERROR(SEARCH(("기타"),(I104))))</formula>
    </cfRule>
    <cfRule type="containsText" dxfId="5047" priority="9168" operator="containsText" text="프로젝트">
      <formula>NOT(ISERROR(SEARCH(("프로젝트"),(I104))))</formula>
    </cfRule>
    <cfRule type="containsText" dxfId="5046" priority="9195" operator="containsText" text="기타">
      <formula>NOT(ISERROR(SEARCH(("기타"),(I104))))</formula>
    </cfRule>
    <cfRule type="containsText" dxfId="5045" priority="9194" operator="containsText" text="정규교과">
      <formula>NOT(ISERROR(SEARCH(("정규교과"),(I104))))</formula>
    </cfRule>
    <cfRule type="containsText" dxfId="5044" priority="9193" operator="containsText" text="프로젝트">
      <formula>NOT(ISERROR(SEARCH(("프로젝트"),(I104))))</formula>
    </cfRule>
    <cfRule type="containsText" dxfId="5043" priority="9181" operator="containsText" text="프로젝트">
      <formula>NOT(ISERROR(SEARCH(("프로젝트"),(I104))))</formula>
    </cfRule>
    <cfRule type="containsText" dxfId="5042" priority="9174" operator="containsText" text="프로젝트">
      <formula>NOT(ISERROR(SEARCH(("프로젝트"),(I104))))</formula>
    </cfRule>
    <cfRule type="containsText" dxfId="5041" priority="9173" operator="containsText" text="기타">
      <formula>NOT(ISERROR(SEARCH(("기타"),(I104))))</formula>
    </cfRule>
    <cfRule type="containsText" dxfId="5040" priority="9172" operator="containsText" text="정규교과">
      <formula>NOT(ISERROR(SEARCH(("정규교과"),(I104))))</formula>
    </cfRule>
    <cfRule type="containsText" dxfId="5039" priority="9171" operator="containsText" text="프로젝트">
      <formula>NOT(ISERROR(SEARCH(("프로젝트"),(I104))))</formula>
    </cfRule>
    <cfRule type="containsText" dxfId="5038" priority="9170" operator="containsText" text="기타">
      <formula>NOT(ISERROR(SEARCH(("기타"),(I104))))</formula>
    </cfRule>
    <cfRule type="containsText" dxfId="5037" priority="9169" operator="containsText" text="정규교과">
      <formula>NOT(ISERROR(SEARCH(("정규교과"),(I104))))</formula>
    </cfRule>
  </conditionalFormatting>
  <conditionalFormatting sqref="I110">
    <cfRule type="containsText" dxfId="5036" priority="8050" operator="containsText" text="정규교과">
      <formula>NOT(ISERROR(SEARCH(("정규교과"),(I110))))</formula>
    </cfRule>
    <cfRule type="containsText" dxfId="5035" priority="8051" operator="containsText" text="기타">
      <formula>NOT(ISERROR(SEARCH(("기타"),(I110))))</formula>
    </cfRule>
    <cfRule type="containsText" dxfId="5034" priority="8036" operator="containsText" text="휴강">
      <formula>NOT(ISERROR(SEARCH(("휴강"),(I110))))</formula>
    </cfRule>
    <cfRule type="containsText" dxfId="5033" priority="8049" operator="containsText" text="프로젝트">
      <formula>NOT(ISERROR(SEARCH(("프로젝트"),(I110))))</formula>
    </cfRule>
    <cfRule type="containsText" dxfId="5032" priority="8037" operator="containsText" text="프로젝트">
      <formula>NOT(ISERROR(SEARCH(("프로젝트"),(I110))))</formula>
    </cfRule>
    <cfRule type="containsText" dxfId="5031" priority="8038" operator="containsText" text="정규교과">
      <formula>NOT(ISERROR(SEARCH(("정규교과"),(I110))))</formula>
    </cfRule>
    <cfRule type="containsText" dxfId="5030" priority="8039" operator="containsText" text="기타">
      <formula>NOT(ISERROR(SEARCH(("기타"),(I110))))</formula>
    </cfRule>
    <cfRule type="containsText" dxfId="5029" priority="8040" operator="containsText" text="프로젝트">
      <formula>NOT(ISERROR(SEARCH(("프로젝트"),(I110))))</formula>
    </cfRule>
    <cfRule type="containsText" dxfId="5028" priority="8041" operator="containsText" text="정규교과">
      <formula>NOT(ISERROR(SEARCH(("정규교과"),(I110))))</formula>
    </cfRule>
    <cfRule type="containsText" dxfId="5027" priority="8042" operator="containsText" text="기타">
      <formula>NOT(ISERROR(SEARCH(("기타"),(I110))))</formula>
    </cfRule>
    <cfRule type="containsText" dxfId="5026" priority="8043" operator="containsText" text="프로젝트">
      <formula>NOT(ISERROR(SEARCH(("프로젝트"),(I110))))</formula>
    </cfRule>
    <cfRule type="containsText" dxfId="5025" priority="8044" operator="containsText" text="정규교과">
      <formula>NOT(ISERROR(SEARCH(("정규교과"),(I110))))</formula>
    </cfRule>
    <cfRule type="containsText" dxfId="5024" priority="8045" operator="containsText" text="기타">
      <formula>NOT(ISERROR(SEARCH(("기타"),(I110))))</formula>
    </cfRule>
    <cfRule type="containsText" dxfId="5023" priority="8046" operator="containsText" text="프로젝트">
      <formula>NOT(ISERROR(SEARCH(("프로젝트"),(I110))))</formula>
    </cfRule>
    <cfRule type="containsText" dxfId="5022" priority="8047" operator="containsText" text="정규교과">
      <formula>NOT(ISERROR(SEARCH(("정규교과"),(I110))))</formula>
    </cfRule>
    <cfRule type="containsText" dxfId="5021" priority="8048" operator="containsText" text="기타">
      <formula>NOT(ISERROR(SEARCH(("기타"),(I110))))</formula>
    </cfRule>
  </conditionalFormatting>
  <conditionalFormatting sqref="I114">
    <cfRule type="containsText" dxfId="5020" priority="8015" operator="containsText" text="정규교과">
      <formula>NOT(ISERROR(SEARCH(("정규교과"),(I114))))</formula>
    </cfRule>
    <cfRule type="containsText" dxfId="5019" priority="8019" operator="containsText" text="기타">
      <formula>NOT(ISERROR(SEARCH(("기타"),(I114))))</formula>
    </cfRule>
    <cfRule type="containsText" dxfId="5018" priority="8018" operator="containsText" text="정규교과">
      <formula>NOT(ISERROR(SEARCH(("정규교과"),(I114))))</formula>
    </cfRule>
    <cfRule type="containsText" dxfId="5017" priority="8017" operator="containsText" text="프로젝트">
      <formula>NOT(ISERROR(SEARCH(("프로젝트"),(I114))))</formula>
    </cfRule>
    <cfRule type="containsText" dxfId="5016" priority="8016" operator="containsText" text="기타">
      <formula>NOT(ISERROR(SEARCH(("기타"),(I114))))</formula>
    </cfRule>
    <cfRule type="containsText" dxfId="5015" priority="8014" operator="containsText" text="프로젝트">
      <formula>NOT(ISERROR(SEARCH(("프로젝트"),(I114))))</formula>
    </cfRule>
    <cfRule type="containsText" dxfId="5014" priority="8012" operator="containsText" text="정규교과">
      <formula>NOT(ISERROR(SEARCH(("정규교과"),(I114))))</formula>
    </cfRule>
    <cfRule type="containsText" dxfId="5013" priority="8011" operator="containsText" text="프로젝트">
      <formula>NOT(ISERROR(SEARCH(("프로젝트"),(I114))))</formula>
    </cfRule>
    <cfRule type="containsText" dxfId="5012" priority="8010" operator="containsText" text="기타">
      <formula>NOT(ISERROR(SEARCH(("기타"),(I114))))</formula>
    </cfRule>
    <cfRule type="containsText" dxfId="5011" priority="8009" operator="containsText" text="정규교과">
      <formula>NOT(ISERROR(SEARCH(("정규교과"),(I114))))</formula>
    </cfRule>
    <cfRule type="containsText" dxfId="5010" priority="8008" operator="containsText" text="프로젝트">
      <formula>NOT(ISERROR(SEARCH(("프로젝트"),(I114))))</formula>
    </cfRule>
    <cfRule type="containsText" dxfId="5009" priority="8007" operator="containsText" text="기타">
      <formula>NOT(ISERROR(SEARCH(("기타"),(I114))))</formula>
    </cfRule>
    <cfRule type="containsText" dxfId="5008" priority="8006" operator="containsText" text="정규교과">
      <formula>NOT(ISERROR(SEARCH(("정규교과"),(I114))))</formula>
    </cfRule>
    <cfRule type="containsText" dxfId="5007" priority="8005" operator="containsText" text="프로젝트">
      <formula>NOT(ISERROR(SEARCH(("프로젝트"),(I114))))</formula>
    </cfRule>
    <cfRule type="containsText" dxfId="5006" priority="8013" operator="containsText" text="기타">
      <formula>NOT(ISERROR(SEARCH(("기타"),(I114))))</formula>
    </cfRule>
    <cfRule type="containsText" dxfId="5005" priority="8004" operator="containsText" text="휴강">
      <formula>NOT(ISERROR(SEARCH(("휴강"),(I114))))</formula>
    </cfRule>
  </conditionalFormatting>
  <conditionalFormatting sqref="I118">
    <cfRule type="containsText" dxfId="5004" priority="7977" operator="containsText" text="정규교과">
      <formula>NOT(ISERROR(SEARCH(("정규교과"),(I118))))</formula>
    </cfRule>
    <cfRule type="containsText" dxfId="5003" priority="7978" operator="containsText" text="기타">
      <formula>NOT(ISERROR(SEARCH(("기타"),(I118))))</formula>
    </cfRule>
    <cfRule type="containsText" dxfId="5002" priority="7979" operator="containsText" text="프로젝트">
      <formula>NOT(ISERROR(SEARCH(("프로젝트"),(I118))))</formula>
    </cfRule>
    <cfRule type="containsText" dxfId="5001" priority="7985" operator="containsText" text="프로젝트">
      <formula>NOT(ISERROR(SEARCH(("프로젝트"),(I118))))</formula>
    </cfRule>
    <cfRule type="containsText" dxfId="5000" priority="7980" operator="containsText" text="정규교과">
      <formula>NOT(ISERROR(SEARCH(("정규교과"),(I118))))</formula>
    </cfRule>
    <cfRule type="containsText" dxfId="4999" priority="7981" operator="containsText" text="기타">
      <formula>NOT(ISERROR(SEARCH(("기타"),(I118))))</formula>
    </cfRule>
    <cfRule type="containsText" dxfId="4998" priority="7982" operator="containsText" text="프로젝트">
      <formula>NOT(ISERROR(SEARCH(("프로젝트"),(I118))))</formula>
    </cfRule>
    <cfRule type="containsText" dxfId="4997" priority="7983" operator="containsText" text="정규교과">
      <formula>NOT(ISERROR(SEARCH(("정규교과"),(I118))))</formula>
    </cfRule>
    <cfRule type="containsText" dxfId="4996" priority="7984" operator="containsText" text="기타">
      <formula>NOT(ISERROR(SEARCH(("기타"),(I118))))</formula>
    </cfRule>
    <cfRule type="containsText" dxfId="4995" priority="7987" operator="containsText" text="기타">
      <formula>NOT(ISERROR(SEARCH(("기타"),(I118))))</formula>
    </cfRule>
    <cfRule type="containsText" dxfId="4994" priority="7974" operator="containsText" text="정규교과">
      <formula>NOT(ISERROR(SEARCH(("정규교과"),(I118))))</formula>
    </cfRule>
    <cfRule type="containsText" dxfId="4993" priority="7986" operator="containsText" text="정규교과">
      <formula>NOT(ISERROR(SEARCH(("정규교과"),(I118))))</formula>
    </cfRule>
    <cfRule type="containsText" dxfId="4992" priority="7972" operator="containsText" text="휴강">
      <formula>NOT(ISERROR(SEARCH(("휴강"),(I118))))</formula>
    </cfRule>
    <cfRule type="containsText" dxfId="4991" priority="7973" operator="containsText" text="프로젝트">
      <formula>NOT(ISERROR(SEARCH(("프로젝트"),(I118))))</formula>
    </cfRule>
    <cfRule type="containsText" dxfId="4990" priority="7975" operator="containsText" text="기타">
      <formula>NOT(ISERROR(SEARCH(("기타"),(I118))))</formula>
    </cfRule>
    <cfRule type="containsText" dxfId="4989" priority="7976" operator="containsText" text="프로젝트">
      <formula>NOT(ISERROR(SEARCH(("프로젝트"),(I118))))</formula>
    </cfRule>
  </conditionalFormatting>
  <conditionalFormatting sqref="I123">
    <cfRule type="containsText" dxfId="4988" priority="8259" operator="containsText" text="기타">
      <formula>NOT(ISERROR(SEARCH(("기타"),(I123))))</formula>
    </cfRule>
    <cfRule type="containsText" dxfId="4987" priority="8252" operator="containsText" text="정규교과">
      <formula>NOT(ISERROR(SEARCH(("정규교과"),(I123))))</formula>
    </cfRule>
    <cfRule type="containsText" dxfId="4986" priority="8250" operator="containsText" text="기타">
      <formula>NOT(ISERROR(SEARCH(("기타"),(I123))))</formula>
    </cfRule>
    <cfRule type="containsText" dxfId="4985" priority="8253" operator="containsText" text="기타">
      <formula>NOT(ISERROR(SEARCH(("기타"),(I123))))</formula>
    </cfRule>
    <cfRule type="containsText" dxfId="4984" priority="8258" operator="containsText" text="정규교과">
      <formula>NOT(ISERROR(SEARCH(("정규교과"),(I123))))</formula>
    </cfRule>
    <cfRule type="containsText" dxfId="4983" priority="8257" operator="containsText" text="프로젝트">
      <formula>NOT(ISERROR(SEARCH(("프로젝트"),(I123))))</formula>
    </cfRule>
    <cfRule type="containsText" dxfId="4982" priority="8256" operator="containsText" text="기타">
      <formula>NOT(ISERROR(SEARCH(("기타"),(I123))))</formula>
    </cfRule>
    <cfRule type="containsText" dxfId="4981" priority="8255" operator="containsText" text="정규교과">
      <formula>NOT(ISERROR(SEARCH(("정규교과"),(I123))))</formula>
    </cfRule>
    <cfRule type="containsText" dxfId="4980" priority="8254" operator="containsText" text="프로젝트">
      <formula>NOT(ISERROR(SEARCH(("프로젝트"),(I123))))</formula>
    </cfRule>
    <cfRule type="containsText" dxfId="4979" priority="8244" operator="containsText" text="휴강">
      <formula>NOT(ISERROR(SEARCH(("휴강"),(I123))))</formula>
    </cfRule>
    <cfRule type="containsText" dxfId="4978" priority="8245" operator="containsText" text="프로젝트">
      <formula>NOT(ISERROR(SEARCH(("프로젝트"),(I123))))</formula>
    </cfRule>
    <cfRule type="containsText" dxfId="4977" priority="8246" operator="containsText" text="정규교과">
      <formula>NOT(ISERROR(SEARCH(("정규교과"),(I123))))</formula>
    </cfRule>
    <cfRule type="containsText" dxfId="4976" priority="8247" operator="containsText" text="기타">
      <formula>NOT(ISERROR(SEARCH(("기타"),(I123))))</formula>
    </cfRule>
    <cfRule type="containsText" dxfId="4975" priority="8248" operator="containsText" text="프로젝트">
      <formula>NOT(ISERROR(SEARCH(("프로젝트"),(I123))))</formula>
    </cfRule>
    <cfRule type="containsText" dxfId="4974" priority="8249" operator="containsText" text="정규교과">
      <formula>NOT(ISERROR(SEARCH(("정규교과"),(I123))))</formula>
    </cfRule>
    <cfRule type="containsText" dxfId="4973" priority="8251" operator="containsText" text="프로젝트">
      <formula>NOT(ISERROR(SEARCH(("프로젝트"),(I123))))</formula>
    </cfRule>
  </conditionalFormatting>
  <conditionalFormatting sqref="I127">
    <cfRule type="containsText" dxfId="4972" priority="8225" operator="containsText" text="프로젝트">
      <formula>NOT(ISERROR(SEARCH(("프로젝트"),(I127))))</formula>
    </cfRule>
    <cfRule type="containsText" dxfId="4971" priority="8227" operator="containsText" text="기타">
      <formula>NOT(ISERROR(SEARCH(("기타"),(I127))))</formula>
    </cfRule>
    <cfRule type="containsText" dxfId="4970" priority="8226" operator="containsText" text="정규교과">
      <formula>NOT(ISERROR(SEARCH(("정규교과"),(I127))))</formula>
    </cfRule>
    <cfRule type="containsText" dxfId="4969" priority="8224" operator="containsText" text="기타">
      <formula>NOT(ISERROR(SEARCH(("기타"),(I127))))</formula>
    </cfRule>
    <cfRule type="containsText" dxfId="4968" priority="8223" operator="containsText" text="정규교과">
      <formula>NOT(ISERROR(SEARCH(("정규교과"),(I127))))</formula>
    </cfRule>
    <cfRule type="containsText" dxfId="4967" priority="8222" operator="containsText" text="프로젝트">
      <formula>NOT(ISERROR(SEARCH(("프로젝트"),(I127))))</formula>
    </cfRule>
    <cfRule type="containsText" dxfId="4966" priority="8221" operator="containsText" text="기타">
      <formula>NOT(ISERROR(SEARCH(("기타"),(I127))))</formula>
    </cfRule>
    <cfRule type="containsText" dxfId="4965" priority="8220" operator="containsText" text="정규교과">
      <formula>NOT(ISERROR(SEARCH(("정규교과"),(I127))))</formula>
    </cfRule>
    <cfRule type="containsText" dxfId="4964" priority="8219" operator="containsText" text="프로젝트">
      <formula>NOT(ISERROR(SEARCH(("프로젝트"),(I127))))</formula>
    </cfRule>
    <cfRule type="containsText" dxfId="4963" priority="8218" operator="containsText" text="기타">
      <formula>NOT(ISERROR(SEARCH(("기타"),(I127))))</formula>
    </cfRule>
    <cfRule type="containsText" dxfId="4962" priority="8217" operator="containsText" text="정규교과">
      <formula>NOT(ISERROR(SEARCH(("정규교과"),(I127))))</formula>
    </cfRule>
    <cfRule type="containsText" dxfId="4961" priority="8215" operator="containsText" text="기타">
      <formula>NOT(ISERROR(SEARCH(("기타"),(I127))))</formula>
    </cfRule>
    <cfRule type="containsText" dxfId="4960" priority="8214" operator="containsText" text="정규교과">
      <formula>NOT(ISERROR(SEARCH(("정규교과"),(I127))))</formula>
    </cfRule>
    <cfRule type="containsText" dxfId="4959" priority="8213" operator="containsText" text="프로젝트">
      <formula>NOT(ISERROR(SEARCH(("프로젝트"),(I127))))</formula>
    </cfRule>
    <cfRule type="containsText" dxfId="4958" priority="8212" operator="containsText" text="휴강">
      <formula>NOT(ISERROR(SEARCH(("휴강"),(I127))))</formula>
    </cfRule>
    <cfRule type="containsText" dxfId="4957" priority="8216" operator="containsText" text="프로젝트">
      <formula>NOT(ISERROR(SEARCH(("프로젝트"),(I127))))</formula>
    </cfRule>
  </conditionalFormatting>
  <conditionalFormatting sqref="I131">
    <cfRule type="containsText" dxfId="4956" priority="8190" operator="containsText" text="프로젝트">
      <formula>NOT(ISERROR(SEARCH(("프로젝트"),(I131))))</formula>
    </cfRule>
    <cfRule type="containsText" dxfId="4955" priority="8191" operator="containsText" text="정규교과">
      <formula>NOT(ISERROR(SEARCH(("정규교과"),(I131))))</formula>
    </cfRule>
    <cfRule type="containsText" dxfId="4954" priority="8192" operator="containsText" text="기타">
      <formula>NOT(ISERROR(SEARCH(("기타"),(I131))))</formula>
    </cfRule>
    <cfRule type="containsText" dxfId="4953" priority="8189" operator="containsText" text="기타">
      <formula>NOT(ISERROR(SEARCH(("기타"),(I131))))</formula>
    </cfRule>
    <cfRule type="containsText" dxfId="4952" priority="8195" operator="containsText" text="기타">
      <formula>NOT(ISERROR(SEARCH(("기타"),(I131))))</formula>
    </cfRule>
    <cfRule type="containsText" dxfId="4951" priority="8194" operator="containsText" text="정규교과">
      <formula>NOT(ISERROR(SEARCH(("정규교과"),(I131))))</formula>
    </cfRule>
    <cfRule type="containsText" dxfId="4950" priority="8193" operator="containsText" text="프로젝트">
      <formula>NOT(ISERROR(SEARCH(("프로젝트"),(I131))))</formula>
    </cfRule>
    <cfRule type="containsText" dxfId="4949" priority="8188" operator="containsText" text="정규교과">
      <formula>NOT(ISERROR(SEARCH(("정규교과"),(I131))))</formula>
    </cfRule>
    <cfRule type="containsText" dxfId="4948" priority="8187" operator="containsText" text="프로젝트">
      <formula>NOT(ISERROR(SEARCH(("프로젝트"),(I131))))</formula>
    </cfRule>
    <cfRule type="containsText" dxfId="4947" priority="8181" operator="containsText" text="프로젝트">
      <formula>NOT(ISERROR(SEARCH(("프로젝트"),(I131))))</formula>
    </cfRule>
    <cfRule type="containsText" dxfId="4946" priority="8180" operator="containsText" text="휴강">
      <formula>NOT(ISERROR(SEARCH(("휴강"),(I131))))</formula>
    </cfRule>
    <cfRule type="containsText" dxfId="4945" priority="8182" operator="containsText" text="정규교과">
      <formula>NOT(ISERROR(SEARCH(("정규교과"),(I131))))</formula>
    </cfRule>
    <cfRule type="containsText" dxfId="4944" priority="8183" operator="containsText" text="기타">
      <formula>NOT(ISERROR(SEARCH(("기타"),(I131))))</formula>
    </cfRule>
    <cfRule type="containsText" dxfId="4943" priority="8184" operator="containsText" text="프로젝트">
      <formula>NOT(ISERROR(SEARCH(("프로젝트"),(I131))))</formula>
    </cfRule>
    <cfRule type="containsText" dxfId="4942" priority="8185" operator="containsText" text="정규교과">
      <formula>NOT(ISERROR(SEARCH(("정규교과"),(I131))))</formula>
    </cfRule>
    <cfRule type="containsText" dxfId="4941" priority="8186" operator="containsText" text="기타">
      <formula>NOT(ISERROR(SEARCH(("기타"),(I131))))</formula>
    </cfRule>
  </conditionalFormatting>
  <conditionalFormatting sqref="I135">
    <cfRule type="containsText" dxfId="4940" priority="8157" operator="containsText" text="기타">
      <formula>NOT(ISERROR(SEARCH(("기타"),(I135))))</formula>
    </cfRule>
    <cfRule type="containsText" dxfId="4939" priority="8158" operator="containsText" text="프로젝트">
      <formula>NOT(ISERROR(SEARCH(("프로젝트"),(I135))))</formula>
    </cfRule>
    <cfRule type="containsText" dxfId="4938" priority="8159" operator="containsText" text="정규교과">
      <formula>NOT(ISERROR(SEARCH(("정규교과"),(I135))))</formula>
    </cfRule>
    <cfRule type="containsText" dxfId="4937" priority="8149" operator="containsText" text="프로젝트">
      <formula>NOT(ISERROR(SEARCH(("프로젝트"),(I135))))</formula>
    </cfRule>
    <cfRule type="containsText" dxfId="4936" priority="8161" operator="containsText" text="프로젝트">
      <formula>NOT(ISERROR(SEARCH(("프로젝트"),(I135))))</formula>
    </cfRule>
    <cfRule type="containsText" dxfId="4935" priority="8162" operator="containsText" text="정규교과">
      <formula>NOT(ISERROR(SEARCH(("정규교과"),(I135))))</formula>
    </cfRule>
    <cfRule type="containsText" dxfId="4934" priority="8163" operator="containsText" text="기타">
      <formula>NOT(ISERROR(SEARCH(("기타"),(I135))))</formula>
    </cfRule>
    <cfRule type="containsText" dxfId="4933" priority="8150" operator="containsText" text="정규교과">
      <formula>NOT(ISERROR(SEARCH(("정규교과"),(I135))))</formula>
    </cfRule>
    <cfRule type="containsText" dxfId="4932" priority="8151" operator="containsText" text="기타">
      <formula>NOT(ISERROR(SEARCH(("기타"),(I135))))</formula>
    </cfRule>
    <cfRule type="containsText" dxfId="4931" priority="8148" operator="containsText" text="휴강">
      <formula>NOT(ISERROR(SEARCH(("휴강"),(I135))))</formula>
    </cfRule>
    <cfRule type="containsText" dxfId="4930" priority="8152" operator="containsText" text="프로젝트">
      <formula>NOT(ISERROR(SEARCH(("프로젝트"),(I135))))</formula>
    </cfRule>
    <cfRule type="containsText" dxfId="4929" priority="8153" operator="containsText" text="정규교과">
      <formula>NOT(ISERROR(SEARCH(("정규교과"),(I135))))</formula>
    </cfRule>
    <cfRule type="containsText" dxfId="4928" priority="8154" operator="containsText" text="기타">
      <formula>NOT(ISERROR(SEARCH(("기타"),(I135))))</formula>
    </cfRule>
    <cfRule type="containsText" dxfId="4927" priority="8155" operator="containsText" text="프로젝트">
      <formula>NOT(ISERROR(SEARCH(("프로젝트"),(I135))))</formula>
    </cfRule>
    <cfRule type="containsText" dxfId="4926" priority="8156" operator="containsText" text="정규교과">
      <formula>NOT(ISERROR(SEARCH(("정규교과"),(I135))))</formula>
    </cfRule>
    <cfRule type="containsText" dxfId="4925" priority="8160" operator="containsText" text="기타">
      <formula>NOT(ISERROR(SEARCH(("기타"),(I135))))</formula>
    </cfRule>
  </conditionalFormatting>
  <conditionalFormatting sqref="I139">
    <cfRule type="containsText" dxfId="4924" priority="8131" operator="containsText" text="기타">
      <formula>NOT(ISERROR(SEARCH(("기타"),(I139))))</formula>
    </cfRule>
    <cfRule type="containsText" dxfId="4923" priority="8116" operator="containsText" text="휴강">
      <formula>NOT(ISERROR(SEARCH(("휴강"),(I139))))</formula>
    </cfRule>
    <cfRule type="containsText" dxfId="4922" priority="8117" operator="containsText" text="프로젝트">
      <formula>NOT(ISERROR(SEARCH(("프로젝트"),(I139))))</formula>
    </cfRule>
    <cfRule type="containsText" dxfId="4921" priority="8118" operator="containsText" text="정규교과">
      <formula>NOT(ISERROR(SEARCH(("정규교과"),(I139))))</formula>
    </cfRule>
    <cfRule type="containsText" dxfId="4920" priority="8119" operator="containsText" text="기타">
      <formula>NOT(ISERROR(SEARCH(("기타"),(I139))))</formula>
    </cfRule>
    <cfRule type="containsText" dxfId="4919" priority="8120" operator="containsText" text="프로젝트">
      <formula>NOT(ISERROR(SEARCH(("프로젝트"),(I139))))</formula>
    </cfRule>
    <cfRule type="containsText" dxfId="4918" priority="8121" operator="containsText" text="정규교과">
      <formula>NOT(ISERROR(SEARCH(("정규교과"),(I139))))</formula>
    </cfRule>
    <cfRule type="containsText" dxfId="4917" priority="8122" operator="containsText" text="기타">
      <formula>NOT(ISERROR(SEARCH(("기타"),(I139))))</formula>
    </cfRule>
    <cfRule type="containsText" dxfId="4916" priority="8123" operator="containsText" text="프로젝트">
      <formula>NOT(ISERROR(SEARCH(("프로젝트"),(I139))))</formula>
    </cfRule>
    <cfRule type="containsText" dxfId="4915" priority="8124" operator="containsText" text="정규교과">
      <formula>NOT(ISERROR(SEARCH(("정규교과"),(I139))))</formula>
    </cfRule>
    <cfRule type="containsText" dxfId="4914" priority="8125" operator="containsText" text="기타">
      <formula>NOT(ISERROR(SEARCH(("기타"),(I139))))</formula>
    </cfRule>
    <cfRule type="containsText" dxfId="4913" priority="8126" operator="containsText" text="프로젝트">
      <formula>NOT(ISERROR(SEARCH(("프로젝트"),(I139))))</formula>
    </cfRule>
    <cfRule type="containsText" dxfId="4912" priority="8127" operator="containsText" text="정규교과">
      <formula>NOT(ISERROR(SEARCH(("정규교과"),(I139))))</formula>
    </cfRule>
    <cfRule type="containsText" dxfId="4911" priority="8128" operator="containsText" text="기타">
      <formula>NOT(ISERROR(SEARCH(("기타"),(I139))))</formula>
    </cfRule>
    <cfRule type="containsText" dxfId="4910" priority="8129" operator="containsText" text="프로젝트">
      <formula>NOT(ISERROR(SEARCH(("프로젝트"),(I139))))</formula>
    </cfRule>
    <cfRule type="containsText" dxfId="4909" priority="8130" operator="containsText" text="정규교과">
      <formula>NOT(ISERROR(SEARCH(("정규교과"),(I139))))</formula>
    </cfRule>
  </conditionalFormatting>
  <conditionalFormatting sqref="I184">
    <cfRule type="containsText" dxfId="4908" priority="5343" operator="containsText" text="기타">
      <formula>NOT(ISERROR(SEARCH(("기타"),(I184))))</formula>
    </cfRule>
    <cfRule type="containsText" dxfId="4907" priority="5333" operator="containsText" text="정규교과">
      <formula>NOT(ISERROR(SEARCH(("정규교과"),(I184))))</formula>
    </cfRule>
    <cfRule type="containsText" dxfId="4906" priority="5328" operator="containsText" text="휴강">
      <formula>NOT(ISERROR(SEARCH(("휴강"),(I184))))</formula>
    </cfRule>
    <cfRule type="containsText" dxfId="4905" priority="5329" operator="containsText" text="프로젝트">
      <formula>NOT(ISERROR(SEARCH(("프로젝트"),(I184))))</formula>
    </cfRule>
    <cfRule type="containsText" dxfId="4904" priority="5331" operator="containsText" text="기타">
      <formula>NOT(ISERROR(SEARCH(("기타"),(I184))))</formula>
    </cfRule>
    <cfRule type="containsText" dxfId="4903" priority="5330" operator="containsText" text="정규교과">
      <formula>NOT(ISERROR(SEARCH(("정규교과"),(I184))))</formula>
    </cfRule>
    <cfRule type="containsText" dxfId="4902" priority="5332" operator="containsText" text="프로젝트">
      <formula>NOT(ISERROR(SEARCH(("프로젝트"),(I184))))</formula>
    </cfRule>
    <cfRule type="containsText" dxfId="4901" priority="5337" operator="containsText" text="기타">
      <formula>NOT(ISERROR(SEARCH(("기타"),(I184))))</formula>
    </cfRule>
    <cfRule type="containsText" dxfId="4900" priority="5334" operator="containsText" text="기타">
      <formula>NOT(ISERROR(SEARCH(("기타"),(I184))))</formula>
    </cfRule>
    <cfRule type="containsText" dxfId="4899" priority="5335" operator="containsText" text="프로젝트">
      <formula>NOT(ISERROR(SEARCH(("프로젝트"),(I184))))</formula>
    </cfRule>
    <cfRule type="containsText" dxfId="4898" priority="5336" operator="containsText" text="정규교과">
      <formula>NOT(ISERROR(SEARCH(("정규교과"),(I184))))</formula>
    </cfRule>
    <cfRule type="containsText" dxfId="4897" priority="5338" operator="containsText" text="프로젝트">
      <formula>NOT(ISERROR(SEARCH(("프로젝트"),(I184))))</formula>
    </cfRule>
    <cfRule type="containsText" dxfId="4896" priority="5339" operator="containsText" text="정규교과">
      <formula>NOT(ISERROR(SEARCH(("정규교과"),(I184))))</formula>
    </cfRule>
    <cfRule type="containsText" dxfId="4895" priority="5340" operator="containsText" text="기타">
      <formula>NOT(ISERROR(SEARCH(("기타"),(I184))))</formula>
    </cfRule>
    <cfRule type="containsText" dxfId="4894" priority="5341" operator="containsText" text="프로젝트">
      <formula>NOT(ISERROR(SEARCH(("프로젝트"),(I184))))</formula>
    </cfRule>
    <cfRule type="containsText" dxfId="4893" priority="5342" operator="containsText" text="정규교과">
      <formula>NOT(ISERROR(SEARCH(("정규교과"),(I184))))</formula>
    </cfRule>
  </conditionalFormatting>
  <conditionalFormatting sqref="I188">
    <cfRule type="containsText" dxfId="4892" priority="5309" operator="containsText" text="프로젝트">
      <formula>NOT(ISERROR(SEARCH(("프로젝트"),(I188))))</formula>
    </cfRule>
    <cfRule type="containsText" dxfId="4891" priority="5308" operator="containsText" text="기타">
      <formula>NOT(ISERROR(SEARCH(("기타"),(I188))))</formula>
    </cfRule>
    <cfRule type="containsText" dxfId="4890" priority="5307" operator="containsText" text="정규교과">
      <formula>NOT(ISERROR(SEARCH(("정규교과"),(I188))))</formula>
    </cfRule>
    <cfRule type="containsText" dxfId="4889" priority="5306" operator="containsText" text="프로젝트">
      <formula>NOT(ISERROR(SEARCH(("프로젝트"),(I188))))</formula>
    </cfRule>
    <cfRule type="containsText" dxfId="4888" priority="5305" operator="containsText" text="기타">
      <formula>NOT(ISERROR(SEARCH(("기타"),(I188))))</formula>
    </cfRule>
    <cfRule type="containsText" dxfId="4887" priority="5299" operator="containsText" text="기타">
      <formula>NOT(ISERROR(SEARCH(("기타"),(I188))))</formula>
    </cfRule>
    <cfRule type="containsText" dxfId="4886" priority="5304" operator="containsText" text="정규교과">
      <formula>NOT(ISERROR(SEARCH(("정규교과"),(I188))))</formula>
    </cfRule>
    <cfRule type="containsText" dxfId="4885" priority="5303" operator="containsText" text="프로젝트">
      <formula>NOT(ISERROR(SEARCH(("프로젝트"),(I188))))</formula>
    </cfRule>
    <cfRule type="containsText" dxfId="4884" priority="5302" operator="containsText" text="기타">
      <formula>NOT(ISERROR(SEARCH(("기타"),(I188))))</formula>
    </cfRule>
    <cfRule type="containsText" dxfId="4883" priority="5301" operator="containsText" text="정규교과">
      <formula>NOT(ISERROR(SEARCH(("정규교과"),(I188))))</formula>
    </cfRule>
    <cfRule type="containsText" dxfId="4882" priority="5300" operator="containsText" text="프로젝트">
      <formula>NOT(ISERROR(SEARCH(("프로젝트"),(I188))))</formula>
    </cfRule>
    <cfRule type="containsText" dxfId="4881" priority="5298" operator="containsText" text="정규교과">
      <formula>NOT(ISERROR(SEARCH(("정규교과"),(I188))))</formula>
    </cfRule>
    <cfRule type="containsText" dxfId="4880" priority="5297" operator="containsText" text="프로젝트">
      <formula>NOT(ISERROR(SEARCH(("프로젝트"),(I188))))</formula>
    </cfRule>
    <cfRule type="containsText" dxfId="4879" priority="5310" operator="containsText" text="정규교과">
      <formula>NOT(ISERROR(SEARCH(("정규교과"),(I188))))</formula>
    </cfRule>
    <cfRule type="containsText" dxfId="4878" priority="5311" operator="containsText" text="기타">
      <formula>NOT(ISERROR(SEARCH(("기타"),(I188))))</formula>
    </cfRule>
    <cfRule type="containsText" dxfId="4877" priority="5296" operator="containsText" text="휴강">
      <formula>NOT(ISERROR(SEARCH(("휴강"),(I188))))</formula>
    </cfRule>
  </conditionalFormatting>
  <conditionalFormatting sqref="I193">
    <cfRule type="containsText" dxfId="4876" priority="5285" operator="containsText" text="정규교과">
      <formula>NOT(ISERROR(SEARCH(("정규교과"),(I193))))</formula>
    </cfRule>
    <cfRule type="containsText" dxfId="4875" priority="5284" operator="containsText" text="프로젝트">
      <formula>NOT(ISERROR(SEARCH(("프로젝트"),(I193))))</formula>
    </cfRule>
    <cfRule type="containsText" dxfId="4874" priority="5283" operator="containsText" text="기타">
      <formula>NOT(ISERROR(SEARCH(("기타"),(I193))))</formula>
    </cfRule>
    <cfRule type="containsText" dxfId="4873" priority="5295" operator="containsText" text="기타">
      <formula>NOT(ISERROR(SEARCH(("기타"),(I193))))</formula>
    </cfRule>
    <cfRule type="containsText" dxfId="4872" priority="5281" operator="containsText" text="프로젝트">
      <formula>NOT(ISERROR(SEARCH(("프로젝트"),(I193))))</formula>
    </cfRule>
    <cfRule type="containsText" dxfId="4871" priority="5293" operator="containsText" text="프로젝트">
      <formula>NOT(ISERROR(SEARCH(("프로젝트"),(I193))))</formula>
    </cfRule>
    <cfRule type="containsText" dxfId="4870" priority="5280" operator="containsText" text="휴강">
      <formula>NOT(ISERROR(SEARCH(("휴강"),(I193))))</formula>
    </cfRule>
    <cfRule type="containsText" dxfId="4869" priority="5292" operator="containsText" text="기타">
      <formula>NOT(ISERROR(SEARCH(("기타"),(I193))))</formula>
    </cfRule>
    <cfRule type="containsText" dxfId="4868" priority="5291" operator="containsText" text="정규교과">
      <formula>NOT(ISERROR(SEARCH(("정규교과"),(I193))))</formula>
    </cfRule>
    <cfRule type="containsText" dxfId="4867" priority="5282" operator="containsText" text="정규교과">
      <formula>NOT(ISERROR(SEARCH(("정규교과"),(I193))))</formula>
    </cfRule>
    <cfRule type="containsText" dxfId="4866" priority="5294" operator="containsText" text="정규교과">
      <formula>NOT(ISERROR(SEARCH(("정규교과"),(I193))))</formula>
    </cfRule>
    <cfRule type="containsText" dxfId="4865" priority="5289" operator="containsText" text="기타">
      <formula>NOT(ISERROR(SEARCH(("기타"),(I193))))</formula>
    </cfRule>
    <cfRule type="containsText" dxfId="4864" priority="5288" operator="containsText" text="정규교과">
      <formula>NOT(ISERROR(SEARCH(("정규교과"),(I193))))</formula>
    </cfRule>
    <cfRule type="containsText" dxfId="4863" priority="5287" operator="containsText" text="프로젝트">
      <formula>NOT(ISERROR(SEARCH(("프로젝트"),(I193))))</formula>
    </cfRule>
    <cfRule type="containsText" dxfId="4862" priority="5286" operator="containsText" text="기타">
      <formula>NOT(ISERROR(SEARCH(("기타"),(I193))))</formula>
    </cfRule>
    <cfRule type="containsText" dxfId="4861" priority="5290" operator="containsText" text="프로젝트">
      <formula>NOT(ISERROR(SEARCH(("프로젝트"),(I193))))</formula>
    </cfRule>
  </conditionalFormatting>
  <conditionalFormatting sqref="I197">
    <cfRule type="containsText" dxfId="4860" priority="5273" operator="containsText" text="기타">
      <formula>NOT(ISERROR(SEARCH(("기타"),(I197))))</formula>
    </cfRule>
    <cfRule type="containsText" dxfId="4859" priority="5274" operator="containsText" text="프로젝트">
      <formula>NOT(ISERROR(SEARCH(("프로젝트"),(I197))))</formula>
    </cfRule>
    <cfRule type="containsText" dxfId="4858" priority="5275" operator="containsText" text="정규교과">
      <formula>NOT(ISERROR(SEARCH(("정규교과"),(I197))))</formula>
    </cfRule>
    <cfRule type="containsText" dxfId="4857" priority="5278" operator="containsText" text="정규교과">
      <formula>NOT(ISERROR(SEARCH(("정규교과"),(I197))))</formula>
    </cfRule>
    <cfRule type="containsText" dxfId="4856" priority="5279" operator="containsText" text="기타">
      <formula>NOT(ISERROR(SEARCH(("기타"),(I197))))</formula>
    </cfRule>
    <cfRule type="containsText" dxfId="4855" priority="5276" operator="containsText" text="기타">
      <formula>NOT(ISERROR(SEARCH(("기타"),(I197))))</formula>
    </cfRule>
    <cfRule type="containsText" dxfId="4854" priority="5277" operator="containsText" text="프로젝트">
      <formula>NOT(ISERROR(SEARCH(("프로젝트"),(I197))))</formula>
    </cfRule>
    <cfRule type="containsText" dxfId="4853" priority="5264" operator="containsText" text="휴강">
      <formula>NOT(ISERROR(SEARCH(("휴강"),(I197))))</formula>
    </cfRule>
    <cfRule type="containsText" dxfId="4852" priority="5265" operator="containsText" text="프로젝트">
      <formula>NOT(ISERROR(SEARCH(("프로젝트"),(I197))))</formula>
    </cfRule>
    <cfRule type="containsText" dxfId="4851" priority="5266" operator="containsText" text="정규교과">
      <formula>NOT(ISERROR(SEARCH(("정규교과"),(I197))))</formula>
    </cfRule>
    <cfRule type="containsText" dxfId="4850" priority="5267" operator="containsText" text="기타">
      <formula>NOT(ISERROR(SEARCH(("기타"),(I197))))</formula>
    </cfRule>
    <cfRule type="containsText" dxfId="4849" priority="5268" operator="containsText" text="프로젝트">
      <formula>NOT(ISERROR(SEARCH(("프로젝트"),(I197))))</formula>
    </cfRule>
    <cfRule type="containsText" dxfId="4848" priority="5269" operator="containsText" text="정규교과">
      <formula>NOT(ISERROR(SEARCH(("정규교과"),(I197))))</formula>
    </cfRule>
    <cfRule type="containsText" dxfId="4847" priority="5270" operator="containsText" text="기타">
      <formula>NOT(ISERROR(SEARCH(("기타"),(I197))))</formula>
    </cfRule>
    <cfRule type="containsText" dxfId="4846" priority="5271" operator="containsText" text="프로젝트">
      <formula>NOT(ISERROR(SEARCH(("프로젝트"),(I197))))</formula>
    </cfRule>
    <cfRule type="containsText" dxfId="4845" priority="5272" operator="containsText" text="정규교과">
      <formula>NOT(ISERROR(SEARCH(("정규교과"),(I197))))</formula>
    </cfRule>
  </conditionalFormatting>
  <conditionalFormatting sqref="I201">
    <cfRule type="containsText" dxfId="4844" priority="5262" operator="containsText" text="정규교과">
      <formula>NOT(ISERROR(SEARCH(("정규교과"),(I201))))</formula>
    </cfRule>
    <cfRule type="containsText" dxfId="4843" priority="5258" operator="containsText" text="프로젝트">
      <formula>NOT(ISERROR(SEARCH(("프로젝트"),(I201))))</formula>
    </cfRule>
    <cfRule type="containsText" dxfId="4842" priority="5257" operator="containsText" text="기타">
      <formula>NOT(ISERROR(SEARCH(("기타"),(I201))))</formula>
    </cfRule>
    <cfRule type="containsText" dxfId="4841" priority="5260" operator="containsText" text="기타">
      <formula>NOT(ISERROR(SEARCH(("기타"),(I201))))</formula>
    </cfRule>
    <cfRule type="containsText" dxfId="4840" priority="5259" operator="containsText" text="정규교과">
      <formula>NOT(ISERROR(SEARCH(("정규교과"),(I201))))</formula>
    </cfRule>
    <cfRule type="containsText" dxfId="4839" priority="5263" operator="containsText" text="기타">
      <formula>NOT(ISERROR(SEARCH(("기타"),(I201))))</formula>
    </cfRule>
    <cfRule type="containsText" dxfId="4838" priority="5254" operator="containsText" text="기타">
      <formula>NOT(ISERROR(SEARCH(("기타"),(I201))))</formula>
    </cfRule>
    <cfRule type="containsText" dxfId="4837" priority="5250" operator="containsText" text="정규교과">
      <formula>NOT(ISERROR(SEARCH(("정규교과"),(I201))))</formula>
    </cfRule>
    <cfRule type="containsText" dxfId="4836" priority="5249" operator="containsText" text="프로젝트">
      <formula>NOT(ISERROR(SEARCH(("프로젝트"),(I201))))</formula>
    </cfRule>
    <cfRule type="containsText" dxfId="4835" priority="5248" operator="containsText" text="휴강">
      <formula>NOT(ISERROR(SEARCH(("휴강"),(I201))))</formula>
    </cfRule>
    <cfRule type="containsText" dxfId="4834" priority="5252" operator="containsText" text="프로젝트">
      <formula>NOT(ISERROR(SEARCH(("프로젝트"),(I201))))</formula>
    </cfRule>
    <cfRule type="containsText" dxfId="4833" priority="5253" operator="containsText" text="정규교과">
      <formula>NOT(ISERROR(SEARCH(("정규교과"),(I201))))</formula>
    </cfRule>
    <cfRule type="containsText" dxfId="4832" priority="5255" operator="containsText" text="프로젝트">
      <formula>NOT(ISERROR(SEARCH(("프로젝트"),(I201))))</formula>
    </cfRule>
    <cfRule type="containsText" dxfId="4831" priority="5256" operator="containsText" text="정규교과">
      <formula>NOT(ISERROR(SEARCH(("정규교과"),(I201))))</formula>
    </cfRule>
    <cfRule type="containsText" dxfId="4830" priority="5251" operator="containsText" text="기타">
      <formula>NOT(ISERROR(SEARCH(("기타"),(I201))))</formula>
    </cfRule>
    <cfRule type="containsText" dxfId="4829" priority="5261" operator="containsText" text="프로젝트">
      <formula>NOT(ISERROR(SEARCH(("프로젝트"),(I201))))</formula>
    </cfRule>
  </conditionalFormatting>
  <conditionalFormatting sqref="I205">
    <cfRule type="containsText" dxfId="4828" priority="5233" operator="containsText" text="프로젝트">
      <formula>NOT(ISERROR(SEARCH(("프로젝트"),(I205))))</formula>
    </cfRule>
    <cfRule type="containsText" dxfId="4827" priority="5234" operator="containsText" text="정규교과">
      <formula>NOT(ISERROR(SEARCH(("정규교과"),(I205))))</formula>
    </cfRule>
    <cfRule type="containsText" dxfId="4826" priority="5235" operator="containsText" text="기타">
      <formula>NOT(ISERROR(SEARCH(("기타"),(I205))))</formula>
    </cfRule>
    <cfRule type="containsText" dxfId="4825" priority="5236" operator="containsText" text="프로젝트">
      <formula>NOT(ISERROR(SEARCH(("프로젝트"),(I205))))</formula>
    </cfRule>
    <cfRule type="containsText" dxfId="4824" priority="5243" operator="containsText" text="정규교과">
      <formula>NOT(ISERROR(SEARCH(("정규교과"),(I205))))</formula>
    </cfRule>
    <cfRule type="containsText" dxfId="4823" priority="5242" operator="containsText" text="프로젝트">
      <formula>NOT(ISERROR(SEARCH(("프로젝트"),(I205))))</formula>
    </cfRule>
    <cfRule type="containsText" dxfId="4822" priority="5241" operator="containsText" text="기타">
      <formula>NOT(ISERROR(SEARCH(("기타"),(I205))))</formula>
    </cfRule>
    <cfRule type="containsText" dxfId="4821" priority="5239" operator="containsText" text="프로젝트">
      <formula>NOT(ISERROR(SEARCH(("프로젝트"),(I205))))</formula>
    </cfRule>
    <cfRule type="containsText" dxfId="4820" priority="5232" operator="containsText" text="휴강">
      <formula>NOT(ISERROR(SEARCH(("휴강"),(I205))))</formula>
    </cfRule>
    <cfRule type="containsText" dxfId="4819" priority="5238" operator="containsText" text="기타">
      <formula>NOT(ISERROR(SEARCH(("기타"),(I205))))</formula>
    </cfRule>
    <cfRule type="containsText" dxfId="4818" priority="5247" operator="containsText" text="기타">
      <formula>NOT(ISERROR(SEARCH(("기타"),(I205))))</formula>
    </cfRule>
    <cfRule type="containsText" dxfId="4817" priority="5246" operator="containsText" text="정규교과">
      <formula>NOT(ISERROR(SEARCH(("정규교과"),(I205))))</formula>
    </cfRule>
    <cfRule type="containsText" dxfId="4816" priority="5240" operator="containsText" text="정규교과">
      <formula>NOT(ISERROR(SEARCH(("정규교과"),(I205))))</formula>
    </cfRule>
    <cfRule type="containsText" dxfId="4815" priority="5245" operator="containsText" text="프로젝트">
      <formula>NOT(ISERROR(SEARCH(("프로젝트"),(I205))))</formula>
    </cfRule>
    <cfRule type="containsText" dxfId="4814" priority="5237" operator="containsText" text="정규교과">
      <formula>NOT(ISERROR(SEARCH(("정규교과"),(I205))))</formula>
    </cfRule>
    <cfRule type="containsText" dxfId="4813" priority="5244" operator="containsText" text="기타">
      <formula>NOT(ISERROR(SEARCH(("기타"),(I205))))</formula>
    </cfRule>
  </conditionalFormatting>
  <conditionalFormatting sqref="I209">
    <cfRule type="containsText" dxfId="4812" priority="5229" operator="containsText" text="프로젝트">
      <formula>NOT(ISERROR(SEARCH(("프로젝트"),(I209))))</formula>
    </cfRule>
    <cfRule type="containsText" dxfId="4811" priority="5228" operator="containsText" text="기타">
      <formula>NOT(ISERROR(SEARCH(("기타"),(I209))))</formula>
    </cfRule>
    <cfRule type="containsText" dxfId="4810" priority="5227" operator="containsText" text="정규교과">
      <formula>NOT(ISERROR(SEARCH(("정규교과"),(I209))))</formula>
    </cfRule>
    <cfRule type="containsText" dxfId="4809" priority="5225" operator="containsText" text="기타">
      <formula>NOT(ISERROR(SEARCH(("기타"),(I209))))</formula>
    </cfRule>
    <cfRule type="containsText" dxfId="4808" priority="5226" operator="containsText" text="프로젝트">
      <formula>NOT(ISERROR(SEARCH(("프로젝트"),(I209))))</formula>
    </cfRule>
    <cfRule type="containsText" dxfId="4807" priority="5224" operator="containsText" text="정규교과">
      <formula>NOT(ISERROR(SEARCH(("정규교과"),(I209))))</formula>
    </cfRule>
    <cfRule type="containsText" dxfId="4806" priority="5223" operator="containsText" text="프로젝트">
      <formula>NOT(ISERROR(SEARCH(("프로젝트"),(I209))))</formula>
    </cfRule>
    <cfRule type="containsText" dxfId="4805" priority="5231" operator="containsText" text="기타">
      <formula>NOT(ISERROR(SEARCH(("기타"),(I209))))</formula>
    </cfRule>
    <cfRule type="containsText" dxfId="4804" priority="5230" operator="containsText" text="정규교과">
      <formula>NOT(ISERROR(SEARCH(("정규교과"),(I209))))</formula>
    </cfRule>
    <cfRule type="containsText" dxfId="4803" priority="5221" operator="containsText" text="정규교과">
      <formula>NOT(ISERROR(SEARCH(("정규교과"),(I209))))</formula>
    </cfRule>
    <cfRule type="containsText" dxfId="4802" priority="5217" operator="containsText" text="프로젝트">
      <formula>NOT(ISERROR(SEARCH(("프로젝트"),(I209))))</formula>
    </cfRule>
    <cfRule type="containsText" dxfId="4801" priority="5222" operator="containsText" text="기타">
      <formula>NOT(ISERROR(SEARCH(("기타"),(I209))))</formula>
    </cfRule>
    <cfRule type="containsText" dxfId="4800" priority="5220" operator="containsText" text="프로젝트">
      <formula>NOT(ISERROR(SEARCH(("프로젝트"),(I209))))</formula>
    </cfRule>
    <cfRule type="containsText" dxfId="4799" priority="5219" operator="containsText" text="기타">
      <formula>NOT(ISERROR(SEARCH(("기타"),(I209))))</formula>
    </cfRule>
    <cfRule type="containsText" dxfId="4798" priority="5218" operator="containsText" text="정규교과">
      <formula>NOT(ISERROR(SEARCH(("정규교과"),(I209))))</formula>
    </cfRule>
    <cfRule type="containsText" dxfId="4797" priority="5216" operator="containsText" text="휴강">
      <formula>NOT(ISERROR(SEARCH(("휴강"),(I209))))</formula>
    </cfRule>
  </conditionalFormatting>
  <conditionalFormatting sqref="I215">
    <cfRule type="containsText" dxfId="4796" priority="4248" operator="containsText" text="기타">
      <formula>NOT(ISERROR(SEARCH(("기타"),(I215))))</formula>
    </cfRule>
    <cfRule type="containsText" dxfId="4795" priority="4249" operator="containsText" text="프로젝트">
      <formula>NOT(ISERROR(SEARCH(("프로젝트"),(I215))))</formula>
    </cfRule>
    <cfRule type="containsText" dxfId="4794" priority="4251" operator="containsText" text="기타">
      <formula>NOT(ISERROR(SEARCH(("기타"),(I215))))</formula>
    </cfRule>
    <cfRule type="containsText" dxfId="4793" priority="4252" operator="containsText" text="프로젝트">
      <formula>NOT(ISERROR(SEARCH(("프로젝트"),(I215))))</formula>
    </cfRule>
    <cfRule type="containsText" dxfId="4792" priority="4253" operator="containsText" text="정규교과">
      <formula>NOT(ISERROR(SEARCH(("정규교과"),(I215))))</formula>
    </cfRule>
    <cfRule type="containsText" dxfId="4791" priority="4254" operator="containsText" text="기타">
      <formula>NOT(ISERROR(SEARCH(("기타"),(I215))))</formula>
    </cfRule>
    <cfRule type="containsText" dxfId="4790" priority="4250" operator="containsText" text="정규교과">
      <formula>NOT(ISERROR(SEARCH(("정규교과"),(I215))))</formula>
    </cfRule>
    <cfRule type="containsText" dxfId="4789" priority="4243" operator="containsText" text="프로젝트">
      <formula>NOT(ISERROR(SEARCH(("프로젝트"),(I215))))</formula>
    </cfRule>
    <cfRule type="containsText" dxfId="4788" priority="4244" operator="containsText" text="정규교과">
      <formula>NOT(ISERROR(SEARCH(("정규교과"),(I215))))</formula>
    </cfRule>
    <cfRule type="containsText" dxfId="4787" priority="4245" operator="containsText" text="기타">
      <formula>NOT(ISERROR(SEARCH(("기타"),(I215))))</formula>
    </cfRule>
    <cfRule type="containsText" dxfId="4786" priority="4246" operator="containsText" text="프로젝트">
      <formula>NOT(ISERROR(SEARCH(("프로젝트"),(I215))))</formula>
    </cfRule>
    <cfRule type="containsText" dxfId="4785" priority="4247" operator="containsText" text="정규교과">
      <formula>NOT(ISERROR(SEARCH(("정규교과"),(I215))))</formula>
    </cfRule>
  </conditionalFormatting>
  <conditionalFormatting sqref="I219">
    <cfRule type="containsText" dxfId="4784" priority="4218" operator="containsText" text="기타">
      <formula>NOT(ISERROR(SEARCH(("기타"),(I219))))</formula>
    </cfRule>
    <cfRule type="containsText" dxfId="4783" priority="4217" operator="containsText" text="정규교과">
      <formula>NOT(ISERROR(SEARCH(("정규교과"),(I219))))</formula>
    </cfRule>
    <cfRule type="containsText" dxfId="4782" priority="4215" operator="containsText" text="기타">
      <formula>NOT(ISERROR(SEARCH(("기타"),(I219))))</formula>
    </cfRule>
    <cfRule type="containsText" dxfId="4781" priority="4214" operator="containsText" text="정규교과">
      <formula>NOT(ISERROR(SEARCH(("정규교과"),(I219))))</formula>
    </cfRule>
    <cfRule type="containsText" dxfId="4780" priority="4216" operator="containsText" text="프로젝트">
      <formula>NOT(ISERROR(SEARCH(("프로젝트"),(I219))))</formula>
    </cfRule>
    <cfRule type="containsText" dxfId="4779" priority="4213" operator="containsText" text="프로젝트">
      <formula>NOT(ISERROR(SEARCH(("프로젝트"),(I219))))</formula>
    </cfRule>
    <cfRule type="containsText" dxfId="4778" priority="4212" operator="containsText" text="기타">
      <formula>NOT(ISERROR(SEARCH(("기타"),(I219))))</formula>
    </cfRule>
    <cfRule type="containsText" dxfId="4777" priority="4211" operator="containsText" text="정규교과">
      <formula>NOT(ISERROR(SEARCH(("정규교과"),(I219))))</formula>
    </cfRule>
    <cfRule type="containsText" dxfId="4776" priority="4210" operator="containsText" text="프로젝트">
      <formula>NOT(ISERROR(SEARCH(("프로젝트"),(I219))))</formula>
    </cfRule>
    <cfRule type="containsText" dxfId="4775" priority="4221" operator="containsText" text="기타">
      <formula>NOT(ISERROR(SEARCH(("기타"),(I219))))</formula>
    </cfRule>
    <cfRule type="containsText" dxfId="4774" priority="4220" operator="containsText" text="정규교과">
      <formula>NOT(ISERROR(SEARCH(("정규교과"),(I219))))</formula>
    </cfRule>
    <cfRule type="containsText" dxfId="4773" priority="4219" operator="containsText" text="프로젝트">
      <formula>NOT(ISERROR(SEARCH(("프로젝트"),(I219))))</formula>
    </cfRule>
  </conditionalFormatting>
  <conditionalFormatting sqref="I223">
    <cfRule type="containsText" dxfId="4772" priority="4181" operator="containsText" text="정규교과">
      <formula>NOT(ISERROR(SEARCH(("정규교과"),(I223))))</formula>
    </cfRule>
    <cfRule type="containsText" dxfId="4771" priority="4182" operator="containsText" text="기타">
      <formula>NOT(ISERROR(SEARCH(("기타"),(I223))))</formula>
    </cfRule>
    <cfRule type="containsText" dxfId="4770" priority="4180" operator="containsText" text="프로젝트">
      <formula>NOT(ISERROR(SEARCH(("프로젝트"),(I223))))</formula>
    </cfRule>
    <cfRule type="containsText" dxfId="4769" priority="4183" operator="containsText" text="프로젝트">
      <formula>NOT(ISERROR(SEARCH(("프로젝트"),(I223))))</formula>
    </cfRule>
    <cfRule type="containsText" dxfId="4768" priority="4177" operator="containsText" text="프로젝트">
      <formula>NOT(ISERROR(SEARCH(("프로젝트"),(I223))))</formula>
    </cfRule>
    <cfRule type="containsText" dxfId="4767" priority="4188" operator="containsText" text="기타">
      <formula>NOT(ISERROR(SEARCH(("기타"),(I223))))</formula>
    </cfRule>
    <cfRule type="containsText" dxfId="4766" priority="4187" operator="containsText" text="정규교과">
      <formula>NOT(ISERROR(SEARCH(("정규교과"),(I223))))</formula>
    </cfRule>
    <cfRule type="containsText" dxfId="4765" priority="4186" operator="containsText" text="프로젝트">
      <formula>NOT(ISERROR(SEARCH(("프로젝트"),(I223))))</formula>
    </cfRule>
    <cfRule type="containsText" dxfId="4764" priority="4185" operator="containsText" text="기타">
      <formula>NOT(ISERROR(SEARCH(("기타"),(I223))))</formula>
    </cfRule>
    <cfRule type="containsText" dxfId="4763" priority="4184" operator="containsText" text="정규교과">
      <formula>NOT(ISERROR(SEARCH(("정규교과"),(I223))))</formula>
    </cfRule>
    <cfRule type="containsText" dxfId="4762" priority="4178" operator="containsText" text="정규교과">
      <formula>NOT(ISERROR(SEARCH(("정규교과"),(I223))))</formula>
    </cfRule>
    <cfRule type="containsText" dxfId="4761" priority="4179" operator="containsText" text="기타">
      <formula>NOT(ISERROR(SEARCH(("기타"),(I223))))</formula>
    </cfRule>
  </conditionalFormatting>
  <conditionalFormatting sqref="I228">
    <cfRule type="containsText" dxfId="4760" priority="4316" operator="containsText" text="정규교과">
      <formula>NOT(ISERROR(SEARCH(("정규교과"),(I228))))</formula>
    </cfRule>
    <cfRule type="containsText" dxfId="4759" priority="4323" operator="containsText" text="기타">
      <formula>NOT(ISERROR(SEARCH(("기타"),(I228))))</formula>
    </cfRule>
    <cfRule type="containsText" dxfId="4758" priority="4322" operator="containsText" text="정규교과">
      <formula>NOT(ISERROR(SEARCH(("정규교과"),(I228))))</formula>
    </cfRule>
    <cfRule type="containsText" dxfId="4757" priority="4320" operator="containsText" text="기타">
      <formula>NOT(ISERROR(SEARCH(("기타"),(I228))))</formula>
    </cfRule>
    <cfRule type="containsText" dxfId="4756" priority="4319" operator="containsText" text="정규교과">
      <formula>NOT(ISERROR(SEARCH(("정규교과"),(I228))))</formula>
    </cfRule>
    <cfRule type="containsText" dxfId="4755" priority="4318" operator="containsText" text="프로젝트">
      <formula>NOT(ISERROR(SEARCH(("프로젝트"),(I228))))</formula>
    </cfRule>
    <cfRule type="containsText" dxfId="4754" priority="4317" operator="containsText" text="기타">
      <formula>NOT(ISERROR(SEARCH(("기타"),(I228))))</formula>
    </cfRule>
    <cfRule type="containsText" dxfId="4753" priority="4315" operator="containsText" text="프로젝트">
      <formula>NOT(ISERROR(SEARCH(("프로젝트"),(I228))))</formula>
    </cfRule>
    <cfRule type="containsText" dxfId="4752" priority="4314" operator="containsText" text="기타">
      <formula>NOT(ISERROR(SEARCH(("기타"),(I228))))</formula>
    </cfRule>
    <cfRule type="containsText" dxfId="4751" priority="4321" operator="containsText" text="프로젝트">
      <formula>NOT(ISERROR(SEARCH(("프로젝트"),(I228))))</formula>
    </cfRule>
    <cfRule type="containsText" dxfId="4750" priority="4313" operator="containsText" text="정규교과">
      <formula>NOT(ISERROR(SEARCH(("정규교과"),(I228))))</formula>
    </cfRule>
    <cfRule type="containsText" dxfId="4749" priority="4312" operator="containsText" text="프로젝트">
      <formula>NOT(ISERROR(SEARCH(("프로젝트"),(I228))))</formula>
    </cfRule>
  </conditionalFormatting>
  <conditionalFormatting sqref="I250">
    <cfRule type="containsText" dxfId="4748" priority="3810" operator="containsText" text="기타">
      <formula>NOT(ISERROR(SEARCH(("기타"),(I250))))</formula>
    </cfRule>
    <cfRule type="containsText" dxfId="4747" priority="3809" operator="containsText" text="정규교과">
      <formula>NOT(ISERROR(SEARCH(("정규교과"),(I250))))</formula>
    </cfRule>
    <cfRule type="containsText" dxfId="4746" priority="3799" operator="containsText" text="프로젝트">
      <formula>NOT(ISERROR(SEARCH(("프로젝트"),(I250))))</formula>
    </cfRule>
    <cfRule type="containsText" dxfId="4745" priority="3807" operator="containsText" text="기타">
      <formula>NOT(ISERROR(SEARCH(("기타"),(I250))))</formula>
    </cfRule>
    <cfRule type="containsText" dxfId="4744" priority="3800" operator="containsText" text="정규교과">
      <formula>NOT(ISERROR(SEARCH(("정규교과"),(I250))))</formula>
    </cfRule>
    <cfRule type="containsText" dxfId="4743" priority="3801" operator="containsText" text="기타">
      <formula>NOT(ISERROR(SEARCH(("기타"),(I250))))</formula>
    </cfRule>
    <cfRule type="containsText" dxfId="4742" priority="3808" operator="containsText" text="프로젝트">
      <formula>NOT(ISERROR(SEARCH(("프로젝트"),(I250))))</formula>
    </cfRule>
    <cfRule type="containsText" dxfId="4741" priority="3802" operator="containsText" text="프로젝트">
      <formula>NOT(ISERROR(SEARCH(("프로젝트"),(I250))))</formula>
    </cfRule>
    <cfRule type="containsText" dxfId="4740" priority="3803" operator="containsText" text="정규교과">
      <formula>NOT(ISERROR(SEARCH(("정규교과"),(I250))))</formula>
    </cfRule>
    <cfRule type="containsText" dxfId="4739" priority="3804" operator="containsText" text="기타">
      <formula>NOT(ISERROR(SEARCH(("기타"),(I250))))</formula>
    </cfRule>
    <cfRule type="containsText" dxfId="4738" priority="3805" operator="containsText" text="프로젝트">
      <formula>NOT(ISERROR(SEARCH(("프로젝트"),(I250))))</formula>
    </cfRule>
    <cfRule type="containsText" dxfId="4737" priority="3806" operator="containsText" text="정규교과">
      <formula>NOT(ISERROR(SEARCH(("정규교과"),(I250))))</formula>
    </cfRule>
  </conditionalFormatting>
  <conditionalFormatting sqref="I254">
    <cfRule type="containsText" dxfId="4736" priority="3692" operator="containsText" text="정규교과">
      <formula>NOT(ISERROR(SEARCH(("정규교과"),(I254))))</formula>
    </cfRule>
    <cfRule type="containsText" dxfId="4735" priority="3691" operator="containsText" text="프로젝트">
      <formula>NOT(ISERROR(SEARCH(("프로젝트"),(I254))))</formula>
    </cfRule>
    <cfRule type="containsText" dxfId="4734" priority="3690" operator="containsText" text="기타">
      <formula>NOT(ISERROR(SEARCH(("기타"),(I254))))</formula>
    </cfRule>
    <cfRule type="containsText" dxfId="4733" priority="3689" operator="containsText" text="정규교과">
      <formula>NOT(ISERROR(SEARCH(("정규교과"),(I254))))</formula>
    </cfRule>
    <cfRule type="containsText" dxfId="4732" priority="3688" operator="containsText" text="프로젝트">
      <formula>NOT(ISERROR(SEARCH(("프로젝트"),(I254))))</formula>
    </cfRule>
    <cfRule type="containsText" dxfId="4731" priority="3699" operator="containsText" text="기타">
      <formula>NOT(ISERROR(SEARCH(("기타"),(I254))))</formula>
    </cfRule>
    <cfRule type="containsText" dxfId="4730" priority="3698" operator="containsText" text="정규교과">
      <formula>NOT(ISERROR(SEARCH(("정규교과"),(I254))))</formula>
    </cfRule>
    <cfRule type="containsText" dxfId="4729" priority="3697" operator="containsText" text="프로젝트">
      <formula>NOT(ISERROR(SEARCH(("프로젝트"),(I254))))</formula>
    </cfRule>
    <cfRule type="containsText" dxfId="4728" priority="3696" operator="containsText" text="기타">
      <formula>NOT(ISERROR(SEARCH(("기타"),(I254))))</formula>
    </cfRule>
    <cfRule type="containsText" dxfId="4727" priority="3695" operator="containsText" text="정규교과">
      <formula>NOT(ISERROR(SEARCH(("정규교과"),(I254))))</formula>
    </cfRule>
    <cfRule type="containsText" dxfId="4726" priority="3694" operator="containsText" text="프로젝트">
      <formula>NOT(ISERROR(SEARCH(("프로젝트"),(I254))))</formula>
    </cfRule>
    <cfRule type="containsText" dxfId="4725" priority="3693" operator="containsText" text="기타">
      <formula>NOT(ISERROR(SEARCH(("기타"),(I254))))</formula>
    </cfRule>
  </conditionalFormatting>
  <conditionalFormatting sqref="I258">
    <cfRule type="containsText" dxfId="4724" priority="3582" operator="containsText" text="기타">
      <formula>NOT(ISERROR(SEARCH(("기타"),(I258))))</formula>
    </cfRule>
    <cfRule type="containsText" dxfId="4723" priority="3577" operator="containsText" text="프로젝트">
      <formula>NOT(ISERROR(SEARCH(("프로젝트"),(I258))))</formula>
    </cfRule>
    <cfRule type="containsText" dxfId="4722" priority="3581" operator="containsText" text="정규교과">
      <formula>NOT(ISERROR(SEARCH(("정규교과"),(I258))))</formula>
    </cfRule>
    <cfRule type="containsText" dxfId="4721" priority="3580" operator="containsText" text="프로젝트">
      <formula>NOT(ISERROR(SEARCH(("프로젝트"),(I258))))</formula>
    </cfRule>
    <cfRule type="containsText" dxfId="4720" priority="3579" operator="containsText" text="기타">
      <formula>NOT(ISERROR(SEARCH(("기타"),(I258))))</formula>
    </cfRule>
    <cfRule type="containsText" dxfId="4719" priority="3578" operator="containsText" text="정규교과">
      <formula>NOT(ISERROR(SEARCH(("정규교과"),(I258))))</formula>
    </cfRule>
    <cfRule type="containsText" dxfId="4718" priority="3588" operator="containsText" text="기타">
      <formula>NOT(ISERROR(SEARCH(("기타"),(I258))))</formula>
    </cfRule>
    <cfRule type="containsText" dxfId="4717" priority="3587" operator="containsText" text="정규교과">
      <formula>NOT(ISERROR(SEARCH(("정규교과"),(I258))))</formula>
    </cfRule>
    <cfRule type="containsText" dxfId="4716" priority="3586" operator="containsText" text="프로젝트">
      <formula>NOT(ISERROR(SEARCH(("프로젝트"),(I258))))</formula>
    </cfRule>
    <cfRule type="containsText" dxfId="4715" priority="3585" operator="containsText" text="기타">
      <formula>NOT(ISERROR(SEARCH(("기타"),(I258))))</formula>
    </cfRule>
    <cfRule type="containsText" dxfId="4714" priority="3584" operator="containsText" text="정규교과">
      <formula>NOT(ISERROR(SEARCH(("정규교과"),(I258))))</formula>
    </cfRule>
    <cfRule type="containsText" dxfId="4713" priority="3583" operator="containsText" text="프로젝트">
      <formula>NOT(ISERROR(SEARCH(("프로젝트"),(I258))))</formula>
    </cfRule>
  </conditionalFormatting>
  <conditionalFormatting sqref="I263">
    <cfRule type="containsText" dxfId="4712" priority="3470" operator="containsText" text="정규교과">
      <formula>NOT(ISERROR(SEARCH(("정규교과"),(I263))))</formula>
    </cfRule>
    <cfRule type="containsText" dxfId="4711" priority="3469" operator="containsText" text="프로젝트">
      <formula>NOT(ISERROR(SEARCH(("프로젝트"),(I263))))</formula>
    </cfRule>
    <cfRule type="containsText" dxfId="4710" priority="3468" operator="containsText" text="기타">
      <formula>NOT(ISERROR(SEARCH(("기타"),(I263))))</formula>
    </cfRule>
    <cfRule type="containsText" dxfId="4709" priority="3467" operator="containsText" text="정규교과">
      <formula>NOT(ISERROR(SEARCH(("정규교과"),(I263))))</formula>
    </cfRule>
    <cfRule type="containsText" dxfId="4708" priority="3466" operator="containsText" text="프로젝트">
      <formula>NOT(ISERROR(SEARCH(("프로젝트"),(I263))))</formula>
    </cfRule>
    <cfRule type="containsText" dxfId="4707" priority="3471" operator="containsText" text="기타">
      <formula>NOT(ISERROR(SEARCH(("기타"),(I263))))</formula>
    </cfRule>
    <cfRule type="containsText" dxfId="4706" priority="3477" operator="containsText" text="기타">
      <formula>NOT(ISERROR(SEARCH(("기타"),(I263))))</formula>
    </cfRule>
    <cfRule type="containsText" dxfId="4705" priority="3476" operator="containsText" text="정규교과">
      <formula>NOT(ISERROR(SEARCH(("정규교과"),(I263))))</formula>
    </cfRule>
    <cfRule type="containsText" dxfId="4704" priority="3475" operator="containsText" text="프로젝트">
      <formula>NOT(ISERROR(SEARCH(("프로젝트"),(I263))))</formula>
    </cfRule>
    <cfRule type="containsText" dxfId="4703" priority="3474" operator="containsText" text="기타">
      <formula>NOT(ISERROR(SEARCH(("기타"),(I263))))</formula>
    </cfRule>
    <cfRule type="containsText" dxfId="4702" priority="3473" operator="containsText" text="정규교과">
      <formula>NOT(ISERROR(SEARCH(("정규교과"),(I263))))</formula>
    </cfRule>
    <cfRule type="containsText" dxfId="4701" priority="3472" operator="containsText" text="프로젝트">
      <formula>NOT(ISERROR(SEARCH(("프로젝트"),(I263))))</formula>
    </cfRule>
  </conditionalFormatting>
  <conditionalFormatting sqref="I267">
    <cfRule type="containsText" dxfId="4700" priority="3360" operator="containsText" text="기타">
      <formula>NOT(ISERROR(SEARCH(("기타"),(I267))))</formula>
    </cfRule>
    <cfRule type="containsText" dxfId="4699" priority="3359" operator="containsText" text="정규교과">
      <formula>NOT(ISERROR(SEARCH(("정규교과"),(I267))))</formula>
    </cfRule>
    <cfRule type="containsText" dxfId="4698" priority="3358" operator="containsText" text="프로젝트">
      <formula>NOT(ISERROR(SEARCH(("프로젝트"),(I267))))</formula>
    </cfRule>
    <cfRule type="containsText" dxfId="4697" priority="3357" operator="containsText" text="기타">
      <formula>NOT(ISERROR(SEARCH(("기타"),(I267))))</formula>
    </cfRule>
    <cfRule type="containsText" dxfId="4696" priority="3356" operator="containsText" text="정규교과">
      <formula>NOT(ISERROR(SEARCH(("정규교과"),(I267))))</formula>
    </cfRule>
    <cfRule type="containsText" dxfId="4695" priority="3355" operator="containsText" text="프로젝트">
      <formula>NOT(ISERROR(SEARCH(("프로젝트"),(I267))))</formula>
    </cfRule>
    <cfRule type="containsText" dxfId="4694" priority="3366" operator="containsText" text="기타">
      <formula>NOT(ISERROR(SEARCH(("기타"),(I267))))</formula>
    </cfRule>
    <cfRule type="containsText" dxfId="4693" priority="3365" operator="containsText" text="정규교과">
      <formula>NOT(ISERROR(SEARCH(("정규교과"),(I267))))</formula>
    </cfRule>
    <cfRule type="containsText" dxfId="4692" priority="3364" operator="containsText" text="프로젝트">
      <formula>NOT(ISERROR(SEARCH(("프로젝트"),(I267))))</formula>
    </cfRule>
    <cfRule type="containsText" dxfId="4691" priority="3363" operator="containsText" text="기타">
      <formula>NOT(ISERROR(SEARCH(("기타"),(I267))))</formula>
    </cfRule>
    <cfRule type="containsText" dxfId="4690" priority="3362" operator="containsText" text="정규교과">
      <formula>NOT(ISERROR(SEARCH(("정규교과"),(I267))))</formula>
    </cfRule>
    <cfRule type="containsText" dxfId="4689" priority="3361" operator="containsText" text="프로젝트">
      <formula>NOT(ISERROR(SEARCH(("프로젝트"),(I267))))</formula>
    </cfRule>
  </conditionalFormatting>
  <conditionalFormatting sqref="I271">
    <cfRule type="containsText" dxfId="4688" priority="3249" operator="containsText" text="기타">
      <formula>NOT(ISERROR(SEARCH(("기타"),(I271))))</formula>
    </cfRule>
    <cfRule type="containsText" dxfId="4687" priority="3253" operator="containsText" text="프로젝트">
      <formula>NOT(ISERROR(SEARCH(("프로젝트"),(I271))))</formula>
    </cfRule>
    <cfRule type="containsText" dxfId="4686" priority="3247" operator="containsText" text="프로젝트">
      <formula>NOT(ISERROR(SEARCH(("프로젝트"),(I271))))</formula>
    </cfRule>
    <cfRule type="containsText" dxfId="4685" priority="3248" operator="containsText" text="정규교과">
      <formula>NOT(ISERROR(SEARCH(("정규교과"),(I271))))</formula>
    </cfRule>
    <cfRule type="containsText" dxfId="4684" priority="3246" operator="containsText" text="기타">
      <formula>NOT(ISERROR(SEARCH(("기타"),(I271))))</formula>
    </cfRule>
    <cfRule type="containsText" dxfId="4683" priority="3245" operator="containsText" text="정규교과">
      <formula>NOT(ISERROR(SEARCH(("정규교과"),(I271))))</formula>
    </cfRule>
    <cfRule type="containsText" dxfId="4682" priority="3244" operator="containsText" text="프로젝트">
      <formula>NOT(ISERROR(SEARCH(("프로젝트"),(I271))))</formula>
    </cfRule>
    <cfRule type="containsText" dxfId="4681" priority="3255" operator="containsText" text="기타">
      <formula>NOT(ISERROR(SEARCH(("기타"),(I271))))</formula>
    </cfRule>
    <cfRule type="containsText" dxfId="4680" priority="3254" operator="containsText" text="정규교과">
      <formula>NOT(ISERROR(SEARCH(("정규교과"),(I271))))</formula>
    </cfRule>
    <cfRule type="containsText" dxfId="4679" priority="3252" operator="containsText" text="기타">
      <formula>NOT(ISERROR(SEARCH(("기타"),(I271))))</formula>
    </cfRule>
    <cfRule type="containsText" dxfId="4678" priority="3251" operator="containsText" text="정규교과">
      <formula>NOT(ISERROR(SEARCH(("정규교과"),(I271))))</formula>
    </cfRule>
    <cfRule type="containsText" dxfId="4677" priority="3250" operator="containsText" text="프로젝트">
      <formula>NOT(ISERROR(SEARCH(("프로젝트"),(I271))))</formula>
    </cfRule>
  </conditionalFormatting>
  <conditionalFormatting sqref="I275">
    <cfRule type="containsText" dxfId="4676" priority="3133" operator="containsText" text="프로젝트">
      <formula>NOT(ISERROR(SEARCH(("프로젝트"),(I275))))</formula>
    </cfRule>
    <cfRule type="containsText" dxfId="4675" priority="3136" operator="containsText" text="프로젝트">
      <formula>NOT(ISERROR(SEARCH(("프로젝트"),(I275))))</formula>
    </cfRule>
    <cfRule type="containsText" dxfId="4674" priority="3134" operator="containsText" text="정규교과">
      <formula>NOT(ISERROR(SEARCH(("정규교과"),(I275))))</formula>
    </cfRule>
    <cfRule type="containsText" dxfId="4673" priority="3139" operator="containsText" text="프로젝트">
      <formula>NOT(ISERROR(SEARCH(("프로젝트"),(I275))))</formula>
    </cfRule>
    <cfRule type="containsText" dxfId="4672" priority="3137" operator="containsText" text="정규교과">
      <formula>NOT(ISERROR(SEARCH(("정규교과"),(I275))))</formula>
    </cfRule>
    <cfRule type="containsText" dxfId="4671" priority="3138" operator="containsText" text="기타">
      <formula>NOT(ISERROR(SEARCH(("기타"),(I275))))</formula>
    </cfRule>
    <cfRule type="containsText" dxfId="4670" priority="3140" operator="containsText" text="정규교과">
      <formula>NOT(ISERROR(SEARCH(("정규교과"),(I275))))</formula>
    </cfRule>
    <cfRule type="containsText" dxfId="4669" priority="3141" operator="containsText" text="기타">
      <formula>NOT(ISERROR(SEARCH(("기타"),(I275))))</formula>
    </cfRule>
    <cfRule type="containsText" dxfId="4668" priority="3142" operator="containsText" text="프로젝트">
      <formula>NOT(ISERROR(SEARCH(("프로젝트"),(I275))))</formula>
    </cfRule>
    <cfRule type="containsText" dxfId="4667" priority="3143" operator="containsText" text="정규교과">
      <formula>NOT(ISERROR(SEARCH(("정규교과"),(I275))))</formula>
    </cfRule>
    <cfRule type="containsText" dxfId="4666" priority="3144" operator="containsText" text="기타">
      <formula>NOT(ISERROR(SEARCH(("기타"),(I275))))</formula>
    </cfRule>
    <cfRule type="containsText" dxfId="4665" priority="3135" operator="containsText" text="기타">
      <formula>NOT(ISERROR(SEARCH(("기타"),(I275))))</formula>
    </cfRule>
  </conditionalFormatting>
  <conditionalFormatting sqref="I279">
    <cfRule type="containsText" dxfId="4664" priority="3033" operator="containsText" text="기타">
      <formula>NOT(ISERROR(SEARCH(("기타"),(I279))))</formula>
    </cfRule>
    <cfRule type="containsText" dxfId="4663" priority="3032" operator="containsText" text="정규교과">
      <formula>NOT(ISERROR(SEARCH(("정규교과"),(I279))))</formula>
    </cfRule>
    <cfRule type="containsText" dxfId="4662" priority="3022" operator="containsText" text="프로젝트">
      <formula>NOT(ISERROR(SEARCH(("프로젝트"),(I279))))</formula>
    </cfRule>
    <cfRule type="containsText" dxfId="4661" priority="3025" operator="containsText" text="프로젝트">
      <formula>NOT(ISERROR(SEARCH(("프로젝트"),(I279))))</formula>
    </cfRule>
    <cfRule type="containsText" dxfId="4660" priority="3026" operator="containsText" text="정규교과">
      <formula>NOT(ISERROR(SEARCH(("정규교과"),(I279))))</formula>
    </cfRule>
    <cfRule type="containsText" dxfId="4659" priority="3029" operator="containsText" text="정규교과">
      <formula>NOT(ISERROR(SEARCH(("정규교과"),(I279))))</formula>
    </cfRule>
    <cfRule type="containsText" dxfId="4658" priority="3031" operator="containsText" text="프로젝트">
      <formula>NOT(ISERROR(SEARCH(("프로젝트"),(I279))))</formula>
    </cfRule>
    <cfRule type="containsText" dxfId="4657" priority="3023" operator="containsText" text="정규교과">
      <formula>NOT(ISERROR(SEARCH(("정규교과"),(I279))))</formula>
    </cfRule>
    <cfRule type="containsText" dxfId="4656" priority="3030" operator="containsText" text="기타">
      <formula>NOT(ISERROR(SEARCH(("기타"),(I279))))</formula>
    </cfRule>
    <cfRule type="containsText" dxfId="4655" priority="3027" operator="containsText" text="기타">
      <formula>NOT(ISERROR(SEARCH(("기타"),(I279))))</formula>
    </cfRule>
    <cfRule type="containsText" dxfId="4654" priority="3028" operator="containsText" text="프로젝트">
      <formula>NOT(ISERROR(SEARCH(("프로젝트"),(I279))))</formula>
    </cfRule>
    <cfRule type="containsText" dxfId="4653" priority="3024" operator="containsText" text="기타">
      <formula>NOT(ISERROR(SEARCH(("기타"),(I279))))</formula>
    </cfRule>
  </conditionalFormatting>
  <conditionalFormatting sqref="I289">
    <cfRule type="containsText" dxfId="4652" priority="91" operator="containsText" text="정규교과">
      <formula>NOT(ISERROR(SEARCH(("정규교과"),(I289))))</formula>
    </cfRule>
    <cfRule type="containsText" dxfId="4651" priority="90" operator="containsText" text="프로젝트">
      <formula>NOT(ISERROR(SEARCH(("프로젝트"),(I289))))</formula>
    </cfRule>
    <cfRule type="containsText" dxfId="4650" priority="89" operator="containsText" text="휴강">
      <formula>NOT(ISERROR(SEARCH(("휴강"),(I289))))</formula>
    </cfRule>
    <cfRule type="containsText" dxfId="4649" priority="92" operator="containsText" text="기타">
      <formula>NOT(ISERROR(SEARCH(("기타"),(I289))))</formula>
    </cfRule>
  </conditionalFormatting>
  <conditionalFormatting sqref="I293">
    <cfRule type="containsText" dxfId="4648" priority="85" operator="containsText" text="휴강">
      <formula>NOT(ISERROR(SEARCH(("휴강"),(I293))))</formula>
    </cfRule>
    <cfRule type="containsText" dxfId="4647" priority="86" operator="containsText" text="프로젝트">
      <formula>NOT(ISERROR(SEARCH(("프로젝트"),(I293))))</formula>
    </cfRule>
    <cfRule type="containsText" dxfId="4646" priority="88" operator="containsText" text="기타">
      <formula>NOT(ISERROR(SEARCH(("기타"),(I293))))</formula>
    </cfRule>
    <cfRule type="containsText" dxfId="4645" priority="87" operator="containsText" text="정규교과">
      <formula>NOT(ISERROR(SEARCH(("정규교과"),(I293))))</formula>
    </cfRule>
  </conditionalFormatting>
  <conditionalFormatting sqref="I298">
    <cfRule type="containsText" dxfId="4644" priority="81" operator="containsText" text="휴강">
      <formula>NOT(ISERROR(SEARCH(("휴강"),(I298))))</formula>
    </cfRule>
    <cfRule type="containsText" dxfId="4643" priority="84" operator="containsText" text="기타">
      <formula>NOT(ISERROR(SEARCH(("기타"),(I298))))</formula>
    </cfRule>
    <cfRule type="containsText" dxfId="4642" priority="83" operator="containsText" text="정규교과">
      <formula>NOT(ISERROR(SEARCH(("정규교과"),(I298))))</formula>
    </cfRule>
    <cfRule type="containsText" dxfId="4641" priority="82" operator="containsText" text="프로젝트">
      <formula>NOT(ISERROR(SEARCH(("프로젝트"),(I298))))</formula>
    </cfRule>
  </conditionalFormatting>
  <conditionalFormatting sqref="I302">
    <cfRule type="containsText" dxfId="4640" priority="80" operator="containsText" text="기타">
      <formula>NOT(ISERROR(SEARCH(("기타"),(I302))))</formula>
    </cfRule>
    <cfRule type="containsText" dxfId="4639" priority="79" operator="containsText" text="정규교과">
      <formula>NOT(ISERROR(SEARCH(("정규교과"),(I302))))</formula>
    </cfRule>
    <cfRule type="containsText" dxfId="4638" priority="78" operator="containsText" text="프로젝트">
      <formula>NOT(ISERROR(SEARCH(("프로젝트"),(I302))))</formula>
    </cfRule>
    <cfRule type="containsText" dxfId="4637" priority="77" operator="containsText" text="휴강">
      <formula>NOT(ISERROR(SEARCH(("휴강"),(I302))))</formula>
    </cfRule>
  </conditionalFormatting>
  <conditionalFormatting sqref="I306">
    <cfRule type="containsText" dxfId="4636" priority="76" operator="containsText" text="기타">
      <formula>NOT(ISERROR(SEARCH(("기타"),(I306))))</formula>
    </cfRule>
    <cfRule type="containsText" dxfId="4635" priority="75" operator="containsText" text="정규교과">
      <formula>NOT(ISERROR(SEARCH(("정규교과"),(I306))))</formula>
    </cfRule>
    <cfRule type="containsText" dxfId="4634" priority="74" operator="containsText" text="프로젝트">
      <formula>NOT(ISERROR(SEARCH(("프로젝트"),(I306))))</formula>
    </cfRule>
    <cfRule type="containsText" dxfId="4633" priority="73" operator="containsText" text="휴강">
      <formula>NOT(ISERROR(SEARCH(("휴강"),(I306))))</formula>
    </cfRule>
  </conditionalFormatting>
  <conditionalFormatting sqref="I310">
    <cfRule type="containsText" dxfId="4632" priority="72" operator="containsText" text="기타">
      <formula>NOT(ISERROR(SEARCH(("기타"),(I310))))</formula>
    </cfRule>
    <cfRule type="containsText" dxfId="4631" priority="71" operator="containsText" text="정규교과">
      <formula>NOT(ISERROR(SEARCH(("정규교과"),(I310))))</formula>
    </cfRule>
    <cfRule type="containsText" dxfId="4630" priority="70" operator="containsText" text="프로젝트">
      <formula>NOT(ISERROR(SEARCH(("프로젝트"),(I310))))</formula>
    </cfRule>
    <cfRule type="containsText" dxfId="4629" priority="69" operator="containsText" text="휴강">
      <formula>NOT(ISERROR(SEARCH(("휴강"),(I310))))</formula>
    </cfRule>
  </conditionalFormatting>
  <conditionalFormatting sqref="I314">
    <cfRule type="containsText" dxfId="4628" priority="68" operator="containsText" text="기타">
      <formula>NOT(ISERROR(SEARCH(("기타"),(I314))))</formula>
    </cfRule>
    <cfRule type="containsText" dxfId="4627" priority="67" operator="containsText" text="정규교과">
      <formula>NOT(ISERROR(SEARCH(("정규교과"),(I314))))</formula>
    </cfRule>
    <cfRule type="containsText" dxfId="4626" priority="66" operator="containsText" text="프로젝트">
      <formula>NOT(ISERROR(SEARCH(("프로젝트"),(I314))))</formula>
    </cfRule>
    <cfRule type="containsText" dxfId="4625" priority="65" operator="containsText" text="휴강">
      <formula>NOT(ISERROR(SEARCH(("휴강"),(I314))))</formula>
    </cfRule>
  </conditionalFormatting>
  <conditionalFormatting sqref="I320">
    <cfRule type="containsText" dxfId="4624" priority="2490" operator="containsText" text="프로젝트">
      <formula>NOT(ISERROR(SEARCH(("프로젝트"),(I320))))</formula>
    </cfRule>
    <cfRule type="containsText" dxfId="4623" priority="2491" operator="containsText" text="정규교과">
      <formula>NOT(ISERROR(SEARCH(("정규교과"),(I320))))</formula>
    </cfRule>
    <cfRule type="containsText" dxfId="4622" priority="2492" operator="containsText" text="기타">
      <formula>NOT(ISERROR(SEARCH(("기타"),(I320))))</formula>
    </cfRule>
    <cfRule type="containsText" dxfId="4621" priority="2493" operator="containsText" text="프로젝트">
      <formula>NOT(ISERROR(SEARCH(("프로젝트"),(I320))))</formula>
    </cfRule>
    <cfRule type="containsText" dxfId="4620" priority="2494" operator="containsText" text="정규교과">
      <formula>NOT(ISERROR(SEARCH(("정규교과"),(I320))))</formula>
    </cfRule>
    <cfRule type="containsText" dxfId="4619" priority="2495" operator="containsText" text="기타">
      <formula>NOT(ISERROR(SEARCH(("기타"),(I320))))</formula>
    </cfRule>
    <cfRule type="containsText" dxfId="4618" priority="2496" operator="containsText" text="프로젝트">
      <formula>NOT(ISERROR(SEARCH(("프로젝트"),(I320))))</formula>
    </cfRule>
    <cfRule type="containsText" dxfId="4617" priority="2497" operator="containsText" text="정규교과">
      <formula>NOT(ISERROR(SEARCH(("정규교과"),(I320))))</formula>
    </cfRule>
    <cfRule type="containsText" dxfId="4616" priority="2498" operator="containsText" text="기타">
      <formula>NOT(ISERROR(SEARCH(("기타"),(I320))))</formula>
    </cfRule>
    <cfRule type="containsText" dxfId="4615" priority="2499" operator="containsText" text="프로젝트">
      <formula>NOT(ISERROR(SEARCH(("프로젝트"),(I320))))</formula>
    </cfRule>
    <cfRule type="containsText" dxfId="4614" priority="2500" operator="containsText" text="정규교과">
      <formula>NOT(ISERROR(SEARCH(("정규교과"),(I320))))</formula>
    </cfRule>
    <cfRule type="containsText" dxfId="4613" priority="2501" operator="containsText" text="기타">
      <formula>NOT(ISERROR(SEARCH(("기타"),(I320))))</formula>
    </cfRule>
    <cfRule type="containsText" dxfId="4612" priority="2502" operator="containsText" text="프로젝트">
      <formula>NOT(ISERROR(SEARCH(("프로젝트"),(I320))))</formula>
    </cfRule>
    <cfRule type="containsText" dxfId="4611" priority="2503" operator="containsText" text="정규교과">
      <formula>NOT(ISERROR(SEARCH(("정규교과"),(I320))))</formula>
    </cfRule>
    <cfRule type="containsText" dxfId="4610" priority="2504" operator="containsText" text="기타">
      <formula>NOT(ISERROR(SEARCH(("기타"),(I320))))</formula>
    </cfRule>
    <cfRule type="containsText" dxfId="4609" priority="2484" operator="containsText" text="프로젝트">
      <formula>NOT(ISERROR(SEARCH(("프로젝트"),(I320))))</formula>
    </cfRule>
    <cfRule type="containsText" dxfId="4608" priority="2485" operator="containsText" text="정규교과">
      <formula>NOT(ISERROR(SEARCH(("정규교과"),(I320))))</formula>
    </cfRule>
    <cfRule type="containsText" dxfId="4607" priority="2486" operator="containsText" text="기타">
      <formula>NOT(ISERROR(SEARCH(("기타"),(I320))))</formula>
    </cfRule>
    <cfRule type="containsText" dxfId="4606" priority="2487" operator="containsText" text="프로젝트">
      <formula>NOT(ISERROR(SEARCH(("프로젝트"),(I320))))</formula>
    </cfRule>
    <cfRule type="containsText" dxfId="4605" priority="2488" operator="containsText" text="정규교과">
      <formula>NOT(ISERROR(SEARCH(("정규교과"),(I320))))</formula>
    </cfRule>
    <cfRule type="containsText" dxfId="4604" priority="2489" operator="containsText" text="기타">
      <formula>NOT(ISERROR(SEARCH(("기타"),(I320))))</formula>
    </cfRule>
  </conditionalFormatting>
  <conditionalFormatting sqref="I324">
    <cfRule type="containsText" dxfId="4603" priority="2340" operator="containsText" text="프로젝트">
      <formula>NOT(ISERROR(SEARCH(("프로젝트"),(I324))))</formula>
    </cfRule>
    <cfRule type="containsText" dxfId="4602" priority="2338" operator="containsText" text="정규교과">
      <formula>NOT(ISERROR(SEARCH(("정규교과"),(I324))))</formula>
    </cfRule>
    <cfRule type="containsText" dxfId="4601" priority="2337" operator="containsText" text="프로젝트">
      <formula>NOT(ISERROR(SEARCH(("프로젝트"),(I324))))</formula>
    </cfRule>
    <cfRule type="containsText" dxfId="4600" priority="2348" operator="containsText" text="기타">
      <formula>NOT(ISERROR(SEARCH(("기타"),(I324))))</formula>
    </cfRule>
    <cfRule type="containsText" dxfId="4599" priority="2341" operator="containsText" text="정규교과">
      <formula>NOT(ISERROR(SEARCH(("정규교과"),(I324))))</formula>
    </cfRule>
    <cfRule type="containsText" dxfId="4598" priority="2347" operator="containsText" text="정규교과">
      <formula>NOT(ISERROR(SEARCH(("정규교과"),(I324))))</formula>
    </cfRule>
    <cfRule type="containsText" dxfId="4597" priority="2346" operator="containsText" text="프로젝트">
      <formula>NOT(ISERROR(SEARCH(("프로젝트"),(I324))))</formula>
    </cfRule>
    <cfRule type="containsText" dxfId="4596" priority="2345" operator="containsText" text="기타">
      <formula>NOT(ISERROR(SEARCH(("기타"),(I324))))</formula>
    </cfRule>
    <cfRule type="containsText" dxfId="4595" priority="2344" operator="containsText" text="정규교과">
      <formula>NOT(ISERROR(SEARCH(("정규교과"),(I324))))</formula>
    </cfRule>
    <cfRule type="containsText" dxfId="4594" priority="2349" operator="containsText" text="프로젝트">
      <formula>NOT(ISERROR(SEARCH(("프로젝트"),(I324))))</formula>
    </cfRule>
    <cfRule type="containsText" dxfId="4593" priority="2343" operator="containsText" text="프로젝트">
      <formula>NOT(ISERROR(SEARCH(("프로젝트"),(I324))))</formula>
    </cfRule>
    <cfRule type="containsText" dxfId="4592" priority="2351" operator="containsText" text="기타">
      <formula>NOT(ISERROR(SEARCH(("기타"),(I324))))</formula>
    </cfRule>
    <cfRule type="containsText" dxfId="4591" priority="2352" operator="containsText" text="프로젝트">
      <formula>NOT(ISERROR(SEARCH(("프로젝트"),(I324))))</formula>
    </cfRule>
    <cfRule type="containsText" dxfId="4590" priority="2353" operator="containsText" text="정규교과">
      <formula>NOT(ISERROR(SEARCH(("정규교과"),(I324))))</formula>
    </cfRule>
    <cfRule type="containsText" dxfId="4589" priority="2354" operator="containsText" text="기타">
      <formula>NOT(ISERROR(SEARCH(("기타"),(I324))))</formula>
    </cfRule>
    <cfRule type="containsText" dxfId="4588" priority="2355" operator="containsText" text="프로젝트">
      <formula>NOT(ISERROR(SEARCH(("프로젝트"),(I324))))</formula>
    </cfRule>
    <cfRule type="containsText" dxfId="4587" priority="2356" operator="containsText" text="정규교과">
      <formula>NOT(ISERROR(SEARCH(("정규교과"),(I324))))</formula>
    </cfRule>
    <cfRule type="containsText" dxfId="4586" priority="2357" operator="containsText" text="기타">
      <formula>NOT(ISERROR(SEARCH(("기타"),(I324))))</formula>
    </cfRule>
    <cfRule type="containsText" dxfId="4585" priority="2342" operator="containsText" text="기타">
      <formula>NOT(ISERROR(SEARCH(("기타"),(I324))))</formula>
    </cfRule>
    <cfRule type="containsText" dxfId="4584" priority="2350" operator="containsText" text="정규교과">
      <formula>NOT(ISERROR(SEARCH(("정규교과"),(I324))))</formula>
    </cfRule>
    <cfRule type="containsText" dxfId="4583" priority="2339" operator="containsText" text="기타">
      <formula>NOT(ISERROR(SEARCH(("기타"),(I324))))</formula>
    </cfRule>
  </conditionalFormatting>
  <conditionalFormatting sqref="I328">
    <cfRule type="containsText" dxfId="4582" priority="2206" operator="containsText" text="정규교과">
      <formula>NOT(ISERROR(SEARCH(("정규교과"),(I328))))</formula>
    </cfRule>
    <cfRule type="containsText" dxfId="4581" priority="2207" operator="containsText" text="기타">
      <formula>NOT(ISERROR(SEARCH(("기타"),(I328))))</formula>
    </cfRule>
    <cfRule type="containsText" dxfId="4580" priority="2208" operator="containsText" text="프로젝트">
      <formula>NOT(ISERROR(SEARCH(("프로젝트"),(I328))))</formula>
    </cfRule>
    <cfRule type="containsText" dxfId="4579" priority="2209" operator="containsText" text="정규교과">
      <formula>NOT(ISERROR(SEARCH(("정규교과"),(I328))))</formula>
    </cfRule>
    <cfRule type="containsText" dxfId="4578" priority="2210" operator="containsText" text="기타">
      <formula>NOT(ISERROR(SEARCH(("기타"),(I328))))</formula>
    </cfRule>
    <cfRule type="containsText" dxfId="4577" priority="2190" operator="containsText" text="프로젝트">
      <formula>NOT(ISERROR(SEARCH(("프로젝트"),(I328))))</formula>
    </cfRule>
    <cfRule type="containsText" dxfId="4576" priority="2191" operator="containsText" text="정규교과">
      <formula>NOT(ISERROR(SEARCH(("정규교과"),(I328))))</formula>
    </cfRule>
    <cfRule type="containsText" dxfId="4575" priority="2192" operator="containsText" text="기타">
      <formula>NOT(ISERROR(SEARCH(("기타"),(I328))))</formula>
    </cfRule>
    <cfRule type="containsText" dxfId="4574" priority="2193" operator="containsText" text="프로젝트">
      <formula>NOT(ISERROR(SEARCH(("프로젝트"),(I328))))</formula>
    </cfRule>
    <cfRule type="containsText" dxfId="4573" priority="2194" operator="containsText" text="정규교과">
      <formula>NOT(ISERROR(SEARCH(("정규교과"),(I328))))</formula>
    </cfRule>
    <cfRule type="containsText" dxfId="4572" priority="2195" operator="containsText" text="기타">
      <formula>NOT(ISERROR(SEARCH(("기타"),(I328))))</formula>
    </cfRule>
    <cfRule type="containsText" dxfId="4571" priority="2196" operator="containsText" text="프로젝트">
      <formula>NOT(ISERROR(SEARCH(("프로젝트"),(I328))))</formula>
    </cfRule>
    <cfRule type="containsText" dxfId="4570" priority="2197" operator="containsText" text="정규교과">
      <formula>NOT(ISERROR(SEARCH(("정규교과"),(I328))))</formula>
    </cfRule>
    <cfRule type="containsText" dxfId="4569" priority="2198" operator="containsText" text="기타">
      <formula>NOT(ISERROR(SEARCH(("기타"),(I328))))</formula>
    </cfRule>
    <cfRule type="containsText" dxfId="4568" priority="2199" operator="containsText" text="프로젝트">
      <formula>NOT(ISERROR(SEARCH(("프로젝트"),(I328))))</formula>
    </cfRule>
    <cfRule type="containsText" dxfId="4567" priority="2200" operator="containsText" text="정규교과">
      <formula>NOT(ISERROR(SEARCH(("정규교과"),(I328))))</formula>
    </cfRule>
    <cfRule type="containsText" dxfId="4566" priority="2201" operator="containsText" text="기타">
      <formula>NOT(ISERROR(SEARCH(("기타"),(I328))))</formula>
    </cfRule>
    <cfRule type="containsText" dxfId="4565" priority="2202" operator="containsText" text="프로젝트">
      <formula>NOT(ISERROR(SEARCH(("프로젝트"),(I328))))</formula>
    </cfRule>
    <cfRule type="containsText" dxfId="4564" priority="2203" operator="containsText" text="정규교과">
      <formula>NOT(ISERROR(SEARCH(("정규교과"),(I328))))</formula>
    </cfRule>
    <cfRule type="containsText" dxfId="4563" priority="2204" operator="containsText" text="기타">
      <formula>NOT(ISERROR(SEARCH(("기타"),(I328))))</formula>
    </cfRule>
    <cfRule type="containsText" dxfId="4562" priority="2205" operator="containsText" text="프로젝트">
      <formula>NOT(ISERROR(SEARCH(("프로젝트"),(I328))))</formula>
    </cfRule>
  </conditionalFormatting>
  <conditionalFormatting sqref="I333">
    <cfRule type="containsText" dxfId="4561" priority="2048" operator="containsText" text="기타">
      <formula>NOT(ISERROR(SEARCH(("기타"),(I333))))</formula>
    </cfRule>
    <cfRule type="containsText" dxfId="4560" priority="2054" operator="containsText" text="기타">
      <formula>NOT(ISERROR(SEARCH(("기타"),(I333))))</formula>
    </cfRule>
    <cfRule type="containsText" dxfId="4559" priority="2056" operator="containsText" text="정규교과">
      <formula>NOT(ISERROR(SEARCH(("정규교과"),(I333))))</formula>
    </cfRule>
    <cfRule type="containsText" dxfId="4558" priority="2058" operator="containsText" text="프로젝트">
      <formula>NOT(ISERROR(SEARCH(("프로젝트"),(I333))))</formula>
    </cfRule>
    <cfRule type="containsText" dxfId="4557" priority="2059" operator="containsText" text="정규교과">
      <formula>NOT(ISERROR(SEARCH(("정규교과"),(I333))))</formula>
    </cfRule>
    <cfRule type="containsText" dxfId="4556" priority="2049" operator="containsText" text="프로젝트">
      <formula>NOT(ISERROR(SEARCH(("프로젝트"),(I333))))</formula>
    </cfRule>
    <cfRule type="containsText" dxfId="4555" priority="2057" operator="containsText" text="기타">
      <formula>NOT(ISERROR(SEARCH(("기타"),(I333))))</formula>
    </cfRule>
    <cfRule type="containsText" dxfId="4554" priority="2060" operator="containsText" text="기타">
      <formula>NOT(ISERROR(SEARCH(("기타"),(I333))))</formula>
    </cfRule>
    <cfRule type="containsText" dxfId="4553" priority="2046" operator="containsText" text="프로젝트">
      <formula>NOT(ISERROR(SEARCH(("프로젝트"),(I333))))</formula>
    </cfRule>
    <cfRule type="containsText" dxfId="4552" priority="2047" operator="containsText" text="정규교과">
      <formula>NOT(ISERROR(SEARCH(("정규교과"),(I333))))</formula>
    </cfRule>
    <cfRule type="containsText" dxfId="4551" priority="2043" operator="containsText" text="프로젝트">
      <formula>NOT(ISERROR(SEARCH(("프로젝트"),(I333))))</formula>
    </cfRule>
    <cfRule type="containsText" dxfId="4550" priority="2044" operator="containsText" text="정규교과">
      <formula>NOT(ISERROR(SEARCH(("정규교과"),(I333))))</formula>
    </cfRule>
    <cfRule type="containsText" dxfId="4549" priority="2045" operator="containsText" text="기타">
      <formula>NOT(ISERROR(SEARCH(("기타"),(I333))))</formula>
    </cfRule>
    <cfRule type="containsText" dxfId="4548" priority="2050" operator="containsText" text="정규교과">
      <formula>NOT(ISERROR(SEARCH(("정규교과"),(I333))))</formula>
    </cfRule>
    <cfRule type="containsText" dxfId="4547" priority="2051" operator="containsText" text="기타">
      <formula>NOT(ISERROR(SEARCH(("기타"),(I333))))</formula>
    </cfRule>
    <cfRule type="containsText" dxfId="4546" priority="2052" operator="containsText" text="프로젝트">
      <formula>NOT(ISERROR(SEARCH(("프로젝트"),(I333))))</formula>
    </cfRule>
    <cfRule type="containsText" dxfId="4545" priority="2053" operator="containsText" text="정규교과">
      <formula>NOT(ISERROR(SEARCH(("정규교과"),(I333))))</formula>
    </cfRule>
    <cfRule type="containsText" dxfId="4544" priority="2063" operator="containsText" text="기타">
      <formula>NOT(ISERROR(SEARCH(("기타"),(I333))))</formula>
    </cfRule>
    <cfRule type="containsText" dxfId="4543" priority="2055" operator="containsText" text="프로젝트">
      <formula>NOT(ISERROR(SEARCH(("프로젝트"),(I333))))</formula>
    </cfRule>
    <cfRule type="containsText" dxfId="4542" priority="2062" operator="containsText" text="정규교과">
      <formula>NOT(ISERROR(SEARCH(("정규교과"),(I333))))</formula>
    </cfRule>
    <cfRule type="containsText" dxfId="4541" priority="2061" operator="containsText" text="프로젝트">
      <formula>NOT(ISERROR(SEARCH(("프로젝트"),(I333))))</formula>
    </cfRule>
  </conditionalFormatting>
  <conditionalFormatting sqref="I337">
    <cfRule type="containsText" dxfId="4540" priority="1897" operator="containsText" text="정규교과">
      <formula>NOT(ISERROR(SEARCH(("정규교과"),(I337))))</formula>
    </cfRule>
    <cfRule type="containsText" dxfId="4539" priority="1896" operator="containsText" text="프로젝트">
      <formula>NOT(ISERROR(SEARCH(("프로젝트"),(I337))))</formula>
    </cfRule>
    <cfRule type="containsText" dxfId="4538" priority="1898" operator="containsText" text="기타">
      <formula>NOT(ISERROR(SEARCH(("기타"),(I337))))</formula>
    </cfRule>
    <cfRule type="containsText" dxfId="4537" priority="1901" operator="containsText" text="기타">
      <formula>NOT(ISERROR(SEARCH(("기타"),(I337))))</formula>
    </cfRule>
    <cfRule type="containsText" dxfId="4536" priority="1916" operator="containsText" text="기타">
      <formula>NOT(ISERROR(SEARCH(("기타"),(I337))))</formula>
    </cfRule>
    <cfRule type="containsText" dxfId="4535" priority="1908" operator="containsText" text="프로젝트">
      <formula>NOT(ISERROR(SEARCH(("프로젝트"),(I337))))</formula>
    </cfRule>
    <cfRule type="containsText" dxfId="4534" priority="1909" operator="containsText" text="정규교과">
      <formula>NOT(ISERROR(SEARCH(("정규교과"),(I337))))</formula>
    </cfRule>
    <cfRule type="containsText" dxfId="4533" priority="1913" operator="containsText" text="기타">
      <formula>NOT(ISERROR(SEARCH(("기타"),(I337))))</formula>
    </cfRule>
    <cfRule type="containsText" dxfId="4532" priority="1900" operator="containsText" text="정규교과">
      <formula>NOT(ISERROR(SEARCH(("정규교과"),(I337))))</formula>
    </cfRule>
    <cfRule type="containsText" dxfId="4531" priority="1912" operator="containsText" text="정규교과">
      <formula>NOT(ISERROR(SEARCH(("정규교과"),(I337))))</formula>
    </cfRule>
    <cfRule type="containsText" dxfId="4530" priority="1911" operator="containsText" text="프로젝트">
      <formula>NOT(ISERROR(SEARCH(("프로젝트"),(I337))))</formula>
    </cfRule>
    <cfRule type="containsText" dxfId="4529" priority="1899" operator="containsText" text="프로젝트">
      <formula>NOT(ISERROR(SEARCH(("프로젝트"),(I337))))</formula>
    </cfRule>
    <cfRule type="containsText" dxfId="4528" priority="1914" operator="containsText" text="프로젝트">
      <formula>NOT(ISERROR(SEARCH(("프로젝트"),(I337))))</formula>
    </cfRule>
    <cfRule type="containsText" dxfId="4527" priority="1915" operator="containsText" text="정규교과">
      <formula>NOT(ISERROR(SEARCH(("정규교과"),(I337))))</formula>
    </cfRule>
    <cfRule type="containsText" dxfId="4526" priority="1910" operator="containsText" text="기타">
      <formula>NOT(ISERROR(SEARCH(("기타"),(I337))))</formula>
    </cfRule>
    <cfRule type="containsText" dxfId="4525" priority="1907" operator="containsText" text="기타">
      <formula>NOT(ISERROR(SEARCH(("기타"),(I337))))</formula>
    </cfRule>
    <cfRule type="containsText" dxfId="4524" priority="1906" operator="containsText" text="정규교과">
      <formula>NOT(ISERROR(SEARCH(("정규교과"),(I337))))</formula>
    </cfRule>
    <cfRule type="containsText" dxfId="4523" priority="1905" operator="containsText" text="프로젝트">
      <formula>NOT(ISERROR(SEARCH(("프로젝트"),(I337))))</formula>
    </cfRule>
    <cfRule type="containsText" dxfId="4522" priority="1904" operator="containsText" text="기타">
      <formula>NOT(ISERROR(SEARCH(("기타"),(I337))))</formula>
    </cfRule>
    <cfRule type="containsText" dxfId="4521" priority="1903" operator="containsText" text="정규교과">
      <formula>NOT(ISERROR(SEARCH(("정규교과"),(I337))))</formula>
    </cfRule>
    <cfRule type="containsText" dxfId="4520" priority="1902" operator="containsText" text="프로젝트">
      <formula>NOT(ISERROR(SEARCH(("프로젝트"),(I337))))</formula>
    </cfRule>
  </conditionalFormatting>
  <conditionalFormatting sqref="I341">
    <cfRule type="containsText" dxfId="4519" priority="1761" operator="containsText" text="프로젝트">
      <formula>NOT(ISERROR(SEARCH(("프로젝트"),(I341))))</formula>
    </cfRule>
    <cfRule type="containsText" dxfId="4518" priority="1769" operator="containsText" text="기타">
      <formula>NOT(ISERROR(SEARCH(("기타"),(I341))))</formula>
    </cfRule>
    <cfRule type="containsText" dxfId="4517" priority="1768" operator="containsText" text="정규교과">
      <formula>NOT(ISERROR(SEARCH(("정규교과"),(I341))))</formula>
    </cfRule>
    <cfRule type="containsText" dxfId="4516" priority="1767" operator="containsText" text="프로젝트">
      <formula>NOT(ISERROR(SEARCH(("프로젝트"),(I341))))</formula>
    </cfRule>
    <cfRule type="containsText" dxfId="4515" priority="1766" operator="containsText" text="기타">
      <formula>NOT(ISERROR(SEARCH(("기타"),(I341))))</formula>
    </cfRule>
    <cfRule type="containsText" dxfId="4514" priority="1765" operator="containsText" text="정규교과">
      <formula>NOT(ISERROR(SEARCH(("정규교과"),(I341))))</formula>
    </cfRule>
    <cfRule type="containsText" dxfId="4513" priority="1764" operator="containsText" text="프로젝트">
      <formula>NOT(ISERROR(SEARCH(("프로젝트"),(I341))))</formula>
    </cfRule>
    <cfRule type="containsText" dxfId="4512" priority="1763" operator="containsText" text="기타">
      <formula>NOT(ISERROR(SEARCH(("기타"),(I341))))</formula>
    </cfRule>
    <cfRule type="containsText" dxfId="4511" priority="1762" operator="containsText" text="정규교과">
      <formula>NOT(ISERROR(SEARCH(("정규교과"),(I341))))</formula>
    </cfRule>
    <cfRule type="containsText" dxfId="4510" priority="1760" operator="containsText" text="기타">
      <formula>NOT(ISERROR(SEARCH(("기타"),(I341))))</formula>
    </cfRule>
    <cfRule type="containsText" dxfId="4509" priority="1759" operator="containsText" text="정규교과">
      <formula>NOT(ISERROR(SEARCH(("정규교과"),(I341))))</formula>
    </cfRule>
    <cfRule type="containsText" dxfId="4508" priority="1758" operator="containsText" text="프로젝트">
      <formula>NOT(ISERROR(SEARCH(("프로젝트"),(I341))))</formula>
    </cfRule>
    <cfRule type="containsText" dxfId="4507" priority="1757" operator="containsText" text="기타">
      <formula>NOT(ISERROR(SEARCH(("기타"),(I341))))</formula>
    </cfRule>
    <cfRule type="containsText" dxfId="4506" priority="1756" operator="containsText" text="정규교과">
      <formula>NOT(ISERROR(SEARCH(("정규교과"),(I341))))</formula>
    </cfRule>
    <cfRule type="containsText" dxfId="4505" priority="1755" operator="containsText" text="프로젝트">
      <formula>NOT(ISERROR(SEARCH(("프로젝트"),(I341))))</formula>
    </cfRule>
    <cfRule type="containsText" dxfId="4504" priority="1754" operator="containsText" text="기타">
      <formula>NOT(ISERROR(SEARCH(("기타"),(I341))))</formula>
    </cfRule>
    <cfRule type="containsText" dxfId="4503" priority="1753" operator="containsText" text="정규교과">
      <formula>NOT(ISERROR(SEARCH(("정규교과"),(I341))))</formula>
    </cfRule>
    <cfRule type="containsText" dxfId="4502" priority="1752" operator="containsText" text="프로젝트">
      <formula>NOT(ISERROR(SEARCH(("프로젝트"),(I341))))</formula>
    </cfRule>
    <cfRule type="containsText" dxfId="4501" priority="1751" operator="containsText" text="기타">
      <formula>NOT(ISERROR(SEARCH(("기타"),(I341))))</formula>
    </cfRule>
    <cfRule type="containsText" dxfId="4500" priority="1750" operator="containsText" text="정규교과">
      <formula>NOT(ISERROR(SEARCH(("정규교과"),(I341))))</formula>
    </cfRule>
    <cfRule type="containsText" dxfId="4499" priority="1749" operator="containsText" text="프로젝트">
      <formula>NOT(ISERROR(SEARCH(("프로젝트"),(I341))))</formula>
    </cfRule>
  </conditionalFormatting>
  <conditionalFormatting sqref="I345">
    <cfRule type="containsText" dxfId="4498" priority="1605" operator="containsText" text="프로젝트">
      <formula>NOT(ISERROR(SEARCH(("프로젝트"),(I345))))</formula>
    </cfRule>
    <cfRule type="containsText" dxfId="4497" priority="1618" operator="containsText" text="정규교과">
      <formula>NOT(ISERROR(SEARCH(("정규교과"),(I345))))</formula>
    </cfRule>
    <cfRule type="containsText" dxfId="4496" priority="1619" operator="containsText" text="기타">
      <formula>NOT(ISERROR(SEARCH(("기타"),(I345))))</formula>
    </cfRule>
    <cfRule type="containsText" dxfId="4495" priority="1604" operator="containsText" text="기타">
      <formula>NOT(ISERROR(SEARCH(("기타"),(I345))))</formula>
    </cfRule>
    <cfRule type="containsText" dxfId="4494" priority="1621" operator="containsText" text="정규교과">
      <formula>NOT(ISERROR(SEARCH(("정규교과"),(I345))))</formula>
    </cfRule>
    <cfRule type="containsText" dxfId="4493" priority="1612" operator="containsText" text="정규교과">
      <formula>NOT(ISERROR(SEARCH(("정규교과"),(I345))))</formula>
    </cfRule>
    <cfRule type="containsText" dxfId="4492" priority="1606" operator="containsText" text="정규교과">
      <formula>NOT(ISERROR(SEARCH(("정규교과"),(I345))))</formula>
    </cfRule>
    <cfRule type="containsText" dxfId="4491" priority="1622" operator="containsText" text="기타">
      <formula>NOT(ISERROR(SEARCH(("기타"),(I345))))</formula>
    </cfRule>
    <cfRule type="containsText" dxfId="4490" priority="1607" operator="containsText" text="기타">
      <formula>NOT(ISERROR(SEARCH(("기타"),(I345))))</formula>
    </cfRule>
    <cfRule type="containsText" dxfId="4489" priority="1608" operator="containsText" text="프로젝트">
      <formula>NOT(ISERROR(SEARCH(("프로젝트"),(I345))))</formula>
    </cfRule>
    <cfRule type="containsText" dxfId="4488" priority="1611" operator="containsText" text="프로젝트">
      <formula>NOT(ISERROR(SEARCH(("프로젝트"),(I345))))</formula>
    </cfRule>
    <cfRule type="containsText" dxfId="4487" priority="1613" operator="containsText" text="기타">
      <formula>NOT(ISERROR(SEARCH(("기타"),(I345))))</formula>
    </cfRule>
    <cfRule type="containsText" dxfId="4486" priority="1602" operator="containsText" text="프로젝트">
      <formula>NOT(ISERROR(SEARCH(("프로젝트"),(I345))))</formula>
    </cfRule>
    <cfRule type="containsText" dxfId="4485" priority="1603" operator="containsText" text="정규교과">
      <formula>NOT(ISERROR(SEARCH(("정규교과"),(I345))))</formula>
    </cfRule>
    <cfRule type="containsText" dxfId="4484" priority="1614" operator="containsText" text="프로젝트">
      <formula>NOT(ISERROR(SEARCH(("프로젝트"),(I345))))</formula>
    </cfRule>
    <cfRule type="containsText" dxfId="4483" priority="1615" operator="containsText" text="정규교과">
      <formula>NOT(ISERROR(SEARCH(("정규교과"),(I345))))</formula>
    </cfRule>
    <cfRule type="containsText" dxfId="4482" priority="1616" operator="containsText" text="기타">
      <formula>NOT(ISERROR(SEARCH(("기타"),(I345))))</formula>
    </cfRule>
    <cfRule type="containsText" dxfId="4481" priority="1617" operator="containsText" text="프로젝트">
      <formula>NOT(ISERROR(SEARCH(("프로젝트"),(I345))))</formula>
    </cfRule>
    <cfRule type="containsText" dxfId="4480" priority="1609" operator="containsText" text="정규교과">
      <formula>NOT(ISERROR(SEARCH(("정규교과"),(I345))))</formula>
    </cfRule>
    <cfRule type="containsText" dxfId="4479" priority="1610" operator="containsText" text="기타">
      <formula>NOT(ISERROR(SEARCH(("기타"),(I345))))</formula>
    </cfRule>
    <cfRule type="containsText" dxfId="4478" priority="1620" operator="containsText" text="프로젝트">
      <formula>NOT(ISERROR(SEARCH(("프로젝트"),(I345))))</formula>
    </cfRule>
  </conditionalFormatting>
  <conditionalFormatting sqref="I349">
    <cfRule type="containsText" dxfId="4477" priority="1470" operator="containsText" text="프로젝트">
      <formula>NOT(ISERROR(SEARCH(("프로젝트"),(I349))))</formula>
    </cfRule>
    <cfRule type="containsText" dxfId="4476" priority="1471" operator="containsText" text="정규교과">
      <formula>NOT(ISERROR(SEARCH(("정규교과"),(I349))))</formula>
    </cfRule>
    <cfRule type="containsText" dxfId="4475" priority="1455" operator="containsText" text="프로젝트">
      <formula>NOT(ISERROR(SEARCH(("프로젝트"),(I349))))</formula>
    </cfRule>
    <cfRule type="containsText" dxfId="4474" priority="1456" operator="containsText" text="정규교과">
      <formula>NOT(ISERROR(SEARCH(("정규교과"),(I349))))</formula>
    </cfRule>
    <cfRule type="containsText" dxfId="4473" priority="1457" operator="containsText" text="기타">
      <formula>NOT(ISERROR(SEARCH(("기타"),(I349))))</formula>
    </cfRule>
    <cfRule type="containsText" dxfId="4472" priority="1458" operator="containsText" text="프로젝트">
      <formula>NOT(ISERROR(SEARCH(("프로젝트"),(I349))))</formula>
    </cfRule>
    <cfRule type="containsText" dxfId="4471" priority="1459" operator="containsText" text="정규교과">
      <formula>NOT(ISERROR(SEARCH(("정규교과"),(I349))))</formula>
    </cfRule>
    <cfRule type="containsText" dxfId="4470" priority="1475" operator="containsText" text="기타">
      <formula>NOT(ISERROR(SEARCH(("기타"),(I349))))</formula>
    </cfRule>
    <cfRule type="containsText" dxfId="4469" priority="1474" operator="containsText" text="정규교과">
      <formula>NOT(ISERROR(SEARCH(("정규교과"),(I349))))</formula>
    </cfRule>
    <cfRule type="containsText" dxfId="4468" priority="1473" operator="containsText" text="프로젝트">
      <formula>NOT(ISERROR(SEARCH(("프로젝트"),(I349))))</formula>
    </cfRule>
    <cfRule type="containsText" dxfId="4467" priority="1472" operator="containsText" text="기타">
      <formula>NOT(ISERROR(SEARCH(("기타"),(I349))))</formula>
    </cfRule>
    <cfRule type="containsText" dxfId="4466" priority="1460" operator="containsText" text="기타">
      <formula>NOT(ISERROR(SEARCH(("기타"),(I349))))</formula>
    </cfRule>
    <cfRule type="containsText" dxfId="4465" priority="1461" operator="containsText" text="프로젝트">
      <formula>NOT(ISERROR(SEARCH(("프로젝트"),(I349))))</formula>
    </cfRule>
    <cfRule type="containsText" dxfId="4464" priority="1462" operator="containsText" text="정규교과">
      <formula>NOT(ISERROR(SEARCH(("정규교과"),(I349))))</formula>
    </cfRule>
    <cfRule type="containsText" dxfId="4463" priority="1463" operator="containsText" text="기타">
      <formula>NOT(ISERROR(SEARCH(("기타"),(I349))))</formula>
    </cfRule>
    <cfRule type="containsText" dxfId="4462" priority="1464" operator="containsText" text="프로젝트">
      <formula>NOT(ISERROR(SEARCH(("프로젝트"),(I349))))</formula>
    </cfRule>
    <cfRule type="containsText" dxfId="4461" priority="1465" operator="containsText" text="정규교과">
      <formula>NOT(ISERROR(SEARCH(("정규교과"),(I349))))</formula>
    </cfRule>
    <cfRule type="containsText" dxfId="4460" priority="1466" operator="containsText" text="기타">
      <formula>NOT(ISERROR(SEARCH(("기타"),(I349))))</formula>
    </cfRule>
    <cfRule type="containsText" dxfId="4459" priority="1467" operator="containsText" text="프로젝트">
      <formula>NOT(ISERROR(SEARCH(("프로젝트"),(I349))))</formula>
    </cfRule>
    <cfRule type="containsText" dxfId="4458" priority="1468" operator="containsText" text="정규교과">
      <formula>NOT(ISERROR(SEARCH(("정규교과"),(I349))))</formula>
    </cfRule>
    <cfRule type="containsText" dxfId="4457" priority="1469" operator="containsText" text="기타">
      <formula>NOT(ISERROR(SEARCH(("기타"),(I349))))</formula>
    </cfRule>
  </conditionalFormatting>
  <conditionalFormatting sqref="I359">
    <cfRule type="containsText" dxfId="4456" priority="351" operator="containsText" text="기타">
      <formula>NOT(ISERROR(SEARCH(("기타"),(I359))))</formula>
    </cfRule>
    <cfRule type="containsText" dxfId="4455" priority="350" operator="containsText" text="정규교과">
      <formula>NOT(ISERROR(SEARCH(("정규교과"),(I359))))</formula>
    </cfRule>
    <cfRule type="containsText" dxfId="4454" priority="349" operator="containsText" text="프로젝트">
      <formula>NOT(ISERROR(SEARCH(("프로젝트"),(I359))))</formula>
    </cfRule>
    <cfRule type="containsText" dxfId="4453" priority="348" operator="containsText" text="기타">
      <formula>NOT(ISERROR(SEARCH(("기타"),(I359))))</formula>
    </cfRule>
    <cfRule type="containsText" dxfId="4452" priority="347" operator="containsText" text="정규교과">
      <formula>NOT(ISERROR(SEARCH(("정규교과"),(I359))))</formula>
    </cfRule>
    <cfRule type="containsText" dxfId="4451" priority="346" operator="containsText" text="프로젝트">
      <formula>NOT(ISERROR(SEARCH(("프로젝트"),(I359))))</formula>
    </cfRule>
    <cfRule type="containsText" dxfId="4450" priority="345" operator="containsText" text="기타">
      <formula>NOT(ISERROR(SEARCH(("기타"),(I359))))</formula>
    </cfRule>
    <cfRule type="containsText" dxfId="4449" priority="344" operator="containsText" text="정규교과">
      <formula>NOT(ISERROR(SEARCH(("정규교과"),(I359))))</formula>
    </cfRule>
    <cfRule type="containsText" dxfId="4448" priority="343" operator="containsText" text="프로젝트">
      <formula>NOT(ISERROR(SEARCH(("프로젝트"),(I359))))</formula>
    </cfRule>
    <cfRule type="containsText" dxfId="4447" priority="342" operator="containsText" text="기타">
      <formula>NOT(ISERROR(SEARCH(("기타"),(I359))))</formula>
    </cfRule>
    <cfRule type="containsText" dxfId="4446" priority="341" operator="containsText" text="정규교과">
      <formula>NOT(ISERROR(SEARCH(("정규교과"),(I359))))</formula>
    </cfRule>
    <cfRule type="containsText" dxfId="4445" priority="340" operator="containsText" text="프로젝트">
      <formula>NOT(ISERROR(SEARCH(("프로젝트"),(I359))))</formula>
    </cfRule>
    <cfRule type="containsText" dxfId="4444" priority="339" operator="containsText" text="기타">
      <formula>NOT(ISERROR(SEARCH(("기타"),(I359))))</formula>
    </cfRule>
    <cfRule type="containsText" dxfId="4443" priority="338" operator="containsText" text="정규교과">
      <formula>NOT(ISERROR(SEARCH(("정규교과"),(I359))))</formula>
    </cfRule>
    <cfRule type="containsText" dxfId="4442" priority="337" operator="containsText" text="프로젝트">
      <formula>NOT(ISERROR(SEARCH(("프로젝트"),(I359))))</formula>
    </cfRule>
    <cfRule type="containsText" dxfId="4441" priority="336" operator="containsText" text="휴강">
      <formula>NOT(ISERROR(SEARCH(("휴강"),(I359))))</formula>
    </cfRule>
    <cfRule type="containsText" dxfId="4440" priority="335" operator="containsText" text="기타">
      <formula>NOT(ISERROR(SEARCH(("기타"),(I359))))</formula>
    </cfRule>
    <cfRule type="containsText" dxfId="4439" priority="315" operator="containsText" text="프로젝트">
      <formula>NOT(ISERROR(SEARCH(("프로젝트"),(I359))))</formula>
    </cfRule>
    <cfRule type="containsText" dxfId="4438" priority="324" operator="containsText" text="프로젝트">
      <formula>NOT(ISERROR(SEARCH(("프로젝트"),(I359))))</formula>
    </cfRule>
    <cfRule type="containsText" dxfId="4437" priority="316" operator="containsText" text="정규교과">
      <formula>NOT(ISERROR(SEARCH(("정규교과"),(I359))))</formula>
    </cfRule>
    <cfRule type="containsText" dxfId="4436" priority="317" operator="containsText" text="기타">
      <formula>NOT(ISERROR(SEARCH(("기타"),(I359))))</formula>
    </cfRule>
    <cfRule type="containsText" dxfId="4435" priority="318" operator="containsText" text="프로젝트">
      <formula>NOT(ISERROR(SEARCH(("프로젝트"),(I359))))</formula>
    </cfRule>
    <cfRule type="containsText" dxfId="4434" priority="319" operator="containsText" text="정규교과">
      <formula>NOT(ISERROR(SEARCH(("정규교과"),(I359))))</formula>
    </cfRule>
    <cfRule type="containsText" dxfId="4433" priority="326" operator="containsText" text="기타">
      <formula>NOT(ISERROR(SEARCH(("기타"),(I359))))</formula>
    </cfRule>
    <cfRule type="containsText" dxfId="4432" priority="320" operator="containsText" text="기타">
      <formula>NOT(ISERROR(SEARCH(("기타"),(I359))))</formula>
    </cfRule>
    <cfRule type="containsText" dxfId="4431" priority="321" operator="containsText" text="프로젝트">
      <formula>NOT(ISERROR(SEARCH(("프로젝트"),(I359))))</formula>
    </cfRule>
    <cfRule type="containsText" dxfId="4430" priority="322" operator="containsText" text="정규교과">
      <formula>NOT(ISERROR(SEARCH(("정규교과"),(I359))))</formula>
    </cfRule>
    <cfRule type="containsText" dxfId="4429" priority="323" operator="containsText" text="기타">
      <formula>NOT(ISERROR(SEARCH(("기타"),(I359))))</formula>
    </cfRule>
    <cfRule type="containsText" dxfId="4428" priority="325" operator="containsText" text="정규교과">
      <formula>NOT(ISERROR(SEARCH(("정규교과"),(I359))))</formula>
    </cfRule>
    <cfRule type="containsText" dxfId="4427" priority="334" operator="containsText" text="정규교과">
      <formula>NOT(ISERROR(SEARCH(("정규교과"),(I359))))</formula>
    </cfRule>
    <cfRule type="containsText" dxfId="4426" priority="327" operator="containsText" text="프로젝트">
      <formula>NOT(ISERROR(SEARCH(("프로젝트"),(I359))))</formula>
    </cfRule>
    <cfRule type="containsText" dxfId="4425" priority="328" operator="containsText" text="정규교과">
      <formula>NOT(ISERROR(SEARCH(("정규교과"),(I359))))</formula>
    </cfRule>
    <cfRule type="containsText" dxfId="4424" priority="329" operator="containsText" text="기타">
      <formula>NOT(ISERROR(SEARCH(("기타"),(I359))))</formula>
    </cfRule>
    <cfRule type="containsText" dxfId="4423" priority="330" operator="containsText" text="프로젝트">
      <formula>NOT(ISERROR(SEARCH(("프로젝트"),(I359))))</formula>
    </cfRule>
    <cfRule type="containsText" dxfId="4422" priority="331" operator="containsText" text="정규교과">
      <formula>NOT(ISERROR(SEARCH(("정규교과"),(I359))))</formula>
    </cfRule>
    <cfRule type="containsText" dxfId="4421" priority="332" operator="containsText" text="기타">
      <formula>NOT(ISERROR(SEARCH(("기타"),(I359))))</formula>
    </cfRule>
    <cfRule type="containsText" dxfId="4420" priority="333" operator="containsText" text="프로젝트">
      <formula>NOT(ISERROR(SEARCH(("프로젝트"),(I359))))</formula>
    </cfRule>
  </conditionalFormatting>
  <conditionalFormatting sqref="I363">
    <cfRule type="containsText" dxfId="4419" priority="292" operator="containsText" text="기타">
      <formula>NOT(ISERROR(SEARCH(("기타"),(I363))))</formula>
    </cfRule>
    <cfRule type="containsText" dxfId="4418" priority="298" operator="containsText" text="기타">
      <formula>NOT(ISERROR(SEARCH(("기타"),(I363))))</formula>
    </cfRule>
    <cfRule type="containsText" dxfId="4417" priority="286" operator="containsText" text="기타">
      <formula>NOT(ISERROR(SEARCH(("기타"),(I363))))</formula>
    </cfRule>
    <cfRule type="containsText" dxfId="4416" priority="299" operator="containsText" text="휴강">
      <formula>NOT(ISERROR(SEARCH(("휴강"),(I363))))</formula>
    </cfRule>
    <cfRule type="containsText" dxfId="4415" priority="300" operator="containsText" text="프로젝트">
      <formula>NOT(ISERROR(SEARCH(("프로젝트"),(I363))))</formula>
    </cfRule>
    <cfRule type="containsText" dxfId="4414" priority="296" operator="containsText" text="프로젝트">
      <formula>NOT(ISERROR(SEARCH(("프로젝트"),(I363))))</formula>
    </cfRule>
    <cfRule type="containsText" dxfId="4413" priority="295" operator="containsText" text="기타">
      <formula>NOT(ISERROR(SEARCH(("기타"),(I363))))</formula>
    </cfRule>
    <cfRule type="containsText" dxfId="4412" priority="294" operator="containsText" text="정규교과">
      <formula>NOT(ISERROR(SEARCH(("정규교과"),(I363))))</formula>
    </cfRule>
    <cfRule type="containsText" dxfId="4411" priority="290" operator="containsText" text="프로젝트">
      <formula>NOT(ISERROR(SEARCH(("프로젝트"),(I363))))</formula>
    </cfRule>
    <cfRule type="containsText" dxfId="4410" priority="314" operator="containsText" text="기타">
      <formula>NOT(ISERROR(SEARCH(("기타"),(I363))))</formula>
    </cfRule>
    <cfRule type="containsText" dxfId="4409" priority="291" operator="containsText" text="정규교과">
      <formula>NOT(ISERROR(SEARCH(("정규교과"),(I363))))</formula>
    </cfRule>
    <cfRule type="containsText" dxfId="4408" priority="301" operator="containsText" text="정규교과">
      <formula>NOT(ISERROR(SEARCH(("정규교과"),(I363))))</formula>
    </cfRule>
    <cfRule type="containsText" dxfId="4407" priority="302" operator="containsText" text="기타">
      <formula>NOT(ISERROR(SEARCH(("기타"),(I363))))</formula>
    </cfRule>
    <cfRule type="containsText" dxfId="4406" priority="303" operator="containsText" text="프로젝트">
      <formula>NOT(ISERROR(SEARCH(("프로젝트"),(I363))))</formula>
    </cfRule>
    <cfRule type="containsText" dxfId="4405" priority="311" operator="containsText" text="기타">
      <formula>NOT(ISERROR(SEARCH(("기타"),(I363))))</formula>
    </cfRule>
    <cfRule type="containsText" dxfId="4404" priority="310" operator="containsText" text="정규교과">
      <formula>NOT(ISERROR(SEARCH(("정규교과"),(I363))))</formula>
    </cfRule>
    <cfRule type="containsText" dxfId="4403" priority="309" operator="containsText" text="프로젝트">
      <formula>NOT(ISERROR(SEARCH(("프로젝트"),(I363))))</formula>
    </cfRule>
    <cfRule type="containsText" dxfId="4402" priority="289" operator="containsText" text="기타">
      <formula>NOT(ISERROR(SEARCH(("기타"),(I363))))</formula>
    </cfRule>
    <cfRule type="containsText" dxfId="4401" priority="293" operator="containsText" text="프로젝트">
      <formula>NOT(ISERROR(SEARCH(("프로젝트"),(I363))))</formula>
    </cfRule>
    <cfRule type="containsText" dxfId="4400" priority="287" operator="containsText" text="프로젝트">
      <formula>NOT(ISERROR(SEARCH(("프로젝트"),(I363))))</formula>
    </cfRule>
    <cfRule type="containsText" dxfId="4399" priority="285" operator="containsText" text="정규교과">
      <formula>NOT(ISERROR(SEARCH(("정규교과"),(I363))))</formula>
    </cfRule>
    <cfRule type="containsText" dxfId="4398" priority="284" operator="containsText" text="프로젝트">
      <formula>NOT(ISERROR(SEARCH(("프로젝트"),(I363))))</formula>
    </cfRule>
    <cfRule type="containsText" dxfId="4397" priority="283" operator="containsText" text="기타">
      <formula>NOT(ISERROR(SEARCH(("기타"),(I363))))</formula>
    </cfRule>
    <cfRule type="containsText" dxfId="4396" priority="282" operator="containsText" text="정규교과">
      <formula>NOT(ISERROR(SEARCH(("정규교과"),(I363))))</formula>
    </cfRule>
    <cfRule type="containsText" dxfId="4395" priority="281" operator="containsText" text="프로젝트">
      <formula>NOT(ISERROR(SEARCH(("프로젝트"),(I363))))</formula>
    </cfRule>
    <cfRule type="containsText" dxfId="4394" priority="280" operator="containsText" text="기타">
      <formula>NOT(ISERROR(SEARCH(("기타"),(I363))))</formula>
    </cfRule>
    <cfRule type="containsText" dxfId="4393" priority="279" operator="containsText" text="정규교과">
      <formula>NOT(ISERROR(SEARCH(("정규교과"),(I363))))</formula>
    </cfRule>
    <cfRule type="containsText" dxfId="4392" priority="288" operator="containsText" text="정규교과">
      <formula>NOT(ISERROR(SEARCH(("정규교과"),(I363))))</formula>
    </cfRule>
    <cfRule type="containsText" dxfId="4391" priority="304" operator="containsText" text="정규교과">
      <formula>NOT(ISERROR(SEARCH(("정규교과"),(I363))))</formula>
    </cfRule>
    <cfRule type="containsText" dxfId="4390" priority="308" operator="containsText" text="기타">
      <formula>NOT(ISERROR(SEARCH(("기타"),(I363))))</formula>
    </cfRule>
    <cfRule type="containsText" dxfId="4389" priority="307" operator="containsText" text="정규교과">
      <formula>NOT(ISERROR(SEARCH(("정규교과"),(I363))))</formula>
    </cfRule>
    <cfRule type="containsText" dxfId="4388" priority="306" operator="containsText" text="프로젝트">
      <formula>NOT(ISERROR(SEARCH(("프로젝트"),(I363))))</formula>
    </cfRule>
    <cfRule type="containsText" dxfId="4387" priority="305" operator="containsText" text="기타">
      <formula>NOT(ISERROR(SEARCH(("기타"),(I363))))</formula>
    </cfRule>
    <cfRule type="containsText" dxfId="4386" priority="312" operator="containsText" text="프로젝트">
      <formula>NOT(ISERROR(SEARCH(("프로젝트"),(I363))))</formula>
    </cfRule>
    <cfRule type="containsText" dxfId="4385" priority="313" operator="containsText" text="정규교과">
      <formula>NOT(ISERROR(SEARCH(("정규교과"),(I363))))</formula>
    </cfRule>
    <cfRule type="containsText" dxfId="4384" priority="297" operator="containsText" text="정규교과">
      <formula>NOT(ISERROR(SEARCH(("정규교과"),(I363))))</formula>
    </cfRule>
    <cfRule type="containsText" dxfId="4383" priority="278" operator="containsText" text="프로젝트">
      <formula>NOT(ISERROR(SEARCH(("프로젝트"),(I363))))</formula>
    </cfRule>
  </conditionalFormatting>
  <conditionalFormatting sqref="I368">
    <cfRule type="containsText" dxfId="4382" priority="276" operator="containsText" text="정규교과">
      <formula>NOT(ISERROR(SEARCH(("정규교과"),(I368))))</formula>
    </cfRule>
    <cfRule type="containsText" dxfId="4381" priority="277" operator="containsText" text="기타">
      <formula>NOT(ISERROR(SEARCH(("기타"),(I368))))</formula>
    </cfRule>
    <cfRule type="containsText" dxfId="4380" priority="275" operator="containsText" text="프로젝트">
      <formula>NOT(ISERROR(SEARCH(("프로젝트"),(I368))))</formula>
    </cfRule>
    <cfRule type="containsText" dxfId="4379" priority="274" operator="containsText" text="기타">
      <formula>NOT(ISERROR(SEARCH(("기타"),(I368))))</formula>
    </cfRule>
    <cfRule type="containsText" dxfId="4378" priority="273" operator="containsText" text="정규교과">
      <formula>NOT(ISERROR(SEARCH(("정규교과"),(I368))))</formula>
    </cfRule>
    <cfRule type="containsText" dxfId="4377" priority="272" operator="containsText" text="프로젝트">
      <formula>NOT(ISERROR(SEARCH(("프로젝트"),(I368))))</formula>
    </cfRule>
    <cfRule type="containsText" dxfId="4376" priority="271" operator="containsText" text="기타">
      <formula>NOT(ISERROR(SEARCH(("기타"),(I368))))</formula>
    </cfRule>
    <cfRule type="containsText" dxfId="4375" priority="270" operator="containsText" text="정규교과">
      <formula>NOT(ISERROR(SEARCH(("정규교과"),(I368))))</formula>
    </cfRule>
    <cfRule type="containsText" dxfId="4374" priority="269" operator="containsText" text="프로젝트">
      <formula>NOT(ISERROR(SEARCH(("프로젝트"),(I368))))</formula>
    </cfRule>
    <cfRule type="containsText" dxfId="4373" priority="268" operator="containsText" text="기타">
      <formula>NOT(ISERROR(SEARCH(("기타"),(I368))))</formula>
    </cfRule>
    <cfRule type="containsText" dxfId="4372" priority="267" operator="containsText" text="정규교과">
      <formula>NOT(ISERROR(SEARCH(("정규교과"),(I368))))</formula>
    </cfRule>
    <cfRule type="containsText" dxfId="4371" priority="266" operator="containsText" text="프로젝트">
      <formula>NOT(ISERROR(SEARCH(("프로젝트"),(I368))))</formula>
    </cfRule>
    <cfRule type="containsText" dxfId="4370" priority="265" operator="containsText" text="기타">
      <formula>NOT(ISERROR(SEARCH(("기타"),(I368))))</formula>
    </cfRule>
    <cfRule type="containsText" dxfId="4369" priority="253" operator="containsText" text="프로젝트">
      <formula>NOT(ISERROR(SEARCH(("프로젝트"),(I368))))</formula>
    </cfRule>
    <cfRule type="containsText" dxfId="4368" priority="264" operator="containsText" text="정규교과">
      <formula>NOT(ISERROR(SEARCH(("정규교과"),(I368))))</formula>
    </cfRule>
    <cfRule type="containsText" dxfId="4367" priority="263" operator="containsText" text="프로젝트">
      <formula>NOT(ISERROR(SEARCH(("프로젝트"),(I368))))</formula>
    </cfRule>
    <cfRule type="containsText" dxfId="4366" priority="262" operator="containsText" text="휴강">
      <formula>NOT(ISERROR(SEARCH(("휴강"),(I368))))</formula>
    </cfRule>
    <cfRule type="containsText" dxfId="4365" priority="261" operator="containsText" text="기타">
      <formula>NOT(ISERROR(SEARCH(("기타"),(I368))))</formula>
    </cfRule>
    <cfRule type="containsText" dxfId="4364" priority="260" operator="containsText" text="정규교과">
      <formula>NOT(ISERROR(SEARCH(("정규교과"),(I368))))</formula>
    </cfRule>
    <cfRule type="containsText" dxfId="4363" priority="259" operator="containsText" text="프로젝트">
      <formula>NOT(ISERROR(SEARCH(("프로젝트"),(I368))))</formula>
    </cfRule>
    <cfRule type="containsText" dxfId="4362" priority="258" operator="containsText" text="기타">
      <formula>NOT(ISERROR(SEARCH(("기타"),(I368))))</formula>
    </cfRule>
    <cfRule type="containsText" dxfId="4361" priority="257" operator="containsText" text="정규교과">
      <formula>NOT(ISERROR(SEARCH(("정규교과"),(I368))))</formula>
    </cfRule>
    <cfRule type="containsText" dxfId="4360" priority="256" operator="containsText" text="프로젝트">
      <formula>NOT(ISERROR(SEARCH(("프로젝트"),(I368))))</formula>
    </cfRule>
    <cfRule type="containsText" dxfId="4359" priority="255" operator="containsText" text="기타">
      <formula>NOT(ISERROR(SEARCH(("기타"),(I368))))</formula>
    </cfRule>
    <cfRule type="containsText" dxfId="4358" priority="254" operator="containsText" text="정규교과">
      <formula>NOT(ISERROR(SEARCH(("정규교과"),(I368))))</formula>
    </cfRule>
    <cfRule type="containsText" dxfId="4357" priority="252" operator="containsText" text="기타">
      <formula>NOT(ISERROR(SEARCH(("기타"),(I368))))</formula>
    </cfRule>
    <cfRule type="containsText" dxfId="4356" priority="251" operator="containsText" text="정규교과">
      <formula>NOT(ISERROR(SEARCH(("정규교과"),(I368))))</formula>
    </cfRule>
    <cfRule type="containsText" dxfId="4355" priority="250" operator="containsText" text="프로젝트">
      <formula>NOT(ISERROR(SEARCH(("프로젝트"),(I368))))</formula>
    </cfRule>
    <cfRule type="containsText" dxfId="4354" priority="249" operator="containsText" text="기타">
      <formula>NOT(ISERROR(SEARCH(("기타"),(I368))))</formula>
    </cfRule>
    <cfRule type="containsText" dxfId="4353" priority="248" operator="containsText" text="정규교과">
      <formula>NOT(ISERROR(SEARCH(("정규교과"),(I368))))</formula>
    </cfRule>
    <cfRule type="containsText" dxfId="4352" priority="247" operator="containsText" text="프로젝트">
      <formula>NOT(ISERROR(SEARCH(("프로젝트"),(I368))))</formula>
    </cfRule>
    <cfRule type="containsText" dxfId="4351" priority="246" operator="containsText" text="기타">
      <formula>NOT(ISERROR(SEARCH(("기타"),(I368))))</formula>
    </cfRule>
    <cfRule type="containsText" dxfId="4350" priority="245" operator="containsText" text="정규교과">
      <formula>NOT(ISERROR(SEARCH(("정규교과"),(I368))))</formula>
    </cfRule>
    <cfRule type="containsText" dxfId="4349" priority="244" operator="containsText" text="프로젝트">
      <formula>NOT(ISERROR(SEARCH(("프로젝트"),(I368))))</formula>
    </cfRule>
    <cfRule type="containsText" dxfId="4348" priority="243" operator="containsText" text="기타">
      <formula>NOT(ISERROR(SEARCH(("기타"),(I368))))</formula>
    </cfRule>
    <cfRule type="containsText" dxfId="4347" priority="242" operator="containsText" text="정규교과">
      <formula>NOT(ISERROR(SEARCH(("정규교과"),(I368))))</formula>
    </cfRule>
    <cfRule type="containsText" dxfId="4346" priority="241" operator="containsText" text="프로젝트">
      <formula>NOT(ISERROR(SEARCH(("프로젝트"),(I368))))</formula>
    </cfRule>
  </conditionalFormatting>
  <conditionalFormatting sqref="I372">
    <cfRule type="containsText" dxfId="4345" priority="234" operator="containsText" text="기타">
      <formula>NOT(ISERROR(SEARCH(("기타"),(I372))))</formula>
    </cfRule>
    <cfRule type="containsText" dxfId="4344" priority="233" operator="containsText" text="정규교과">
      <formula>NOT(ISERROR(SEARCH(("정규교과"),(I372))))</formula>
    </cfRule>
    <cfRule type="containsText" dxfId="4343" priority="232" operator="containsText" text="프로젝트">
      <formula>NOT(ISERROR(SEARCH(("프로젝트"),(I372))))</formula>
    </cfRule>
    <cfRule type="containsText" dxfId="4342" priority="231" operator="containsText" text="기타">
      <formula>NOT(ISERROR(SEARCH(("기타"),(I372))))</formula>
    </cfRule>
    <cfRule type="containsText" dxfId="4341" priority="230" operator="containsText" text="정규교과">
      <formula>NOT(ISERROR(SEARCH(("정규교과"),(I372))))</formula>
    </cfRule>
    <cfRule type="containsText" dxfId="4340" priority="229" operator="containsText" text="프로젝트">
      <formula>NOT(ISERROR(SEARCH(("프로젝트"),(I372))))</formula>
    </cfRule>
    <cfRule type="containsText" dxfId="4339" priority="228" operator="containsText" text="기타">
      <formula>NOT(ISERROR(SEARCH(("기타"),(I372))))</formula>
    </cfRule>
    <cfRule type="containsText" dxfId="4338" priority="227" operator="containsText" text="정규교과">
      <formula>NOT(ISERROR(SEARCH(("정규교과"),(I372))))</formula>
    </cfRule>
    <cfRule type="containsText" dxfId="4337" priority="226" operator="containsText" text="프로젝트">
      <formula>NOT(ISERROR(SEARCH(("프로젝트"),(I372))))</formula>
    </cfRule>
    <cfRule type="containsText" dxfId="4336" priority="225" operator="containsText" text="휴강">
      <formula>NOT(ISERROR(SEARCH(("휴강"),(I372))))</formula>
    </cfRule>
    <cfRule type="containsText" dxfId="4335" priority="224" operator="containsText" text="기타">
      <formula>NOT(ISERROR(SEARCH(("기타"),(I372))))</formula>
    </cfRule>
    <cfRule type="containsText" dxfId="4334" priority="223" operator="containsText" text="정규교과">
      <formula>NOT(ISERROR(SEARCH(("정규교과"),(I372))))</formula>
    </cfRule>
    <cfRule type="containsText" dxfId="4333" priority="222" operator="containsText" text="프로젝트">
      <formula>NOT(ISERROR(SEARCH(("프로젝트"),(I372))))</formula>
    </cfRule>
    <cfRule type="containsText" dxfId="4332" priority="221" operator="containsText" text="기타">
      <formula>NOT(ISERROR(SEARCH(("기타"),(I372))))</formula>
    </cfRule>
    <cfRule type="containsText" dxfId="4331" priority="220" operator="containsText" text="정규교과">
      <formula>NOT(ISERROR(SEARCH(("정규교과"),(I372))))</formula>
    </cfRule>
    <cfRule type="containsText" dxfId="4330" priority="219" operator="containsText" text="프로젝트">
      <formula>NOT(ISERROR(SEARCH(("프로젝트"),(I372))))</formula>
    </cfRule>
    <cfRule type="containsText" dxfId="4329" priority="218" operator="containsText" text="기타">
      <formula>NOT(ISERROR(SEARCH(("기타"),(I372))))</formula>
    </cfRule>
    <cfRule type="containsText" dxfId="4328" priority="217" operator="containsText" text="정규교과">
      <formula>NOT(ISERROR(SEARCH(("정규교과"),(I372))))</formula>
    </cfRule>
    <cfRule type="containsText" dxfId="4327" priority="236" operator="containsText" text="정규교과">
      <formula>NOT(ISERROR(SEARCH(("정규교과"),(I372))))</formula>
    </cfRule>
    <cfRule type="containsText" dxfId="4326" priority="216" operator="containsText" text="프로젝트">
      <formula>NOT(ISERROR(SEARCH(("프로젝트"),(I372))))</formula>
    </cfRule>
    <cfRule type="containsText" dxfId="4325" priority="215" operator="containsText" text="기타">
      <formula>NOT(ISERROR(SEARCH(("기타"),(I372))))</formula>
    </cfRule>
    <cfRule type="containsText" dxfId="4324" priority="214" operator="containsText" text="정규교과">
      <formula>NOT(ISERROR(SEARCH(("정규교과"),(I372))))</formula>
    </cfRule>
    <cfRule type="containsText" dxfId="4323" priority="213" operator="containsText" text="프로젝트">
      <formula>NOT(ISERROR(SEARCH(("프로젝트"),(I372))))</formula>
    </cfRule>
    <cfRule type="containsText" dxfId="4322" priority="212" operator="containsText" text="기타">
      <formula>NOT(ISERROR(SEARCH(("기타"),(I372))))</formula>
    </cfRule>
    <cfRule type="containsText" dxfId="4321" priority="211" operator="containsText" text="정규교과">
      <formula>NOT(ISERROR(SEARCH(("정규교과"),(I372))))</formula>
    </cfRule>
    <cfRule type="containsText" dxfId="4320" priority="210" operator="containsText" text="프로젝트">
      <formula>NOT(ISERROR(SEARCH(("프로젝트"),(I372))))</formula>
    </cfRule>
    <cfRule type="containsText" dxfId="4319" priority="209" operator="containsText" text="기타">
      <formula>NOT(ISERROR(SEARCH(("기타"),(I372))))</formula>
    </cfRule>
    <cfRule type="containsText" dxfId="4318" priority="208" operator="containsText" text="정규교과">
      <formula>NOT(ISERROR(SEARCH(("정규교과"),(I372))))</formula>
    </cfRule>
    <cfRule type="containsText" dxfId="4317" priority="207" operator="containsText" text="프로젝트">
      <formula>NOT(ISERROR(SEARCH(("프로젝트"),(I372))))</formula>
    </cfRule>
    <cfRule type="containsText" dxfId="4316" priority="206" operator="containsText" text="기타">
      <formula>NOT(ISERROR(SEARCH(("기타"),(I372))))</formula>
    </cfRule>
    <cfRule type="containsText" dxfId="4315" priority="205" operator="containsText" text="정규교과">
      <formula>NOT(ISERROR(SEARCH(("정규교과"),(I372))))</formula>
    </cfRule>
    <cfRule type="containsText" dxfId="4314" priority="204" operator="containsText" text="프로젝트">
      <formula>NOT(ISERROR(SEARCH(("프로젝트"),(I372))))</formula>
    </cfRule>
    <cfRule type="containsText" dxfId="4313" priority="238" operator="containsText" text="프로젝트">
      <formula>NOT(ISERROR(SEARCH(("프로젝트"),(I372))))</formula>
    </cfRule>
    <cfRule type="containsText" dxfId="4312" priority="239" operator="containsText" text="정규교과">
      <formula>NOT(ISERROR(SEARCH(("정규교과"),(I372))))</formula>
    </cfRule>
    <cfRule type="containsText" dxfId="4311" priority="240" operator="containsText" text="기타">
      <formula>NOT(ISERROR(SEARCH(("기타"),(I372))))</formula>
    </cfRule>
    <cfRule type="containsText" dxfId="4310" priority="237" operator="containsText" text="기타">
      <formula>NOT(ISERROR(SEARCH(("기타"),(I372))))</formula>
    </cfRule>
    <cfRule type="containsText" dxfId="4309" priority="235" operator="containsText" text="프로젝트">
      <formula>NOT(ISERROR(SEARCH(("프로젝트"),(I372))))</formula>
    </cfRule>
  </conditionalFormatting>
  <conditionalFormatting sqref="I376">
    <cfRule type="containsText" dxfId="4308" priority="171" operator="containsText" text="정규교과">
      <formula>NOT(ISERROR(SEARCH(("정규교과"),(I376))))</formula>
    </cfRule>
    <cfRule type="containsText" dxfId="4307" priority="170" operator="containsText" text="프로젝트">
      <formula>NOT(ISERROR(SEARCH(("프로젝트"),(I376))))</formula>
    </cfRule>
    <cfRule type="containsText" dxfId="4306" priority="169" operator="containsText" text="기타">
      <formula>NOT(ISERROR(SEARCH(("기타"),(I376))))</formula>
    </cfRule>
    <cfRule type="containsText" dxfId="4305" priority="168" operator="containsText" text="정규교과">
      <formula>NOT(ISERROR(SEARCH(("정규교과"),(I376))))</formula>
    </cfRule>
    <cfRule type="containsText" dxfId="4304" priority="167" operator="containsText" text="프로젝트">
      <formula>NOT(ISERROR(SEARCH(("프로젝트"),(I376))))</formula>
    </cfRule>
    <cfRule type="containsText" dxfId="4303" priority="203" operator="containsText" text="기타">
      <formula>NOT(ISERROR(SEARCH(("기타"),(I376))))</formula>
    </cfRule>
    <cfRule type="containsText" dxfId="4302" priority="202" operator="containsText" text="정규교과">
      <formula>NOT(ISERROR(SEARCH(("정규교과"),(I376))))</formula>
    </cfRule>
    <cfRule type="containsText" dxfId="4301" priority="201" operator="containsText" text="프로젝트">
      <formula>NOT(ISERROR(SEARCH(("프로젝트"),(I376))))</formula>
    </cfRule>
    <cfRule type="containsText" dxfId="4300" priority="200" operator="containsText" text="기타">
      <formula>NOT(ISERROR(SEARCH(("기타"),(I376))))</formula>
    </cfRule>
    <cfRule type="containsText" dxfId="4299" priority="199" operator="containsText" text="정규교과">
      <formula>NOT(ISERROR(SEARCH(("정규교과"),(I376))))</formula>
    </cfRule>
    <cfRule type="containsText" dxfId="4298" priority="198" operator="containsText" text="프로젝트">
      <formula>NOT(ISERROR(SEARCH(("프로젝트"),(I376))))</formula>
    </cfRule>
    <cfRule type="containsText" dxfId="4297" priority="197" operator="containsText" text="기타">
      <formula>NOT(ISERROR(SEARCH(("기타"),(I376))))</formula>
    </cfRule>
    <cfRule type="containsText" dxfId="4296" priority="196" operator="containsText" text="정규교과">
      <formula>NOT(ISERROR(SEARCH(("정규교과"),(I376))))</formula>
    </cfRule>
    <cfRule type="containsText" dxfId="4295" priority="195" operator="containsText" text="프로젝트">
      <formula>NOT(ISERROR(SEARCH(("프로젝트"),(I376))))</formula>
    </cfRule>
    <cfRule type="containsText" dxfId="4294" priority="194" operator="containsText" text="기타">
      <formula>NOT(ISERROR(SEARCH(("기타"),(I376))))</formula>
    </cfRule>
    <cfRule type="containsText" dxfId="4293" priority="193" operator="containsText" text="정규교과">
      <formula>NOT(ISERROR(SEARCH(("정규교과"),(I376))))</formula>
    </cfRule>
    <cfRule type="containsText" dxfId="4292" priority="192" operator="containsText" text="프로젝트">
      <formula>NOT(ISERROR(SEARCH(("프로젝트"),(I376))))</formula>
    </cfRule>
    <cfRule type="containsText" dxfId="4291" priority="191" operator="containsText" text="기타">
      <formula>NOT(ISERROR(SEARCH(("기타"),(I376))))</formula>
    </cfRule>
    <cfRule type="containsText" dxfId="4290" priority="190" operator="containsText" text="정규교과">
      <formula>NOT(ISERROR(SEARCH(("정규교과"),(I376))))</formula>
    </cfRule>
    <cfRule type="containsText" dxfId="4289" priority="189" operator="containsText" text="프로젝트">
      <formula>NOT(ISERROR(SEARCH(("프로젝트"),(I376))))</formula>
    </cfRule>
    <cfRule type="containsText" dxfId="4288" priority="188" operator="containsText" text="휴강">
      <formula>NOT(ISERROR(SEARCH(("휴강"),(I376))))</formula>
    </cfRule>
    <cfRule type="containsText" dxfId="4287" priority="187" operator="containsText" text="기타">
      <formula>NOT(ISERROR(SEARCH(("기타"),(I376))))</formula>
    </cfRule>
    <cfRule type="containsText" dxfId="4286" priority="186" operator="containsText" text="정규교과">
      <formula>NOT(ISERROR(SEARCH(("정규교과"),(I376))))</formula>
    </cfRule>
    <cfRule type="containsText" dxfId="4285" priority="185" operator="containsText" text="프로젝트">
      <formula>NOT(ISERROR(SEARCH(("프로젝트"),(I376))))</formula>
    </cfRule>
    <cfRule type="containsText" dxfId="4284" priority="184" operator="containsText" text="기타">
      <formula>NOT(ISERROR(SEARCH(("기타"),(I376))))</formula>
    </cfRule>
    <cfRule type="containsText" dxfId="4283" priority="183" operator="containsText" text="정규교과">
      <formula>NOT(ISERROR(SEARCH(("정규교과"),(I376))))</formula>
    </cfRule>
    <cfRule type="containsText" dxfId="4282" priority="182" operator="containsText" text="프로젝트">
      <formula>NOT(ISERROR(SEARCH(("프로젝트"),(I376))))</formula>
    </cfRule>
    <cfRule type="containsText" dxfId="4281" priority="181" operator="containsText" text="기타">
      <formula>NOT(ISERROR(SEARCH(("기타"),(I376))))</formula>
    </cfRule>
    <cfRule type="containsText" dxfId="4280" priority="180" operator="containsText" text="정규교과">
      <formula>NOT(ISERROR(SEARCH(("정규교과"),(I376))))</formula>
    </cfRule>
    <cfRule type="containsText" dxfId="4279" priority="179" operator="containsText" text="프로젝트">
      <formula>NOT(ISERROR(SEARCH(("프로젝트"),(I376))))</formula>
    </cfRule>
    <cfRule type="containsText" dxfId="4278" priority="178" operator="containsText" text="기타">
      <formula>NOT(ISERROR(SEARCH(("기타"),(I376))))</formula>
    </cfRule>
    <cfRule type="containsText" dxfId="4277" priority="177" operator="containsText" text="정규교과">
      <formula>NOT(ISERROR(SEARCH(("정규교과"),(I376))))</formula>
    </cfRule>
    <cfRule type="containsText" dxfId="4276" priority="176" operator="containsText" text="프로젝트">
      <formula>NOT(ISERROR(SEARCH(("프로젝트"),(I376))))</formula>
    </cfRule>
    <cfRule type="containsText" dxfId="4275" priority="175" operator="containsText" text="기타">
      <formula>NOT(ISERROR(SEARCH(("기타"),(I376))))</formula>
    </cfRule>
    <cfRule type="containsText" dxfId="4274" priority="174" operator="containsText" text="정규교과">
      <formula>NOT(ISERROR(SEARCH(("정규교과"),(I376))))</formula>
    </cfRule>
    <cfRule type="containsText" dxfId="4273" priority="173" operator="containsText" text="프로젝트">
      <formula>NOT(ISERROR(SEARCH(("프로젝트"),(I376))))</formula>
    </cfRule>
    <cfRule type="containsText" dxfId="4272" priority="172" operator="containsText" text="기타">
      <formula>NOT(ISERROR(SEARCH(("기타"),(I376))))</formula>
    </cfRule>
  </conditionalFormatting>
  <conditionalFormatting sqref="I380">
    <cfRule type="containsText" dxfId="4271" priority="145" operator="containsText" text="프로젝트">
      <formula>NOT(ISERROR(SEARCH(("프로젝트"),(I380))))</formula>
    </cfRule>
    <cfRule type="containsText" dxfId="4270" priority="159" operator="containsText" text="정규교과">
      <formula>NOT(ISERROR(SEARCH(("정규교과"),(I380))))</formula>
    </cfRule>
    <cfRule type="containsText" dxfId="4269" priority="161" operator="containsText" text="프로젝트">
      <formula>NOT(ISERROR(SEARCH(("프로젝트"),(I380))))</formula>
    </cfRule>
    <cfRule type="containsText" dxfId="4268" priority="162" operator="containsText" text="정규교과">
      <formula>NOT(ISERROR(SEARCH(("정규교과"),(I380))))</formula>
    </cfRule>
    <cfRule type="containsText" dxfId="4267" priority="155" operator="containsText" text="프로젝트">
      <formula>NOT(ISERROR(SEARCH(("프로젝트"),(I380))))</formula>
    </cfRule>
    <cfRule type="containsText" dxfId="4266" priority="154" operator="containsText" text="기타">
      <formula>NOT(ISERROR(SEARCH(("기타"),(I380))))</formula>
    </cfRule>
    <cfRule type="containsText" dxfId="4265" priority="153" operator="containsText" text="정규교과">
      <formula>NOT(ISERROR(SEARCH(("정규교과"),(I380))))</formula>
    </cfRule>
    <cfRule type="containsText" dxfId="4264" priority="152" operator="containsText" text="프로젝트">
      <formula>NOT(ISERROR(SEARCH(("프로젝트"),(I380))))</formula>
    </cfRule>
    <cfRule type="containsText" dxfId="4263" priority="151" operator="containsText" text="휴강">
      <formula>NOT(ISERROR(SEARCH(("휴강"),(I380))))</formula>
    </cfRule>
    <cfRule type="containsText" dxfId="4262" priority="150" operator="containsText" text="기타">
      <formula>NOT(ISERROR(SEARCH(("기타"),(I380))))</formula>
    </cfRule>
    <cfRule type="containsText" dxfId="4261" priority="149" operator="containsText" text="정규교과">
      <formula>NOT(ISERROR(SEARCH(("정규교과"),(I380))))</formula>
    </cfRule>
    <cfRule type="containsText" dxfId="4260" priority="148" operator="containsText" text="프로젝트">
      <formula>NOT(ISERROR(SEARCH(("프로젝트"),(I380))))</formula>
    </cfRule>
    <cfRule type="containsText" dxfId="4259" priority="147" operator="containsText" text="기타">
      <formula>NOT(ISERROR(SEARCH(("기타"),(I380))))</formula>
    </cfRule>
    <cfRule type="containsText" dxfId="4258" priority="146" operator="containsText" text="정규교과">
      <formula>NOT(ISERROR(SEARCH(("정규교과"),(I380))))</formula>
    </cfRule>
    <cfRule type="containsText" dxfId="4257" priority="131" operator="containsText" text="정규교과">
      <formula>NOT(ISERROR(SEARCH(("정규교과"),(I380))))</formula>
    </cfRule>
    <cfRule type="containsText" dxfId="4256" priority="144" operator="containsText" text="기타">
      <formula>NOT(ISERROR(SEARCH(("기타"),(I380))))</formula>
    </cfRule>
    <cfRule type="containsText" dxfId="4255" priority="143" operator="containsText" text="정규교과">
      <formula>NOT(ISERROR(SEARCH(("정규교과"),(I380))))</formula>
    </cfRule>
    <cfRule type="containsText" dxfId="4254" priority="142" operator="containsText" text="프로젝트">
      <formula>NOT(ISERROR(SEARCH(("프로젝트"),(I380))))</formula>
    </cfRule>
    <cfRule type="containsText" dxfId="4253" priority="141" operator="containsText" text="기타">
      <formula>NOT(ISERROR(SEARCH(("기타"),(I380))))</formula>
    </cfRule>
    <cfRule type="containsText" dxfId="4252" priority="140" operator="containsText" text="정규교과">
      <formula>NOT(ISERROR(SEARCH(("정규교과"),(I380))))</formula>
    </cfRule>
    <cfRule type="containsText" dxfId="4251" priority="139" operator="containsText" text="프로젝트">
      <formula>NOT(ISERROR(SEARCH(("프로젝트"),(I380))))</formula>
    </cfRule>
    <cfRule type="containsText" dxfId="4250" priority="138" operator="containsText" text="기타">
      <formula>NOT(ISERROR(SEARCH(("기타"),(I380))))</formula>
    </cfRule>
    <cfRule type="containsText" dxfId="4249" priority="137" operator="containsText" text="정규교과">
      <formula>NOT(ISERROR(SEARCH(("정규교과"),(I380))))</formula>
    </cfRule>
    <cfRule type="containsText" dxfId="4248" priority="136" operator="containsText" text="프로젝트">
      <formula>NOT(ISERROR(SEARCH(("프로젝트"),(I380))))</formula>
    </cfRule>
    <cfRule type="containsText" dxfId="4247" priority="135" operator="containsText" text="기타">
      <formula>NOT(ISERROR(SEARCH(("기타"),(I380))))</formula>
    </cfRule>
    <cfRule type="containsText" dxfId="4246" priority="134" operator="containsText" text="정규교과">
      <formula>NOT(ISERROR(SEARCH(("정규교과"),(I380))))</formula>
    </cfRule>
    <cfRule type="containsText" dxfId="4245" priority="133" operator="containsText" text="프로젝트">
      <formula>NOT(ISERROR(SEARCH(("프로젝트"),(I380))))</formula>
    </cfRule>
    <cfRule type="containsText" dxfId="4244" priority="132" operator="containsText" text="기타">
      <formula>NOT(ISERROR(SEARCH(("기타"),(I380))))</formula>
    </cfRule>
    <cfRule type="containsText" dxfId="4243" priority="163" operator="containsText" text="기타">
      <formula>NOT(ISERROR(SEARCH(("기타"),(I380))))</formula>
    </cfRule>
    <cfRule type="containsText" dxfId="4242" priority="164" operator="containsText" text="프로젝트">
      <formula>NOT(ISERROR(SEARCH(("프로젝트"),(I380))))</formula>
    </cfRule>
    <cfRule type="containsText" dxfId="4241" priority="130" operator="containsText" text="프로젝트">
      <formula>NOT(ISERROR(SEARCH(("프로젝트"),(I380))))</formula>
    </cfRule>
    <cfRule type="containsText" dxfId="4240" priority="160" operator="containsText" text="기타">
      <formula>NOT(ISERROR(SEARCH(("기타"),(I380))))</formula>
    </cfRule>
    <cfRule type="containsText" dxfId="4239" priority="166" operator="containsText" text="기타">
      <formula>NOT(ISERROR(SEARCH(("기타"),(I380))))</formula>
    </cfRule>
    <cfRule type="containsText" dxfId="4238" priority="156" operator="containsText" text="정규교과">
      <formula>NOT(ISERROR(SEARCH(("정규교과"),(I380))))</formula>
    </cfRule>
    <cfRule type="containsText" dxfId="4237" priority="157" operator="containsText" text="기타">
      <formula>NOT(ISERROR(SEARCH(("기타"),(I380))))</formula>
    </cfRule>
    <cfRule type="containsText" dxfId="4236" priority="158" operator="containsText" text="프로젝트">
      <formula>NOT(ISERROR(SEARCH(("프로젝트"),(I380))))</formula>
    </cfRule>
    <cfRule type="containsText" dxfId="4235" priority="165" operator="containsText" text="정규교과">
      <formula>NOT(ISERROR(SEARCH(("정규교과"),(I380))))</formula>
    </cfRule>
  </conditionalFormatting>
  <conditionalFormatting sqref="I384">
    <cfRule type="containsText" dxfId="4234" priority="101" operator="containsText" text="기타">
      <formula>NOT(ISERROR(SEARCH(("기타"),(I384))))</formula>
    </cfRule>
    <cfRule type="containsText" dxfId="4233" priority="100" operator="containsText" text="정규교과">
      <formula>NOT(ISERROR(SEARCH(("정규교과"),(I384))))</formula>
    </cfRule>
    <cfRule type="containsText" dxfId="4232" priority="99" operator="containsText" text="프로젝트">
      <formula>NOT(ISERROR(SEARCH(("프로젝트"),(I384))))</formula>
    </cfRule>
    <cfRule type="containsText" dxfId="4231" priority="98" operator="containsText" text="기타">
      <formula>NOT(ISERROR(SEARCH(("기타"),(I384))))</formula>
    </cfRule>
    <cfRule type="containsText" dxfId="4230" priority="97" operator="containsText" text="정규교과">
      <formula>NOT(ISERROR(SEARCH(("정규교과"),(I384))))</formula>
    </cfRule>
    <cfRule type="containsText" dxfId="4229" priority="96" operator="containsText" text="프로젝트">
      <formula>NOT(ISERROR(SEARCH(("프로젝트"),(I384))))</formula>
    </cfRule>
    <cfRule type="containsText" dxfId="4228" priority="95" operator="containsText" text="기타">
      <formula>NOT(ISERROR(SEARCH(("기타"),(I384))))</formula>
    </cfRule>
    <cfRule type="containsText" dxfId="4227" priority="94" operator="containsText" text="정규교과">
      <formula>NOT(ISERROR(SEARCH(("정규교과"),(I384))))</formula>
    </cfRule>
    <cfRule type="containsText" dxfId="4226" priority="93" operator="containsText" text="프로젝트">
      <formula>NOT(ISERROR(SEARCH(("프로젝트"),(I384))))</formula>
    </cfRule>
    <cfRule type="containsText" dxfId="4225" priority="129" operator="containsText" text="기타">
      <formula>NOT(ISERROR(SEARCH(("기타"),(I384))))</formula>
    </cfRule>
    <cfRule type="containsText" dxfId="4224" priority="128" operator="containsText" text="정규교과">
      <formula>NOT(ISERROR(SEARCH(("정규교과"),(I384))))</formula>
    </cfRule>
    <cfRule type="containsText" dxfId="4223" priority="127" operator="containsText" text="프로젝트">
      <formula>NOT(ISERROR(SEARCH(("프로젝트"),(I384))))</formula>
    </cfRule>
    <cfRule type="containsText" dxfId="4222" priority="126" operator="containsText" text="기타">
      <formula>NOT(ISERROR(SEARCH(("기타"),(I384))))</formula>
    </cfRule>
    <cfRule type="containsText" dxfId="4221" priority="125" operator="containsText" text="정규교과">
      <formula>NOT(ISERROR(SEARCH(("정규교과"),(I384))))</formula>
    </cfRule>
    <cfRule type="containsText" dxfId="4220" priority="124" operator="containsText" text="프로젝트">
      <formula>NOT(ISERROR(SEARCH(("프로젝트"),(I384))))</formula>
    </cfRule>
    <cfRule type="containsText" dxfId="4219" priority="123" operator="containsText" text="기타">
      <formula>NOT(ISERROR(SEARCH(("기타"),(I384))))</formula>
    </cfRule>
    <cfRule type="containsText" dxfId="4218" priority="122" operator="containsText" text="정규교과">
      <formula>NOT(ISERROR(SEARCH(("정규교과"),(I384))))</formula>
    </cfRule>
    <cfRule type="containsText" dxfId="4217" priority="121" operator="containsText" text="프로젝트">
      <formula>NOT(ISERROR(SEARCH(("프로젝트"),(I384))))</formula>
    </cfRule>
    <cfRule type="containsText" dxfId="4216" priority="120" operator="containsText" text="기타">
      <formula>NOT(ISERROR(SEARCH(("기타"),(I384))))</formula>
    </cfRule>
    <cfRule type="containsText" dxfId="4215" priority="119" operator="containsText" text="정규교과">
      <formula>NOT(ISERROR(SEARCH(("정규교과"),(I384))))</formula>
    </cfRule>
    <cfRule type="containsText" dxfId="4214" priority="113" operator="containsText" text="기타">
      <formula>NOT(ISERROR(SEARCH(("기타"),(I384))))</formula>
    </cfRule>
    <cfRule type="containsText" dxfId="4213" priority="118" operator="containsText" text="프로젝트">
      <formula>NOT(ISERROR(SEARCH(("프로젝트"),(I384))))</formula>
    </cfRule>
    <cfRule type="containsText" dxfId="4212" priority="117" operator="containsText" text="기타">
      <formula>NOT(ISERROR(SEARCH(("기타"),(I384))))</formula>
    </cfRule>
    <cfRule type="containsText" dxfId="4211" priority="116" operator="containsText" text="정규교과">
      <formula>NOT(ISERROR(SEARCH(("정규교과"),(I384))))</formula>
    </cfRule>
    <cfRule type="containsText" dxfId="4210" priority="115" operator="containsText" text="프로젝트">
      <formula>NOT(ISERROR(SEARCH(("프로젝트"),(I384))))</formula>
    </cfRule>
    <cfRule type="containsText" dxfId="4209" priority="114" operator="containsText" text="휴강">
      <formula>NOT(ISERROR(SEARCH(("휴강"),(I384))))</formula>
    </cfRule>
    <cfRule type="containsText" dxfId="4208" priority="112" operator="containsText" text="정규교과">
      <formula>NOT(ISERROR(SEARCH(("정규교과"),(I384))))</formula>
    </cfRule>
    <cfRule type="containsText" dxfId="4207" priority="111" operator="containsText" text="프로젝트">
      <formula>NOT(ISERROR(SEARCH(("프로젝트"),(I384))))</formula>
    </cfRule>
    <cfRule type="containsText" dxfId="4206" priority="110" operator="containsText" text="기타">
      <formula>NOT(ISERROR(SEARCH(("기타"),(I384))))</formula>
    </cfRule>
    <cfRule type="containsText" dxfId="4205" priority="109" operator="containsText" text="정규교과">
      <formula>NOT(ISERROR(SEARCH(("정규교과"),(I384))))</formula>
    </cfRule>
    <cfRule type="containsText" dxfId="4204" priority="108" operator="containsText" text="프로젝트">
      <formula>NOT(ISERROR(SEARCH(("프로젝트"),(I384))))</formula>
    </cfRule>
    <cfRule type="containsText" dxfId="4203" priority="107" operator="containsText" text="기타">
      <formula>NOT(ISERROR(SEARCH(("기타"),(I384))))</formula>
    </cfRule>
    <cfRule type="containsText" dxfId="4202" priority="106" operator="containsText" text="정규교과">
      <formula>NOT(ISERROR(SEARCH(("정규교과"),(I384))))</formula>
    </cfRule>
    <cfRule type="containsText" dxfId="4201" priority="105" operator="containsText" text="프로젝트">
      <formula>NOT(ISERROR(SEARCH(("프로젝트"),(I384))))</formula>
    </cfRule>
    <cfRule type="containsText" dxfId="4200" priority="104" operator="containsText" text="기타">
      <formula>NOT(ISERROR(SEARCH(("기타"),(I384))))</formula>
    </cfRule>
    <cfRule type="containsText" dxfId="4199" priority="103" operator="containsText" text="정규교과">
      <formula>NOT(ISERROR(SEARCH(("정규교과"),(I384))))</formula>
    </cfRule>
    <cfRule type="containsText" dxfId="4198" priority="102" operator="containsText" text="프로젝트">
      <formula>NOT(ISERROR(SEARCH(("프로젝트"),(I384))))</formula>
    </cfRule>
  </conditionalFormatting>
  <conditionalFormatting sqref="I40:J40">
    <cfRule type="containsText" dxfId="4197" priority="12142" operator="containsText" text="프로젝트">
      <formula>NOT(ISERROR(SEARCH(("프로젝트"),(I40))))</formula>
    </cfRule>
  </conditionalFormatting>
  <conditionalFormatting sqref="I44:J44">
    <cfRule type="containsText" dxfId="4196" priority="11935" operator="containsText" text="프로젝트">
      <formula>NOT(ISERROR(SEARCH(("프로젝트"),(I44))))</formula>
    </cfRule>
  </conditionalFormatting>
  <conditionalFormatting sqref="I48:J48">
    <cfRule type="containsText" dxfId="4195" priority="11794" operator="containsText" text="프로젝트">
      <formula>NOT(ISERROR(SEARCH(("프로젝트"),(I48))))</formula>
    </cfRule>
  </conditionalFormatting>
  <conditionalFormatting sqref="I53:J53">
    <cfRule type="containsText" dxfId="4194" priority="11653" operator="containsText" text="프로젝트">
      <formula>NOT(ISERROR(SEARCH(("프로젝트"),(I53))))</formula>
    </cfRule>
  </conditionalFormatting>
  <conditionalFormatting sqref="I57:J57">
    <cfRule type="containsText" dxfId="4193" priority="11512" operator="containsText" text="프로젝트">
      <formula>NOT(ISERROR(SEARCH(("프로젝트"),(I57))))</formula>
    </cfRule>
  </conditionalFormatting>
  <conditionalFormatting sqref="I61:J61">
    <cfRule type="containsText" dxfId="4192" priority="11371" operator="containsText" text="프로젝트">
      <formula>NOT(ISERROR(SEARCH(("프로젝트"),(I61))))</formula>
    </cfRule>
  </conditionalFormatting>
  <conditionalFormatting sqref="I65:J65">
    <cfRule type="containsText" dxfId="4191" priority="11230" operator="containsText" text="프로젝트">
      <formula>NOT(ISERROR(SEARCH(("프로젝트"),(I65))))</formula>
    </cfRule>
  </conditionalFormatting>
  <conditionalFormatting sqref="I69:J69">
    <cfRule type="containsText" dxfId="4190" priority="11089" operator="containsText" text="프로젝트">
      <formula>NOT(ISERROR(SEARCH(("프로젝트"),(I69))))</formula>
    </cfRule>
  </conditionalFormatting>
  <conditionalFormatting sqref="I215:J215">
    <cfRule type="containsText" dxfId="4189" priority="4259" operator="containsText" text="정규교과">
      <formula>NOT(ISERROR(SEARCH(("정규교과"),(I215))))</formula>
    </cfRule>
    <cfRule type="containsText" dxfId="4188" priority="4257" operator="containsText" text="기타">
      <formula>NOT(ISERROR(SEARCH(("기타"),(I215))))</formula>
    </cfRule>
    <cfRule type="containsText" dxfId="4187" priority="4255" operator="containsText" text="프로젝트">
      <formula>NOT(ISERROR(SEARCH(("프로젝트"),(I215))))</formula>
    </cfRule>
    <cfRule type="containsText" dxfId="4186" priority="4258" operator="containsText" text="프로젝트">
      <formula>NOT(ISERROR(SEARCH(("프로젝트"),(I215))))</formula>
    </cfRule>
    <cfRule type="containsText" dxfId="4185" priority="4261" operator="containsText" text="프로젝트">
      <formula>NOT(ISERROR(SEARCH(("프로젝트"),(I215))))</formula>
    </cfRule>
    <cfRule type="containsText" dxfId="4184" priority="4262" operator="containsText" text="정규교과">
      <formula>NOT(ISERROR(SEARCH(("정규교과"),(I215))))</formula>
    </cfRule>
    <cfRule type="containsText" dxfId="4183" priority="4256" operator="containsText" text="정규교과">
      <formula>NOT(ISERROR(SEARCH(("정규교과"),(I215))))</formula>
    </cfRule>
    <cfRule type="containsText" dxfId="4182" priority="4263" operator="containsText" text="기타">
      <formula>NOT(ISERROR(SEARCH(("기타"),(I215))))</formula>
    </cfRule>
    <cfRule type="containsText" dxfId="4181" priority="4260" operator="containsText" text="기타">
      <formula>NOT(ISERROR(SEARCH(("기타"),(I215))))</formula>
    </cfRule>
  </conditionalFormatting>
  <conditionalFormatting sqref="I219:J219">
    <cfRule type="containsText" dxfId="4180" priority="4229" operator="containsText" text="정규교과">
      <formula>NOT(ISERROR(SEARCH(("정규교과"),(I219))))</formula>
    </cfRule>
    <cfRule type="containsText" dxfId="4179" priority="4228" operator="containsText" text="프로젝트">
      <formula>NOT(ISERROR(SEARCH(("프로젝트"),(I219))))</formula>
    </cfRule>
    <cfRule type="containsText" dxfId="4178" priority="4225" operator="containsText" text="프로젝트">
      <formula>NOT(ISERROR(SEARCH(("프로젝트"),(I219))))</formula>
    </cfRule>
    <cfRule type="containsText" dxfId="4177" priority="4224" operator="containsText" text="기타">
      <formula>NOT(ISERROR(SEARCH(("기타"),(I219))))</formula>
    </cfRule>
    <cfRule type="containsText" dxfId="4176" priority="4223" operator="containsText" text="정규교과">
      <formula>NOT(ISERROR(SEARCH(("정규교과"),(I219))))</formula>
    </cfRule>
    <cfRule type="containsText" dxfId="4175" priority="4222" operator="containsText" text="프로젝트">
      <formula>NOT(ISERROR(SEARCH(("프로젝트"),(I219))))</formula>
    </cfRule>
    <cfRule type="containsText" dxfId="4174" priority="4226" operator="containsText" text="정규교과">
      <formula>NOT(ISERROR(SEARCH(("정규교과"),(I219))))</formula>
    </cfRule>
    <cfRule type="containsText" dxfId="4173" priority="4227" operator="containsText" text="기타">
      <formula>NOT(ISERROR(SEARCH(("기타"),(I219))))</formula>
    </cfRule>
    <cfRule type="containsText" dxfId="4172" priority="4230" operator="containsText" text="기타">
      <formula>NOT(ISERROR(SEARCH(("기타"),(I219))))</formula>
    </cfRule>
  </conditionalFormatting>
  <conditionalFormatting sqref="I223:J223">
    <cfRule type="containsText" dxfId="4171" priority="4195" operator="containsText" text="프로젝트">
      <formula>NOT(ISERROR(SEARCH(("프로젝트"),(I223))))</formula>
    </cfRule>
    <cfRule type="containsText" dxfId="4170" priority="4190" operator="containsText" text="정규교과">
      <formula>NOT(ISERROR(SEARCH(("정규교과"),(I223))))</formula>
    </cfRule>
    <cfRule type="containsText" dxfId="4169" priority="4197" operator="containsText" text="기타">
      <formula>NOT(ISERROR(SEARCH(("기타"),(I223))))</formula>
    </cfRule>
    <cfRule type="containsText" dxfId="4168" priority="4194" operator="containsText" text="기타">
      <formula>NOT(ISERROR(SEARCH(("기타"),(I223))))</formula>
    </cfRule>
    <cfRule type="containsText" dxfId="4167" priority="4193" operator="containsText" text="정규교과">
      <formula>NOT(ISERROR(SEARCH(("정규교과"),(I223))))</formula>
    </cfRule>
    <cfRule type="containsText" dxfId="4166" priority="4192" operator="containsText" text="프로젝트">
      <formula>NOT(ISERROR(SEARCH(("프로젝트"),(I223))))</formula>
    </cfRule>
    <cfRule type="containsText" dxfId="4165" priority="4191" operator="containsText" text="기타">
      <formula>NOT(ISERROR(SEARCH(("기타"),(I223))))</formula>
    </cfRule>
    <cfRule type="containsText" dxfId="4164" priority="4189" operator="containsText" text="프로젝트">
      <formula>NOT(ISERROR(SEARCH(("프로젝트"),(I223))))</formula>
    </cfRule>
    <cfRule type="containsText" dxfId="4163" priority="4196" operator="containsText" text="정규교과">
      <formula>NOT(ISERROR(SEARCH(("정규교과"),(I223))))</formula>
    </cfRule>
  </conditionalFormatting>
  <conditionalFormatting sqref="I79:L79">
    <cfRule type="containsText" dxfId="4162" priority="9765" operator="containsText" text="프로젝트">
      <formula>NOT(ISERROR(SEARCH(("프로젝트"),(I79))))</formula>
    </cfRule>
  </conditionalFormatting>
  <conditionalFormatting sqref="I83:L83">
    <cfRule type="containsText" dxfId="4161" priority="9661" operator="containsText" text="프로젝트">
      <formula>NOT(ISERROR(SEARCH(("프로젝트"),(I83))))</formula>
    </cfRule>
  </conditionalFormatting>
  <conditionalFormatting sqref="I88:L88">
    <cfRule type="containsText" dxfId="4160" priority="9557" operator="containsText" text="프로젝트">
      <formula>NOT(ISERROR(SEARCH(("프로젝트"),(I88))))</formula>
    </cfRule>
  </conditionalFormatting>
  <conditionalFormatting sqref="I92:L92">
    <cfRule type="containsText" dxfId="4159" priority="9453" operator="containsText" text="프로젝트">
      <formula>NOT(ISERROR(SEARCH(("프로젝트"),(I92))))</formula>
    </cfRule>
  </conditionalFormatting>
  <conditionalFormatting sqref="I75:M75">
    <cfRule type="containsText" dxfId="4158" priority="9869" operator="containsText" text="프로젝트">
      <formula>NOT(ISERROR(SEARCH(("프로젝트"),(I75))))</formula>
    </cfRule>
  </conditionalFormatting>
  <conditionalFormatting sqref="J40">
    <cfRule type="containsText" dxfId="4157" priority="12097" operator="containsText" text="프로젝트">
      <formula>NOT(ISERROR(SEARCH(("프로젝트"),(J40))))</formula>
    </cfRule>
    <cfRule type="containsText" dxfId="4156" priority="12098" operator="containsText" text="정규교과">
      <formula>NOT(ISERROR(SEARCH(("정규교과"),(J40))))</formula>
    </cfRule>
    <cfRule type="containsText" dxfId="4155" priority="12099" operator="containsText" text="기타">
      <formula>NOT(ISERROR(SEARCH(("기타"),(J40))))</formula>
    </cfRule>
    <cfRule type="containsText" dxfId="4154" priority="12101" operator="containsText" text="정규교과">
      <formula>NOT(ISERROR(SEARCH(("정규교과"),(J40))))</formula>
    </cfRule>
    <cfRule type="containsText" dxfId="4153" priority="12102" operator="containsText" text="기타">
      <formula>NOT(ISERROR(SEARCH(("기타"),(J40))))</formula>
    </cfRule>
    <cfRule type="containsText" dxfId="4152" priority="12103" operator="containsText" text="프로젝트">
      <formula>NOT(ISERROR(SEARCH(("프로젝트"),(J40))))</formula>
    </cfRule>
    <cfRule type="containsText" dxfId="4151" priority="12104" operator="containsText" text="정규교과">
      <formula>NOT(ISERROR(SEARCH(("정규교과"),(J40))))</formula>
    </cfRule>
    <cfRule type="containsText" dxfId="4150" priority="12080" operator="containsText" text="정규교과">
      <formula>NOT(ISERROR(SEARCH(("정규교과"),(J40))))</formula>
    </cfRule>
    <cfRule type="containsText" dxfId="4149" priority="12105" operator="containsText" text="기타">
      <formula>NOT(ISERROR(SEARCH(("기타"),(J40))))</formula>
    </cfRule>
    <cfRule type="containsText" dxfId="4148" priority="12106" operator="containsText" text="프로젝트">
      <formula>NOT(ISERROR(SEARCH(("프로젝트"),(J40))))</formula>
    </cfRule>
    <cfRule type="containsText" dxfId="4147" priority="12107" operator="containsText" text="정규교과">
      <formula>NOT(ISERROR(SEARCH(("정규교과"),(J40))))</formula>
    </cfRule>
    <cfRule type="containsText" dxfId="4146" priority="12108" operator="containsText" text="기타">
      <formula>NOT(ISERROR(SEARCH(("기타"),(J40))))</formula>
    </cfRule>
    <cfRule type="containsText" dxfId="4145" priority="12109" operator="containsText" text="프로젝트">
      <formula>NOT(ISERROR(SEARCH(("프로젝트"),(J40))))</formula>
    </cfRule>
    <cfRule type="containsText" dxfId="4144" priority="12110" operator="containsText" text="정규교과">
      <formula>NOT(ISERROR(SEARCH(("정규교과"),(J40))))</formula>
    </cfRule>
    <cfRule type="containsText" dxfId="4143" priority="12144" operator="containsText" text="기타">
      <formula>NOT(ISERROR(SEARCH(("기타"),(J40))))</formula>
    </cfRule>
    <cfRule type="containsText" dxfId="4142" priority="12143" operator="containsText" text="정규교과">
      <formula>NOT(ISERROR(SEARCH(("정규교과"),(J40))))</formula>
    </cfRule>
    <cfRule type="containsText" dxfId="4141" priority="12111" operator="containsText" text="기타">
      <formula>NOT(ISERROR(SEARCH(("기타"),(J40))))</formula>
    </cfRule>
    <cfRule type="containsText" dxfId="4140" priority="12112" operator="containsText" text="프로젝트">
      <formula>NOT(ISERROR(SEARCH(("프로젝트"),(J40))))</formula>
    </cfRule>
    <cfRule type="containsText" dxfId="4139" priority="12113" operator="containsText" text="정규교과">
      <formula>NOT(ISERROR(SEARCH(("정규교과"),(J40))))</formula>
    </cfRule>
    <cfRule type="containsText" dxfId="4138" priority="12114" operator="containsText" text="기타">
      <formula>NOT(ISERROR(SEARCH(("기타"),(J40))))</formula>
    </cfRule>
    <cfRule type="containsText" dxfId="4137" priority="12141" operator="containsText" text="기타">
      <formula>NOT(ISERROR(SEARCH(("기타"),(J40))))</formula>
    </cfRule>
    <cfRule type="containsText" dxfId="4136" priority="12140" operator="containsText" text="정규교과">
      <formula>NOT(ISERROR(SEARCH(("정규교과"),(J40))))</formula>
    </cfRule>
    <cfRule type="containsText" dxfId="4135" priority="12139" operator="containsText" text="프로젝트">
      <formula>NOT(ISERROR(SEARCH(("프로젝트"),(J40))))</formula>
    </cfRule>
    <cfRule type="containsText" dxfId="4134" priority="12138" operator="containsText" text="기타">
      <formula>NOT(ISERROR(SEARCH(("기타"),(J40))))</formula>
    </cfRule>
    <cfRule type="containsText" dxfId="4133" priority="12137" operator="containsText" text="정규교과">
      <formula>NOT(ISERROR(SEARCH(("정규교과"),(J40))))</formula>
    </cfRule>
    <cfRule type="containsText" dxfId="4132" priority="12136" operator="containsText" text="프로젝트">
      <formula>NOT(ISERROR(SEARCH(("프로젝트"),(J40))))</formula>
    </cfRule>
    <cfRule type="containsText" dxfId="4131" priority="12135" operator="containsText" text="기타">
      <formula>NOT(ISERROR(SEARCH(("기타"),(J40))))</formula>
    </cfRule>
    <cfRule type="containsText" dxfId="4130" priority="12134" operator="containsText" text="정규교과">
      <formula>NOT(ISERROR(SEARCH(("정규교과"),(J40))))</formula>
    </cfRule>
    <cfRule type="containsText" dxfId="4129" priority="12133" operator="containsText" text="프로젝트">
      <formula>NOT(ISERROR(SEARCH(("프로젝트"),(J40))))</formula>
    </cfRule>
    <cfRule type="containsText" dxfId="4128" priority="12132" operator="containsText" text="기타">
      <formula>NOT(ISERROR(SEARCH(("기타"),(J40))))</formula>
    </cfRule>
    <cfRule type="containsText" dxfId="4127" priority="12081" operator="containsText" text="기타">
      <formula>NOT(ISERROR(SEARCH(("기타"),(J40))))</formula>
    </cfRule>
    <cfRule type="containsText" dxfId="4126" priority="12082" operator="containsText" text="프로젝트">
      <formula>NOT(ISERROR(SEARCH(("프로젝트"),(J40))))</formula>
    </cfRule>
    <cfRule type="containsText" dxfId="4125" priority="12083" operator="containsText" text="정규교과">
      <formula>NOT(ISERROR(SEARCH(("정규교과"),(J40))))</formula>
    </cfRule>
    <cfRule type="containsText" dxfId="4124" priority="12084" operator="containsText" text="기타">
      <formula>NOT(ISERROR(SEARCH(("기타"),(J40))))</formula>
    </cfRule>
    <cfRule type="containsText" dxfId="4123" priority="12085" operator="containsText" text="프로젝트">
      <formula>NOT(ISERROR(SEARCH(("프로젝트"),(J40))))</formula>
    </cfRule>
    <cfRule type="containsText" dxfId="4122" priority="12086" operator="containsText" text="정규교과">
      <formula>NOT(ISERROR(SEARCH(("정규교과"),(J40))))</formula>
    </cfRule>
    <cfRule type="containsText" dxfId="4121" priority="12087" operator="containsText" text="기타">
      <formula>NOT(ISERROR(SEARCH(("기타"),(J40))))</formula>
    </cfRule>
    <cfRule type="containsText" dxfId="4120" priority="12092" operator="containsText" text="정규교과">
      <formula>NOT(ISERROR(SEARCH(("정규교과"),(J40))))</formula>
    </cfRule>
    <cfRule type="containsText" dxfId="4119" priority="12088" operator="containsText" text="프로젝트">
      <formula>NOT(ISERROR(SEARCH(("프로젝트"),(J40))))</formula>
    </cfRule>
    <cfRule type="containsText" dxfId="4118" priority="12089" operator="containsText" text="정규교과">
      <formula>NOT(ISERROR(SEARCH(("정규교과"),(J40))))</formula>
    </cfRule>
    <cfRule type="containsText" dxfId="4117" priority="12115" operator="containsText" text="프로젝트">
      <formula>NOT(ISERROR(SEARCH(("프로젝트"),(J40))))</formula>
    </cfRule>
    <cfRule type="containsText" dxfId="4116" priority="12116" operator="containsText" text="정규교과">
      <formula>NOT(ISERROR(SEARCH(("정규교과"),(J40))))</formula>
    </cfRule>
    <cfRule type="containsText" dxfId="4115" priority="12117" operator="containsText" text="기타">
      <formula>NOT(ISERROR(SEARCH(("기타"),(J40))))</formula>
    </cfRule>
    <cfRule type="containsText" dxfId="4114" priority="12118" operator="containsText" text="프로젝트">
      <formula>NOT(ISERROR(SEARCH(("프로젝트"),(J40))))</formula>
    </cfRule>
    <cfRule type="containsText" dxfId="4113" priority="12119" operator="containsText" text="정규교과">
      <formula>NOT(ISERROR(SEARCH(("정규교과"),(J40))))</formula>
    </cfRule>
    <cfRule type="containsText" dxfId="4112" priority="12120" operator="containsText" text="기타">
      <formula>NOT(ISERROR(SEARCH(("기타"),(J40))))</formula>
    </cfRule>
    <cfRule type="containsText" dxfId="4111" priority="12121" operator="containsText" text="프로젝트">
      <formula>NOT(ISERROR(SEARCH(("프로젝트"),(J40))))</formula>
    </cfRule>
    <cfRule type="containsText" dxfId="4110" priority="12122" operator="containsText" text="정규교과">
      <formula>NOT(ISERROR(SEARCH(("정규교과"),(J40))))</formula>
    </cfRule>
    <cfRule type="containsText" dxfId="4109" priority="12123" operator="containsText" text="기타">
      <formula>NOT(ISERROR(SEARCH(("기타"),(J40))))</formula>
    </cfRule>
    <cfRule type="containsText" dxfId="4108" priority="12124" operator="containsText" text="프로젝트">
      <formula>NOT(ISERROR(SEARCH(("프로젝트"),(J40))))</formula>
    </cfRule>
    <cfRule type="containsText" dxfId="4107" priority="12125" operator="containsText" text="정규교과">
      <formula>NOT(ISERROR(SEARCH(("정규교과"),(J40))))</formula>
    </cfRule>
    <cfRule type="containsText" dxfId="4106" priority="12126" operator="containsText" text="기타">
      <formula>NOT(ISERROR(SEARCH(("기타"),(J40))))</formula>
    </cfRule>
    <cfRule type="containsText" dxfId="4105" priority="12127" operator="containsText" text="프로젝트">
      <formula>NOT(ISERROR(SEARCH(("프로젝트"),(J40))))</formula>
    </cfRule>
    <cfRule type="containsText" dxfId="4104" priority="12128" operator="containsText" text="정규교과">
      <formula>NOT(ISERROR(SEARCH(("정규교과"),(J40))))</formula>
    </cfRule>
    <cfRule type="containsText" dxfId="4103" priority="12129" operator="containsText" text="기타">
      <formula>NOT(ISERROR(SEARCH(("기타"),(J40))))</formula>
    </cfRule>
    <cfRule type="containsText" dxfId="4102" priority="12130" operator="containsText" text="프로젝트">
      <formula>NOT(ISERROR(SEARCH(("프로젝트"),(J40))))</formula>
    </cfRule>
    <cfRule type="containsText" dxfId="4101" priority="12131" operator="containsText" text="정규교과">
      <formula>NOT(ISERROR(SEARCH(("정규교과"),(J40))))</formula>
    </cfRule>
    <cfRule type="containsText" dxfId="4100" priority="12090" operator="containsText" text="기타">
      <formula>NOT(ISERROR(SEARCH(("기타"),(J40))))</formula>
    </cfRule>
    <cfRule type="containsText" dxfId="4099" priority="12091" operator="containsText" text="프로젝트">
      <formula>NOT(ISERROR(SEARCH(("프로젝트"),(J40))))</formula>
    </cfRule>
    <cfRule type="containsText" dxfId="4098" priority="12093" operator="containsText" text="기타">
      <formula>NOT(ISERROR(SEARCH(("기타"),(J40))))</formula>
    </cfRule>
    <cfRule type="containsText" dxfId="4097" priority="12094" operator="containsText" text="프로젝트">
      <formula>NOT(ISERROR(SEARCH(("프로젝트"),(J40))))</formula>
    </cfRule>
    <cfRule type="containsText" dxfId="4096" priority="12095" operator="containsText" text="정규교과">
      <formula>NOT(ISERROR(SEARCH(("정규교과"),(J40))))</formula>
    </cfRule>
    <cfRule type="containsText" dxfId="4095" priority="12096" operator="containsText" text="기타">
      <formula>NOT(ISERROR(SEARCH(("기타"),(J40))))</formula>
    </cfRule>
    <cfRule type="containsText" dxfId="4094" priority="12100" operator="containsText" text="프로젝트">
      <formula>NOT(ISERROR(SEARCH(("프로젝트"),(J40))))</formula>
    </cfRule>
  </conditionalFormatting>
  <conditionalFormatting sqref="J44">
    <cfRule type="containsText" dxfId="4093" priority="11920" operator="containsText" text="프로젝트">
      <formula>NOT(ISERROR(SEARCH(("프로젝트"),(J44))))</formula>
    </cfRule>
    <cfRule type="containsText" dxfId="4092" priority="11921" operator="containsText" text="정규교과">
      <formula>NOT(ISERROR(SEARCH(("정규교과"),(J44))))</formula>
    </cfRule>
    <cfRule type="containsText" dxfId="4091" priority="11922" operator="containsText" text="기타">
      <formula>NOT(ISERROR(SEARCH(("기타"),(J44))))</formula>
    </cfRule>
    <cfRule type="containsText" dxfId="4090" priority="11923" operator="containsText" text="프로젝트">
      <formula>NOT(ISERROR(SEARCH(("프로젝트"),(J44))))</formula>
    </cfRule>
    <cfRule type="containsText" dxfId="4089" priority="11924" operator="containsText" text="정규교과">
      <formula>NOT(ISERROR(SEARCH(("정규교과"),(J44))))</formula>
    </cfRule>
    <cfRule type="containsText" dxfId="4088" priority="11925" operator="containsText" text="기타">
      <formula>NOT(ISERROR(SEARCH(("기타"),(J44))))</formula>
    </cfRule>
    <cfRule type="containsText" dxfId="4087" priority="11913" operator="containsText" text="기타">
      <formula>NOT(ISERROR(SEARCH(("기타"),(J44))))</formula>
    </cfRule>
    <cfRule type="containsText" dxfId="4086" priority="11912" operator="containsText" text="정규교과">
      <formula>NOT(ISERROR(SEARCH(("정규교과"),(J44))))</formula>
    </cfRule>
    <cfRule type="containsText" dxfId="4085" priority="11911" operator="containsText" text="프로젝트">
      <formula>NOT(ISERROR(SEARCH(("프로젝트"),(J44))))</formula>
    </cfRule>
    <cfRule type="containsText" dxfId="4084" priority="11910" operator="containsText" text="기타">
      <formula>NOT(ISERROR(SEARCH(("기타"),(J44))))</formula>
    </cfRule>
    <cfRule type="containsText" dxfId="4083" priority="11909" operator="containsText" text="정규교과">
      <formula>NOT(ISERROR(SEARCH(("정규교과"),(J44))))</formula>
    </cfRule>
    <cfRule type="containsText" dxfId="4082" priority="11908" operator="containsText" text="프로젝트">
      <formula>NOT(ISERROR(SEARCH(("프로젝트"),(J44))))</formula>
    </cfRule>
    <cfRule type="containsText" dxfId="4081" priority="11907" operator="containsText" text="기타">
      <formula>NOT(ISERROR(SEARCH(("기타"),(J44))))</formula>
    </cfRule>
    <cfRule type="containsText" dxfId="4080" priority="11906" operator="containsText" text="정규교과">
      <formula>NOT(ISERROR(SEARCH(("정규교과"),(J44))))</formula>
    </cfRule>
    <cfRule type="containsText" dxfId="4079" priority="11926" operator="containsText" text="프로젝트">
      <formula>NOT(ISERROR(SEARCH(("프로젝트"),(J44))))</formula>
    </cfRule>
    <cfRule type="containsText" dxfId="4078" priority="11927" operator="containsText" text="정규교과">
      <formula>NOT(ISERROR(SEARCH(("정규교과"),(J44))))</formula>
    </cfRule>
    <cfRule type="containsText" dxfId="4077" priority="11898" operator="containsText" text="기타">
      <formula>NOT(ISERROR(SEARCH(("기타"),(J44))))</formula>
    </cfRule>
    <cfRule type="containsText" dxfId="4076" priority="11928" operator="containsText" text="기타">
      <formula>NOT(ISERROR(SEARCH(("기타"),(J44))))</formula>
    </cfRule>
    <cfRule type="containsText" dxfId="4075" priority="11929" operator="containsText" text="프로젝트">
      <formula>NOT(ISERROR(SEARCH(("프로젝트"),(J44))))</formula>
    </cfRule>
    <cfRule type="containsText" dxfId="4074" priority="11930" operator="containsText" text="정규교과">
      <formula>NOT(ISERROR(SEARCH(("정규교과"),(J44))))</formula>
    </cfRule>
    <cfRule type="containsText" dxfId="4073" priority="11931" operator="containsText" text="기타">
      <formula>NOT(ISERROR(SEARCH(("기타"),(J44))))</formula>
    </cfRule>
    <cfRule type="containsText" dxfId="4072" priority="11932" operator="containsText" text="프로젝트">
      <formula>NOT(ISERROR(SEARCH(("프로젝트"),(J44))))</formula>
    </cfRule>
    <cfRule type="containsText" dxfId="4071" priority="11933" operator="containsText" text="정규교과">
      <formula>NOT(ISERROR(SEARCH(("정규교과"),(J44))))</formula>
    </cfRule>
    <cfRule type="containsText" dxfId="4070" priority="11934" operator="containsText" text="기타">
      <formula>NOT(ISERROR(SEARCH(("기타"),(J44))))</formula>
    </cfRule>
    <cfRule type="containsText" dxfId="4069" priority="11876" operator="containsText" text="정규교과">
      <formula>NOT(ISERROR(SEARCH(("정규교과"),(J44))))</formula>
    </cfRule>
    <cfRule type="containsText" dxfId="4068" priority="11937" operator="containsText" text="기타">
      <formula>NOT(ISERROR(SEARCH(("기타"),(J44))))</formula>
    </cfRule>
    <cfRule type="containsText" dxfId="4067" priority="11905" operator="containsText" text="프로젝트">
      <formula>NOT(ISERROR(SEARCH(("프로젝트"),(J44))))</formula>
    </cfRule>
    <cfRule type="containsText" dxfId="4066" priority="11904" operator="containsText" text="기타">
      <formula>NOT(ISERROR(SEARCH(("기타"),(J44))))</formula>
    </cfRule>
    <cfRule type="containsText" dxfId="4065" priority="11903" operator="containsText" text="정규교과">
      <formula>NOT(ISERROR(SEARCH(("정규교과"),(J44))))</formula>
    </cfRule>
    <cfRule type="containsText" dxfId="4064" priority="11902" operator="containsText" text="프로젝트">
      <formula>NOT(ISERROR(SEARCH(("프로젝트"),(J44))))</formula>
    </cfRule>
    <cfRule type="containsText" dxfId="4063" priority="11901" operator="containsText" text="기타">
      <formula>NOT(ISERROR(SEARCH(("기타"),(J44))))</formula>
    </cfRule>
    <cfRule type="containsText" dxfId="4062" priority="11900" operator="containsText" text="정규교과">
      <formula>NOT(ISERROR(SEARCH(("정규교과"),(J44))))</formula>
    </cfRule>
    <cfRule type="containsText" dxfId="4061" priority="11899" operator="containsText" text="프로젝트">
      <formula>NOT(ISERROR(SEARCH(("프로젝트"),(J44))))</formula>
    </cfRule>
    <cfRule type="containsText" dxfId="4060" priority="11888" operator="containsText" text="정규교과">
      <formula>NOT(ISERROR(SEARCH(("정규교과"),(J44))))</formula>
    </cfRule>
    <cfRule type="containsText" dxfId="4059" priority="11885" operator="containsText" text="정규교과">
      <formula>NOT(ISERROR(SEARCH(("정규교과"),(J44))))</formula>
    </cfRule>
    <cfRule type="containsText" dxfId="4058" priority="11889" operator="containsText" text="기타">
      <formula>NOT(ISERROR(SEARCH(("기타"),(J44))))</formula>
    </cfRule>
    <cfRule type="containsText" dxfId="4057" priority="11890" operator="containsText" text="프로젝트">
      <formula>NOT(ISERROR(SEARCH(("프로젝트"),(J44))))</formula>
    </cfRule>
    <cfRule type="containsText" dxfId="4056" priority="11891" operator="containsText" text="정규교과">
      <formula>NOT(ISERROR(SEARCH(("정규교과"),(J44))))</formula>
    </cfRule>
    <cfRule type="containsText" dxfId="4055" priority="11892" operator="containsText" text="기타">
      <formula>NOT(ISERROR(SEARCH(("기타"),(J44))))</formula>
    </cfRule>
    <cfRule type="containsText" dxfId="4054" priority="11893" operator="containsText" text="프로젝트">
      <formula>NOT(ISERROR(SEARCH(("프로젝트"),(J44))))</formula>
    </cfRule>
    <cfRule type="containsText" dxfId="4053" priority="11894" operator="containsText" text="정규교과">
      <formula>NOT(ISERROR(SEARCH(("정규교과"),(J44))))</formula>
    </cfRule>
    <cfRule type="containsText" dxfId="4052" priority="11895" operator="containsText" text="기타">
      <formula>NOT(ISERROR(SEARCH(("기타"),(J44))))</formula>
    </cfRule>
    <cfRule type="containsText" dxfId="4051" priority="11896" operator="containsText" text="프로젝트">
      <formula>NOT(ISERROR(SEARCH(("프로젝트"),(J44))))</formula>
    </cfRule>
    <cfRule type="containsText" dxfId="4050" priority="11884" operator="containsText" text="프로젝트">
      <formula>NOT(ISERROR(SEARCH(("프로젝트"),(J44))))</formula>
    </cfRule>
    <cfRule type="containsText" dxfId="4049" priority="11897" operator="containsText" text="정규교과">
      <formula>NOT(ISERROR(SEARCH(("정규교과"),(J44))))</formula>
    </cfRule>
    <cfRule type="containsText" dxfId="4048" priority="11887" operator="containsText" text="프로젝트">
      <formula>NOT(ISERROR(SEARCH(("프로젝트"),(J44))))</formula>
    </cfRule>
    <cfRule type="containsText" dxfId="4047" priority="11886" operator="containsText" text="기타">
      <formula>NOT(ISERROR(SEARCH(("기타"),(J44))))</formula>
    </cfRule>
    <cfRule type="containsText" dxfId="4046" priority="11916" operator="containsText" text="기타">
      <formula>NOT(ISERROR(SEARCH(("기타"),(J44))))</formula>
    </cfRule>
    <cfRule type="containsText" dxfId="4045" priority="11915" operator="containsText" text="정규교과">
      <formula>NOT(ISERROR(SEARCH(("정규교과"),(J44))))</formula>
    </cfRule>
    <cfRule type="containsText" dxfId="4044" priority="11914" operator="containsText" text="프로젝트">
      <formula>NOT(ISERROR(SEARCH(("프로젝트"),(J44))))</formula>
    </cfRule>
    <cfRule type="containsText" dxfId="4043" priority="11883" operator="containsText" text="기타">
      <formula>NOT(ISERROR(SEARCH(("기타"),(J44))))</formula>
    </cfRule>
    <cfRule type="containsText" dxfId="4042" priority="11882" operator="containsText" text="정규교과">
      <formula>NOT(ISERROR(SEARCH(("정규교과"),(J44))))</formula>
    </cfRule>
    <cfRule type="containsText" dxfId="4041" priority="11881" operator="containsText" text="프로젝트">
      <formula>NOT(ISERROR(SEARCH(("프로젝트"),(J44))))</formula>
    </cfRule>
    <cfRule type="containsText" dxfId="4040" priority="11880" operator="containsText" text="기타">
      <formula>NOT(ISERROR(SEARCH(("기타"),(J44))))</formula>
    </cfRule>
    <cfRule type="containsText" dxfId="4039" priority="11879" operator="containsText" text="정규교과">
      <formula>NOT(ISERROR(SEARCH(("정규교과"),(J44))))</formula>
    </cfRule>
    <cfRule type="containsText" dxfId="4038" priority="11917" operator="containsText" text="프로젝트">
      <formula>NOT(ISERROR(SEARCH(("프로젝트"),(J44))))</formula>
    </cfRule>
    <cfRule type="containsText" dxfId="4037" priority="11878" operator="containsText" text="프로젝트">
      <formula>NOT(ISERROR(SEARCH(("프로젝트"),(J44))))</formula>
    </cfRule>
    <cfRule type="containsText" dxfId="4036" priority="11877" operator="containsText" text="기타">
      <formula>NOT(ISERROR(SEARCH(("기타"),(J44))))</formula>
    </cfRule>
    <cfRule type="containsText" dxfId="4035" priority="11873" operator="containsText" text="정규교과">
      <formula>NOT(ISERROR(SEARCH(("정규교과"),(J44))))</formula>
    </cfRule>
    <cfRule type="containsText" dxfId="4034" priority="11936" operator="containsText" text="정규교과">
      <formula>NOT(ISERROR(SEARCH(("정규교과"),(J44))))</formula>
    </cfRule>
    <cfRule type="containsText" dxfId="4033" priority="11918" operator="containsText" text="정규교과">
      <formula>NOT(ISERROR(SEARCH(("정규교과"),(J44))))</formula>
    </cfRule>
    <cfRule type="containsText" dxfId="4032" priority="11874" operator="containsText" text="기타">
      <formula>NOT(ISERROR(SEARCH(("기타"),(J44))))</formula>
    </cfRule>
    <cfRule type="containsText" dxfId="4031" priority="11875" operator="containsText" text="프로젝트">
      <formula>NOT(ISERROR(SEARCH(("프로젝트"),(J44))))</formula>
    </cfRule>
    <cfRule type="containsText" dxfId="4030" priority="11919" operator="containsText" text="기타">
      <formula>NOT(ISERROR(SEARCH(("기타"),(J44))))</formula>
    </cfRule>
  </conditionalFormatting>
  <conditionalFormatting sqref="J48">
    <cfRule type="containsText" dxfId="4029" priority="11745" operator="containsText" text="기타">
      <formula>NOT(ISERROR(SEARCH(("기타"),(J48))))</formula>
    </cfRule>
    <cfRule type="containsText" dxfId="4028" priority="11746" operator="containsText" text="프로젝트">
      <formula>NOT(ISERROR(SEARCH(("프로젝트"),(J48))))</formula>
    </cfRule>
    <cfRule type="containsText" dxfId="4027" priority="11747" operator="containsText" text="정규교과">
      <formula>NOT(ISERROR(SEARCH(("정규교과"),(J48))))</formula>
    </cfRule>
    <cfRule type="containsText" dxfId="4026" priority="11748" operator="containsText" text="기타">
      <formula>NOT(ISERROR(SEARCH(("기타"),(J48))))</formula>
    </cfRule>
    <cfRule type="containsText" dxfId="4025" priority="11749" operator="containsText" text="프로젝트">
      <formula>NOT(ISERROR(SEARCH(("프로젝트"),(J48))))</formula>
    </cfRule>
    <cfRule type="containsText" dxfId="4024" priority="11750" operator="containsText" text="정규교과">
      <formula>NOT(ISERROR(SEARCH(("정규교과"),(J48))))</formula>
    </cfRule>
    <cfRule type="containsText" dxfId="4023" priority="11751" operator="containsText" text="기타">
      <formula>NOT(ISERROR(SEARCH(("기타"),(J48))))</formula>
    </cfRule>
    <cfRule type="containsText" dxfId="4022" priority="11752" operator="containsText" text="프로젝트">
      <formula>NOT(ISERROR(SEARCH(("프로젝트"),(J48))))</formula>
    </cfRule>
    <cfRule type="containsText" dxfId="4021" priority="11753" operator="containsText" text="정규교과">
      <formula>NOT(ISERROR(SEARCH(("정규교과"),(J48))))</formula>
    </cfRule>
    <cfRule type="containsText" dxfId="4020" priority="11754" operator="containsText" text="기타">
      <formula>NOT(ISERROR(SEARCH(("기타"),(J48))))</formula>
    </cfRule>
    <cfRule type="containsText" dxfId="4019" priority="11755" operator="containsText" text="프로젝트">
      <formula>NOT(ISERROR(SEARCH(("프로젝트"),(J48))))</formula>
    </cfRule>
    <cfRule type="containsText" dxfId="4018" priority="11756" operator="containsText" text="정규교과">
      <formula>NOT(ISERROR(SEARCH(("정규교과"),(J48))))</formula>
    </cfRule>
    <cfRule type="containsText" dxfId="4017" priority="11757" operator="containsText" text="기타">
      <formula>NOT(ISERROR(SEARCH(("기타"),(J48))))</formula>
    </cfRule>
    <cfRule type="containsText" dxfId="4016" priority="11758" operator="containsText" text="프로젝트">
      <formula>NOT(ISERROR(SEARCH(("프로젝트"),(J48))))</formula>
    </cfRule>
    <cfRule type="containsText" dxfId="4015" priority="11759" operator="containsText" text="정규교과">
      <formula>NOT(ISERROR(SEARCH(("정규교과"),(J48))))</formula>
    </cfRule>
    <cfRule type="containsText" dxfId="4014" priority="11760" operator="containsText" text="기타">
      <formula>NOT(ISERROR(SEARCH(("기타"),(J48))))</formula>
    </cfRule>
    <cfRule type="containsText" dxfId="4013" priority="11761" operator="containsText" text="프로젝트">
      <formula>NOT(ISERROR(SEARCH(("프로젝트"),(J48))))</formula>
    </cfRule>
    <cfRule type="containsText" dxfId="4012" priority="11762" operator="containsText" text="정규교과">
      <formula>NOT(ISERROR(SEARCH(("정규교과"),(J48))))</formula>
    </cfRule>
    <cfRule type="containsText" dxfId="4011" priority="11763" operator="containsText" text="기타">
      <formula>NOT(ISERROR(SEARCH(("기타"),(J48))))</formula>
    </cfRule>
    <cfRule type="containsText" dxfId="4010" priority="11764" operator="containsText" text="프로젝트">
      <formula>NOT(ISERROR(SEARCH(("프로젝트"),(J48))))</formula>
    </cfRule>
    <cfRule type="containsText" dxfId="4009" priority="11765" operator="containsText" text="정규교과">
      <formula>NOT(ISERROR(SEARCH(("정규교과"),(J48))))</formula>
    </cfRule>
    <cfRule type="containsText" dxfId="4008" priority="11766" operator="containsText" text="기타">
      <formula>NOT(ISERROR(SEARCH(("기타"),(J48))))</formula>
    </cfRule>
    <cfRule type="containsText" dxfId="4007" priority="11767" operator="containsText" text="프로젝트">
      <formula>NOT(ISERROR(SEARCH(("프로젝트"),(J48))))</formula>
    </cfRule>
    <cfRule type="containsText" dxfId="4006" priority="11768" operator="containsText" text="정규교과">
      <formula>NOT(ISERROR(SEARCH(("정규교과"),(J48))))</formula>
    </cfRule>
    <cfRule type="containsText" dxfId="4005" priority="11769" operator="containsText" text="기타">
      <formula>NOT(ISERROR(SEARCH(("기타"),(J48))))</formula>
    </cfRule>
    <cfRule type="containsText" dxfId="4004" priority="11770" operator="containsText" text="프로젝트">
      <formula>NOT(ISERROR(SEARCH(("프로젝트"),(J48))))</formula>
    </cfRule>
    <cfRule type="containsText" dxfId="4003" priority="11771" operator="containsText" text="정규교과">
      <formula>NOT(ISERROR(SEARCH(("정규교과"),(J48))))</formula>
    </cfRule>
    <cfRule type="containsText" dxfId="4002" priority="11772" operator="containsText" text="기타">
      <formula>NOT(ISERROR(SEARCH(("기타"),(J48))))</formula>
    </cfRule>
    <cfRule type="containsText" dxfId="4001" priority="11773" operator="containsText" text="프로젝트">
      <formula>NOT(ISERROR(SEARCH(("프로젝트"),(J48))))</formula>
    </cfRule>
    <cfRule type="containsText" dxfId="4000" priority="11774" operator="containsText" text="정규교과">
      <formula>NOT(ISERROR(SEARCH(("정규교과"),(J48))))</formula>
    </cfRule>
    <cfRule type="containsText" dxfId="3999" priority="11775" operator="containsText" text="기타">
      <formula>NOT(ISERROR(SEARCH(("기타"),(J48))))</formula>
    </cfRule>
    <cfRule type="containsText" dxfId="3998" priority="11776" operator="containsText" text="프로젝트">
      <formula>NOT(ISERROR(SEARCH(("프로젝트"),(J48))))</formula>
    </cfRule>
    <cfRule type="containsText" dxfId="3997" priority="11777" operator="containsText" text="정규교과">
      <formula>NOT(ISERROR(SEARCH(("정규교과"),(J48))))</formula>
    </cfRule>
    <cfRule type="containsText" dxfId="3996" priority="11778" operator="containsText" text="기타">
      <formula>NOT(ISERROR(SEARCH(("기타"),(J48))))</formula>
    </cfRule>
    <cfRule type="containsText" dxfId="3995" priority="11779" operator="containsText" text="프로젝트">
      <formula>NOT(ISERROR(SEARCH(("프로젝트"),(J48))))</formula>
    </cfRule>
    <cfRule type="containsText" dxfId="3994" priority="11780" operator="containsText" text="정규교과">
      <formula>NOT(ISERROR(SEARCH(("정규교과"),(J48))))</formula>
    </cfRule>
    <cfRule type="containsText" dxfId="3993" priority="11781" operator="containsText" text="기타">
      <formula>NOT(ISERROR(SEARCH(("기타"),(J48))))</formula>
    </cfRule>
    <cfRule type="containsText" dxfId="3992" priority="11782" operator="containsText" text="프로젝트">
      <formula>NOT(ISERROR(SEARCH(("프로젝트"),(J48))))</formula>
    </cfRule>
    <cfRule type="containsText" dxfId="3991" priority="11783" operator="containsText" text="정규교과">
      <formula>NOT(ISERROR(SEARCH(("정규교과"),(J48))))</formula>
    </cfRule>
    <cfRule type="containsText" dxfId="3990" priority="11784" operator="containsText" text="기타">
      <formula>NOT(ISERROR(SEARCH(("기타"),(J48))))</formula>
    </cfRule>
    <cfRule type="containsText" dxfId="3989" priority="11785" operator="containsText" text="프로젝트">
      <formula>NOT(ISERROR(SEARCH(("프로젝트"),(J48))))</formula>
    </cfRule>
    <cfRule type="containsText" dxfId="3988" priority="11786" operator="containsText" text="정규교과">
      <formula>NOT(ISERROR(SEARCH(("정규교과"),(J48))))</formula>
    </cfRule>
    <cfRule type="containsText" dxfId="3987" priority="11787" operator="containsText" text="기타">
      <formula>NOT(ISERROR(SEARCH(("기타"),(J48))))</formula>
    </cfRule>
    <cfRule type="containsText" dxfId="3986" priority="11788" operator="containsText" text="프로젝트">
      <formula>NOT(ISERROR(SEARCH(("프로젝트"),(J48))))</formula>
    </cfRule>
    <cfRule type="containsText" dxfId="3985" priority="11789" operator="containsText" text="정규교과">
      <formula>NOT(ISERROR(SEARCH(("정규교과"),(J48))))</formula>
    </cfRule>
    <cfRule type="containsText" dxfId="3984" priority="11790" operator="containsText" text="기타">
      <formula>NOT(ISERROR(SEARCH(("기타"),(J48))))</formula>
    </cfRule>
    <cfRule type="containsText" dxfId="3983" priority="11791" operator="containsText" text="프로젝트">
      <formula>NOT(ISERROR(SEARCH(("프로젝트"),(J48))))</formula>
    </cfRule>
    <cfRule type="containsText" dxfId="3982" priority="11792" operator="containsText" text="정규교과">
      <formula>NOT(ISERROR(SEARCH(("정규교과"),(J48))))</formula>
    </cfRule>
    <cfRule type="containsText" dxfId="3981" priority="11793" operator="containsText" text="기타">
      <formula>NOT(ISERROR(SEARCH(("기타"),(J48))))</formula>
    </cfRule>
    <cfRule type="containsText" dxfId="3980" priority="11796" operator="containsText" text="기타">
      <formula>NOT(ISERROR(SEARCH(("기타"),(J48))))</formula>
    </cfRule>
    <cfRule type="containsText" dxfId="3979" priority="11795" operator="containsText" text="정규교과">
      <formula>NOT(ISERROR(SEARCH(("정규교과"),(J48))))</formula>
    </cfRule>
    <cfRule type="containsText" dxfId="3978" priority="11732" operator="containsText" text="정규교과">
      <formula>NOT(ISERROR(SEARCH(("정규교과"),(J48))))</formula>
    </cfRule>
    <cfRule type="containsText" dxfId="3977" priority="11733" operator="containsText" text="기타">
      <formula>NOT(ISERROR(SEARCH(("기타"),(J48))))</formula>
    </cfRule>
    <cfRule type="containsText" dxfId="3976" priority="11734" operator="containsText" text="프로젝트">
      <formula>NOT(ISERROR(SEARCH(("프로젝트"),(J48))))</formula>
    </cfRule>
    <cfRule type="containsText" dxfId="3975" priority="11735" operator="containsText" text="정규교과">
      <formula>NOT(ISERROR(SEARCH(("정규교과"),(J48))))</formula>
    </cfRule>
    <cfRule type="containsText" dxfId="3974" priority="11736" operator="containsText" text="기타">
      <formula>NOT(ISERROR(SEARCH(("기타"),(J48))))</formula>
    </cfRule>
    <cfRule type="containsText" dxfId="3973" priority="11737" operator="containsText" text="프로젝트">
      <formula>NOT(ISERROR(SEARCH(("프로젝트"),(J48))))</formula>
    </cfRule>
    <cfRule type="containsText" dxfId="3972" priority="11738" operator="containsText" text="정규교과">
      <formula>NOT(ISERROR(SEARCH(("정규교과"),(J48))))</formula>
    </cfRule>
    <cfRule type="containsText" dxfId="3971" priority="11739" operator="containsText" text="기타">
      <formula>NOT(ISERROR(SEARCH(("기타"),(J48))))</formula>
    </cfRule>
    <cfRule type="containsText" dxfId="3970" priority="11740" operator="containsText" text="프로젝트">
      <formula>NOT(ISERROR(SEARCH(("프로젝트"),(J48))))</formula>
    </cfRule>
    <cfRule type="containsText" dxfId="3969" priority="11741" operator="containsText" text="정규교과">
      <formula>NOT(ISERROR(SEARCH(("정규교과"),(J48))))</formula>
    </cfRule>
    <cfRule type="containsText" dxfId="3968" priority="11742" operator="containsText" text="기타">
      <formula>NOT(ISERROR(SEARCH(("기타"),(J48))))</formula>
    </cfRule>
    <cfRule type="containsText" dxfId="3967" priority="11743" operator="containsText" text="프로젝트">
      <formula>NOT(ISERROR(SEARCH(("프로젝트"),(J48))))</formula>
    </cfRule>
    <cfRule type="containsText" dxfId="3966" priority="11744" operator="containsText" text="정규교과">
      <formula>NOT(ISERROR(SEARCH(("정규교과"),(J48))))</formula>
    </cfRule>
  </conditionalFormatting>
  <conditionalFormatting sqref="J53">
    <cfRule type="containsText" dxfId="3965" priority="11598" operator="containsText" text="기타">
      <formula>NOT(ISERROR(SEARCH(("기타"),(J53))))</formula>
    </cfRule>
    <cfRule type="containsText" dxfId="3964" priority="11651" operator="containsText" text="정규교과">
      <formula>NOT(ISERROR(SEARCH(("정규교과"),(J53))))</formula>
    </cfRule>
    <cfRule type="containsText" dxfId="3963" priority="11599" operator="containsText" text="프로젝트">
      <formula>NOT(ISERROR(SEARCH(("프로젝트"),(J53))))</formula>
    </cfRule>
    <cfRule type="containsText" dxfId="3962" priority="11600" operator="containsText" text="정규교과">
      <formula>NOT(ISERROR(SEARCH(("정규교과"),(J53))))</formula>
    </cfRule>
    <cfRule type="containsText" dxfId="3961" priority="11601" operator="containsText" text="기타">
      <formula>NOT(ISERROR(SEARCH(("기타"),(J53))))</formula>
    </cfRule>
    <cfRule type="containsText" dxfId="3960" priority="11602" operator="containsText" text="프로젝트">
      <formula>NOT(ISERROR(SEARCH(("프로젝트"),(J53))))</formula>
    </cfRule>
    <cfRule type="containsText" dxfId="3959" priority="11603" operator="containsText" text="정규교과">
      <formula>NOT(ISERROR(SEARCH(("정규교과"),(J53))))</formula>
    </cfRule>
    <cfRule type="containsText" dxfId="3958" priority="11604" operator="containsText" text="기타">
      <formula>NOT(ISERROR(SEARCH(("기타"),(J53))))</formula>
    </cfRule>
    <cfRule type="containsText" dxfId="3957" priority="11605" operator="containsText" text="프로젝트">
      <formula>NOT(ISERROR(SEARCH(("프로젝트"),(J53))))</formula>
    </cfRule>
    <cfRule type="containsText" dxfId="3956" priority="11606" operator="containsText" text="정규교과">
      <formula>NOT(ISERROR(SEARCH(("정규교과"),(J53))))</formula>
    </cfRule>
    <cfRule type="containsText" dxfId="3955" priority="11607" operator="containsText" text="기타">
      <formula>NOT(ISERROR(SEARCH(("기타"),(J53))))</formula>
    </cfRule>
    <cfRule type="containsText" dxfId="3954" priority="11608" operator="containsText" text="프로젝트">
      <formula>NOT(ISERROR(SEARCH(("프로젝트"),(J53))))</formula>
    </cfRule>
    <cfRule type="containsText" dxfId="3953" priority="11609" operator="containsText" text="정규교과">
      <formula>NOT(ISERROR(SEARCH(("정규교과"),(J53))))</formula>
    </cfRule>
    <cfRule type="containsText" dxfId="3952" priority="11610" operator="containsText" text="기타">
      <formula>NOT(ISERROR(SEARCH(("기타"),(J53))))</formula>
    </cfRule>
    <cfRule type="containsText" dxfId="3951" priority="11611" operator="containsText" text="프로젝트">
      <formula>NOT(ISERROR(SEARCH(("프로젝트"),(J53))))</formula>
    </cfRule>
    <cfRule type="containsText" dxfId="3950" priority="11652" operator="containsText" text="기타">
      <formula>NOT(ISERROR(SEARCH(("기타"),(J53))))</formula>
    </cfRule>
    <cfRule type="containsText" dxfId="3949" priority="11612" operator="containsText" text="정규교과">
      <formula>NOT(ISERROR(SEARCH(("정규교과"),(J53))))</formula>
    </cfRule>
    <cfRule type="containsText" dxfId="3948" priority="11613" operator="containsText" text="기타">
      <formula>NOT(ISERROR(SEARCH(("기타"),(J53))))</formula>
    </cfRule>
    <cfRule type="containsText" dxfId="3947" priority="11614" operator="containsText" text="프로젝트">
      <formula>NOT(ISERROR(SEARCH(("프로젝트"),(J53))))</formula>
    </cfRule>
    <cfRule type="containsText" dxfId="3946" priority="11615" operator="containsText" text="정규교과">
      <formula>NOT(ISERROR(SEARCH(("정규교과"),(J53))))</formula>
    </cfRule>
    <cfRule type="containsText" dxfId="3945" priority="11616" operator="containsText" text="기타">
      <formula>NOT(ISERROR(SEARCH(("기타"),(J53))))</formula>
    </cfRule>
    <cfRule type="containsText" dxfId="3944" priority="11617" operator="containsText" text="프로젝트">
      <formula>NOT(ISERROR(SEARCH(("프로젝트"),(J53))))</formula>
    </cfRule>
    <cfRule type="containsText" dxfId="3943" priority="11618" operator="containsText" text="정규교과">
      <formula>NOT(ISERROR(SEARCH(("정규교과"),(J53))))</formula>
    </cfRule>
    <cfRule type="containsText" dxfId="3942" priority="11619" operator="containsText" text="기타">
      <formula>NOT(ISERROR(SEARCH(("기타"),(J53))))</formula>
    </cfRule>
    <cfRule type="containsText" dxfId="3941" priority="11620" operator="containsText" text="프로젝트">
      <formula>NOT(ISERROR(SEARCH(("프로젝트"),(J53))))</formula>
    </cfRule>
    <cfRule type="containsText" dxfId="3940" priority="11621" operator="containsText" text="정규교과">
      <formula>NOT(ISERROR(SEARCH(("정규교과"),(J53))))</formula>
    </cfRule>
    <cfRule type="containsText" dxfId="3939" priority="11622" operator="containsText" text="기타">
      <formula>NOT(ISERROR(SEARCH(("기타"),(J53))))</formula>
    </cfRule>
    <cfRule type="containsText" dxfId="3938" priority="11623" operator="containsText" text="프로젝트">
      <formula>NOT(ISERROR(SEARCH(("프로젝트"),(J53))))</formula>
    </cfRule>
    <cfRule type="containsText" dxfId="3937" priority="11624" operator="containsText" text="정규교과">
      <formula>NOT(ISERROR(SEARCH(("정규교과"),(J53))))</formula>
    </cfRule>
    <cfRule type="containsText" dxfId="3936" priority="11625" operator="containsText" text="기타">
      <formula>NOT(ISERROR(SEARCH(("기타"),(J53))))</formula>
    </cfRule>
    <cfRule type="containsText" dxfId="3935" priority="11626" operator="containsText" text="프로젝트">
      <formula>NOT(ISERROR(SEARCH(("프로젝트"),(J53))))</formula>
    </cfRule>
    <cfRule type="containsText" dxfId="3934" priority="11627" operator="containsText" text="정규교과">
      <formula>NOT(ISERROR(SEARCH(("정규교과"),(J53))))</formula>
    </cfRule>
    <cfRule type="containsText" dxfId="3933" priority="11628" operator="containsText" text="기타">
      <formula>NOT(ISERROR(SEARCH(("기타"),(J53))))</formula>
    </cfRule>
    <cfRule type="containsText" dxfId="3932" priority="11629" operator="containsText" text="프로젝트">
      <formula>NOT(ISERROR(SEARCH(("프로젝트"),(J53))))</formula>
    </cfRule>
    <cfRule type="containsText" dxfId="3931" priority="11630" operator="containsText" text="정규교과">
      <formula>NOT(ISERROR(SEARCH(("정규교과"),(J53))))</formula>
    </cfRule>
    <cfRule type="containsText" dxfId="3930" priority="11631" operator="containsText" text="기타">
      <formula>NOT(ISERROR(SEARCH(("기타"),(J53))))</formula>
    </cfRule>
    <cfRule type="containsText" dxfId="3929" priority="11632" operator="containsText" text="프로젝트">
      <formula>NOT(ISERROR(SEARCH(("프로젝트"),(J53))))</formula>
    </cfRule>
    <cfRule type="containsText" dxfId="3928" priority="11633" operator="containsText" text="정규교과">
      <formula>NOT(ISERROR(SEARCH(("정규교과"),(J53))))</formula>
    </cfRule>
    <cfRule type="containsText" dxfId="3927" priority="11634" operator="containsText" text="기타">
      <formula>NOT(ISERROR(SEARCH(("기타"),(J53))))</formula>
    </cfRule>
    <cfRule type="containsText" dxfId="3926" priority="11635" operator="containsText" text="프로젝트">
      <formula>NOT(ISERROR(SEARCH(("프로젝트"),(J53))))</formula>
    </cfRule>
    <cfRule type="containsText" dxfId="3925" priority="11636" operator="containsText" text="정규교과">
      <formula>NOT(ISERROR(SEARCH(("정규교과"),(J53))))</formula>
    </cfRule>
    <cfRule type="containsText" dxfId="3924" priority="11637" operator="containsText" text="기타">
      <formula>NOT(ISERROR(SEARCH(("기타"),(J53))))</formula>
    </cfRule>
    <cfRule type="containsText" dxfId="3923" priority="11638" operator="containsText" text="프로젝트">
      <formula>NOT(ISERROR(SEARCH(("프로젝트"),(J53))))</formula>
    </cfRule>
    <cfRule type="containsText" dxfId="3922" priority="11654" operator="containsText" text="정규교과">
      <formula>NOT(ISERROR(SEARCH(("정규교과"),(J53))))</formula>
    </cfRule>
    <cfRule type="containsText" dxfId="3921" priority="11655" operator="containsText" text="기타">
      <formula>NOT(ISERROR(SEARCH(("기타"),(J53))))</formula>
    </cfRule>
    <cfRule type="containsText" dxfId="3920" priority="11639" operator="containsText" text="정규교과">
      <formula>NOT(ISERROR(SEARCH(("정규교과"),(J53))))</formula>
    </cfRule>
    <cfRule type="containsText" dxfId="3919" priority="11648" operator="containsText" text="정규교과">
      <formula>NOT(ISERROR(SEARCH(("정규교과"),(J53))))</formula>
    </cfRule>
    <cfRule type="containsText" dxfId="3918" priority="11649" operator="containsText" text="기타">
      <formula>NOT(ISERROR(SEARCH(("기타"),(J53))))</formula>
    </cfRule>
    <cfRule type="containsText" dxfId="3917" priority="11650" operator="containsText" text="프로젝트">
      <formula>NOT(ISERROR(SEARCH(("프로젝트"),(J53))))</formula>
    </cfRule>
    <cfRule type="containsText" dxfId="3916" priority="11647" operator="containsText" text="프로젝트">
      <formula>NOT(ISERROR(SEARCH(("프로젝트"),(J53))))</formula>
    </cfRule>
    <cfRule type="containsText" dxfId="3915" priority="11646" operator="containsText" text="기타">
      <formula>NOT(ISERROR(SEARCH(("기타"),(J53))))</formula>
    </cfRule>
    <cfRule type="containsText" dxfId="3914" priority="11645" operator="containsText" text="정규교과">
      <formula>NOT(ISERROR(SEARCH(("정규교과"),(J53))))</formula>
    </cfRule>
    <cfRule type="containsText" dxfId="3913" priority="11644" operator="containsText" text="프로젝트">
      <formula>NOT(ISERROR(SEARCH(("프로젝트"),(J53))))</formula>
    </cfRule>
    <cfRule type="containsText" dxfId="3912" priority="11643" operator="containsText" text="기타">
      <formula>NOT(ISERROR(SEARCH(("기타"),(J53))))</formula>
    </cfRule>
    <cfRule type="containsText" dxfId="3911" priority="11642" operator="containsText" text="정규교과">
      <formula>NOT(ISERROR(SEARCH(("정규교과"),(J53))))</formula>
    </cfRule>
    <cfRule type="containsText" dxfId="3910" priority="11641" operator="containsText" text="프로젝트">
      <formula>NOT(ISERROR(SEARCH(("프로젝트"),(J53))))</formula>
    </cfRule>
    <cfRule type="containsText" dxfId="3909" priority="11640" operator="containsText" text="기타">
      <formula>NOT(ISERROR(SEARCH(("기타"),(J53))))</formula>
    </cfRule>
    <cfRule type="containsText" dxfId="3908" priority="11591" operator="containsText" text="정규교과">
      <formula>NOT(ISERROR(SEARCH(("정규교과"),(J53))))</formula>
    </cfRule>
    <cfRule type="containsText" dxfId="3907" priority="11592" operator="containsText" text="기타">
      <formula>NOT(ISERROR(SEARCH(("기타"),(J53))))</formula>
    </cfRule>
    <cfRule type="containsText" dxfId="3906" priority="11593" operator="containsText" text="프로젝트">
      <formula>NOT(ISERROR(SEARCH(("프로젝트"),(J53))))</formula>
    </cfRule>
    <cfRule type="containsText" dxfId="3905" priority="11594" operator="containsText" text="정규교과">
      <formula>NOT(ISERROR(SEARCH(("정규교과"),(J53))))</formula>
    </cfRule>
    <cfRule type="containsText" dxfId="3904" priority="11595" operator="containsText" text="기타">
      <formula>NOT(ISERROR(SEARCH(("기타"),(J53))))</formula>
    </cfRule>
    <cfRule type="containsText" dxfId="3903" priority="11596" operator="containsText" text="프로젝트">
      <formula>NOT(ISERROR(SEARCH(("프로젝트"),(J53))))</formula>
    </cfRule>
    <cfRule type="containsText" dxfId="3902" priority="11597" operator="containsText" text="정규교과">
      <formula>NOT(ISERROR(SEARCH(("정규교과"),(J53))))</formula>
    </cfRule>
  </conditionalFormatting>
  <conditionalFormatting sqref="J57">
    <cfRule type="containsText" dxfId="3901" priority="11454" operator="containsText" text="기타">
      <formula>NOT(ISERROR(SEARCH(("기타"),(J57))))</formula>
    </cfRule>
    <cfRule type="containsText" dxfId="3900" priority="11455" operator="containsText" text="프로젝트">
      <formula>NOT(ISERROR(SEARCH(("프로젝트"),(J57))))</formula>
    </cfRule>
    <cfRule type="containsText" dxfId="3899" priority="11456" operator="containsText" text="정규교과">
      <formula>NOT(ISERROR(SEARCH(("정규교과"),(J57))))</formula>
    </cfRule>
    <cfRule type="containsText" dxfId="3898" priority="11457" operator="containsText" text="기타">
      <formula>NOT(ISERROR(SEARCH(("기타"),(J57))))</formula>
    </cfRule>
    <cfRule type="containsText" dxfId="3897" priority="11458" operator="containsText" text="프로젝트">
      <formula>NOT(ISERROR(SEARCH(("프로젝트"),(J57))))</formula>
    </cfRule>
    <cfRule type="containsText" dxfId="3896" priority="11459" operator="containsText" text="정규교과">
      <formula>NOT(ISERROR(SEARCH(("정규교과"),(J57))))</formula>
    </cfRule>
    <cfRule type="containsText" dxfId="3895" priority="11460" operator="containsText" text="기타">
      <formula>NOT(ISERROR(SEARCH(("기타"),(J57))))</formula>
    </cfRule>
    <cfRule type="containsText" dxfId="3894" priority="11461" operator="containsText" text="프로젝트">
      <formula>NOT(ISERROR(SEARCH(("프로젝트"),(J57))))</formula>
    </cfRule>
    <cfRule type="containsText" dxfId="3893" priority="11462" operator="containsText" text="정규교과">
      <formula>NOT(ISERROR(SEARCH(("정규교과"),(J57))))</formula>
    </cfRule>
    <cfRule type="containsText" dxfId="3892" priority="11463" operator="containsText" text="기타">
      <formula>NOT(ISERROR(SEARCH(("기타"),(J57))))</formula>
    </cfRule>
    <cfRule type="containsText" dxfId="3891" priority="11464" operator="containsText" text="프로젝트">
      <formula>NOT(ISERROR(SEARCH(("프로젝트"),(J57))))</formula>
    </cfRule>
    <cfRule type="containsText" dxfId="3890" priority="11465" operator="containsText" text="정규교과">
      <formula>NOT(ISERROR(SEARCH(("정규교과"),(J57))))</formula>
    </cfRule>
    <cfRule type="containsText" dxfId="3889" priority="11466" operator="containsText" text="기타">
      <formula>NOT(ISERROR(SEARCH(("기타"),(J57))))</formula>
    </cfRule>
    <cfRule type="containsText" dxfId="3888" priority="11467" operator="containsText" text="프로젝트">
      <formula>NOT(ISERROR(SEARCH(("프로젝트"),(J57))))</formula>
    </cfRule>
    <cfRule type="containsText" dxfId="3887" priority="11468" operator="containsText" text="정규교과">
      <formula>NOT(ISERROR(SEARCH(("정규교과"),(J57))))</formula>
    </cfRule>
    <cfRule type="containsText" dxfId="3886" priority="11469" operator="containsText" text="기타">
      <formula>NOT(ISERROR(SEARCH(("기타"),(J57))))</formula>
    </cfRule>
    <cfRule type="containsText" dxfId="3885" priority="11470" operator="containsText" text="프로젝트">
      <formula>NOT(ISERROR(SEARCH(("프로젝트"),(J57))))</formula>
    </cfRule>
    <cfRule type="containsText" dxfId="3884" priority="11471" operator="containsText" text="정규교과">
      <formula>NOT(ISERROR(SEARCH(("정규교과"),(J57))))</formula>
    </cfRule>
    <cfRule type="containsText" dxfId="3883" priority="11472" operator="containsText" text="기타">
      <formula>NOT(ISERROR(SEARCH(("기타"),(J57))))</formula>
    </cfRule>
    <cfRule type="containsText" dxfId="3882" priority="11473" operator="containsText" text="프로젝트">
      <formula>NOT(ISERROR(SEARCH(("프로젝트"),(J57))))</formula>
    </cfRule>
    <cfRule type="containsText" dxfId="3881" priority="11474" operator="containsText" text="정규교과">
      <formula>NOT(ISERROR(SEARCH(("정규교과"),(J57))))</formula>
    </cfRule>
    <cfRule type="containsText" dxfId="3880" priority="11475" operator="containsText" text="기타">
      <formula>NOT(ISERROR(SEARCH(("기타"),(J57))))</formula>
    </cfRule>
    <cfRule type="containsText" dxfId="3879" priority="11476" operator="containsText" text="프로젝트">
      <formula>NOT(ISERROR(SEARCH(("프로젝트"),(J57))))</formula>
    </cfRule>
    <cfRule type="containsText" dxfId="3878" priority="11477" operator="containsText" text="정규교과">
      <formula>NOT(ISERROR(SEARCH(("정규교과"),(J57))))</formula>
    </cfRule>
    <cfRule type="containsText" dxfId="3877" priority="11478" operator="containsText" text="기타">
      <formula>NOT(ISERROR(SEARCH(("기타"),(J57))))</formula>
    </cfRule>
    <cfRule type="containsText" dxfId="3876" priority="11479" operator="containsText" text="프로젝트">
      <formula>NOT(ISERROR(SEARCH(("프로젝트"),(J57))))</formula>
    </cfRule>
    <cfRule type="containsText" dxfId="3875" priority="11480" operator="containsText" text="정규교과">
      <formula>NOT(ISERROR(SEARCH(("정규교과"),(J57))))</formula>
    </cfRule>
    <cfRule type="containsText" dxfId="3874" priority="11482" operator="containsText" text="프로젝트">
      <formula>NOT(ISERROR(SEARCH(("프로젝트"),(J57))))</formula>
    </cfRule>
    <cfRule type="containsText" dxfId="3873" priority="11483" operator="containsText" text="정규교과">
      <formula>NOT(ISERROR(SEARCH(("정규교과"),(J57))))</formula>
    </cfRule>
    <cfRule type="containsText" dxfId="3872" priority="11484" operator="containsText" text="기타">
      <formula>NOT(ISERROR(SEARCH(("기타"),(J57))))</formula>
    </cfRule>
    <cfRule type="containsText" dxfId="3871" priority="11485" operator="containsText" text="프로젝트">
      <formula>NOT(ISERROR(SEARCH(("프로젝트"),(J57))))</formula>
    </cfRule>
    <cfRule type="containsText" dxfId="3870" priority="11481" operator="containsText" text="기타">
      <formula>NOT(ISERROR(SEARCH(("기타"),(J57))))</formula>
    </cfRule>
    <cfRule type="containsText" dxfId="3869" priority="11486" operator="containsText" text="정규교과">
      <formula>NOT(ISERROR(SEARCH(("정규교과"),(J57))))</formula>
    </cfRule>
    <cfRule type="containsText" dxfId="3868" priority="11487" operator="containsText" text="기타">
      <formula>NOT(ISERROR(SEARCH(("기타"),(J57))))</formula>
    </cfRule>
    <cfRule type="containsText" dxfId="3867" priority="11488" operator="containsText" text="프로젝트">
      <formula>NOT(ISERROR(SEARCH(("프로젝트"),(J57))))</formula>
    </cfRule>
    <cfRule type="containsText" dxfId="3866" priority="11489" operator="containsText" text="정규교과">
      <formula>NOT(ISERROR(SEARCH(("정규교과"),(J57))))</formula>
    </cfRule>
    <cfRule type="containsText" dxfId="3865" priority="11490" operator="containsText" text="기타">
      <formula>NOT(ISERROR(SEARCH(("기타"),(J57))))</formula>
    </cfRule>
    <cfRule type="containsText" dxfId="3864" priority="11491" operator="containsText" text="프로젝트">
      <formula>NOT(ISERROR(SEARCH(("프로젝트"),(J57))))</formula>
    </cfRule>
    <cfRule type="containsText" dxfId="3863" priority="11492" operator="containsText" text="정규교과">
      <formula>NOT(ISERROR(SEARCH(("정규교과"),(J57))))</formula>
    </cfRule>
    <cfRule type="containsText" dxfId="3862" priority="11493" operator="containsText" text="기타">
      <formula>NOT(ISERROR(SEARCH(("기타"),(J57))))</formula>
    </cfRule>
    <cfRule type="containsText" dxfId="3861" priority="11494" operator="containsText" text="프로젝트">
      <formula>NOT(ISERROR(SEARCH(("프로젝트"),(J57))))</formula>
    </cfRule>
    <cfRule type="containsText" dxfId="3860" priority="11495" operator="containsText" text="정규교과">
      <formula>NOT(ISERROR(SEARCH(("정규교과"),(J57))))</formula>
    </cfRule>
    <cfRule type="containsText" dxfId="3859" priority="11496" operator="containsText" text="기타">
      <formula>NOT(ISERROR(SEARCH(("기타"),(J57))))</formula>
    </cfRule>
    <cfRule type="containsText" dxfId="3858" priority="11497" operator="containsText" text="프로젝트">
      <formula>NOT(ISERROR(SEARCH(("프로젝트"),(J57))))</formula>
    </cfRule>
    <cfRule type="containsText" dxfId="3857" priority="11498" operator="containsText" text="정규교과">
      <formula>NOT(ISERROR(SEARCH(("정규교과"),(J57))))</formula>
    </cfRule>
    <cfRule type="containsText" dxfId="3856" priority="11499" operator="containsText" text="기타">
      <formula>NOT(ISERROR(SEARCH(("기타"),(J57))))</formula>
    </cfRule>
    <cfRule type="containsText" dxfId="3855" priority="11500" operator="containsText" text="프로젝트">
      <formula>NOT(ISERROR(SEARCH(("프로젝트"),(J57))))</formula>
    </cfRule>
    <cfRule type="containsText" dxfId="3854" priority="11501" operator="containsText" text="정규교과">
      <formula>NOT(ISERROR(SEARCH(("정규교과"),(J57))))</formula>
    </cfRule>
    <cfRule type="containsText" dxfId="3853" priority="11502" operator="containsText" text="기타">
      <formula>NOT(ISERROR(SEARCH(("기타"),(J57))))</formula>
    </cfRule>
    <cfRule type="containsText" dxfId="3852" priority="11503" operator="containsText" text="프로젝트">
      <formula>NOT(ISERROR(SEARCH(("프로젝트"),(J57))))</formula>
    </cfRule>
    <cfRule type="containsText" dxfId="3851" priority="11504" operator="containsText" text="정규교과">
      <formula>NOT(ISERROR(SEARCH(("정규교과"),(J57))))</formula>
    </cfRule>
    <cfRule type="containsText" dxfId="3850" priority="11505" operator="containsText" text="기타">
      <formula>NOT(ISERROR(SEARCH(("기타"),(J57))))</formula>
    </cfRule>
    <cfRule type="containsText" dxfId="3849" priority="11506" operator="containsText" text="프로젝트">
      <formula>NOT(ISERROR(SEARCH(("프로젝트"),(J57))))</formula>
    </cfRule>
    <cfRule type="containsText" dxfId="3848" priority="11507" operator="containsText" text="정규교과">
      <formula>NOT(ISERROR(SEARCH(("정규교과"),(J57))))</formula>
    </cfRule>
    <cfRule type="containsText" dxfId="3847" priority="11508" operator="containsText" text="기타">
      <formula>NOT(ISERROR(SEARCH(("기타"),(J57))))</formula>
    </cfRule>
    <cfRule type="containsText" dxfId="3846" priority="11509" operator="containsText" text="프로젝트">
      <formula>NOT(ISERROR(SEARCH(("프로젝트"),(J57))))</formula>
    </cfRule>
    <cfRule type="containsText" dxfId="3845" priority="11510" operator="containsText" text="정규교과">
      <formula>NOT(ISERROR(SEARCH(("정규교과"),(J57))))</formula>
    </cfRule>
    <cfRule type="containsText" dxfId="3844" priority="11511" operator="containsText" text="기타">
      <formula>NOT(ISERROR(SEARCH(("기타"),(J57))))</formula>
    </cfRule>
    <cfRule type="containsText" dxfId="3843" priority="11513" operator="containsText" text="정규교과">
      <formula>NOT(ISERROR(SEARCH(("정규교과"),(J57))))</formula>
    </cfRule>
    <cfRule type="containsText" dxfId="3842" priority="11514" operator="containsText" text="기타">
      <formula>NOT(ISERROR(SEARCH(("기타"),(J57))))</formula>
    </cfRule>
    <cfRule type="containsText" dxfId="3841" priority="11449" operator="containsText" text="프로젝트">
      <formula>NOT(ISERROR(SEARCH(("프로젝트"),(J57))))</formula>
    </cfRule>
    <cfRule type="containsText" dxfId="3840" priority="11450" operator="containsText" text="정규교과">
      <formula>NOT(ISERROR(SEARCH(("정규교과"),(J57))))</formula>
    </cfRule>
    <cfRule type="containsText" dxfId="3839" priority="11451" operator="containsText" text="기타">
      <formula>NOT(ISERROR(SEARCH(("기타"),(J57))))</formula>
    </cfRule>
    <cfRule type="containsText" dxfId="3838" priority="11452" operator="containsText" text="프로젝트">
      <formula>NOT(ISERROR(SEARCH(("프로젝트"),(J57))))</formula>
    </cfRule>
    <cfRule type="containsText" dxfId="3837" priority="11453" operator="containsText" text="정규교과">
      <formula>NOT(ISERROR(SEARCH(("정규교과"),(J57))))</formula>
    </cfRule>
  </conditionalFormatting>
  <conditionalFormatting sqref="J61">
    <cfRule type="containsText" dxfId="3836" priority="11326" operator="containsText" text="프로젝트">
      <formula>NOT(ISERROR(SEARCH(("프로젝트"),(J61))))</formula>
    </cfRule>
    <cfRule type="containsText" dxfId="3835" priority="11327" operator="containsText" text="정규교과">
      <formula>NOT(ISERROR(SEARCH(("정규교과"),(J61))))</formula>
    </cfRule>
    <cfRule type="containsText" dxfId="3834" priority="11328" operator="containsText" text="기타">
      <formula>NOT(ISERROR(SEARCH(("기타"),(J61))))</formula>
    </cfRule>
    <cfRule type="containsText" dxfId="3833" priority="11329" operator="containsText" text="프로젝트">
      <formula>NOT(ISERROR(SEARCH(("프로젝트"),(J61))))</formula>
    </cfRule>
    <cfRule type="containsText" dxfId="3832" priority="11330" operator="containsText" text="정규교과">
      <formula>NOT(ISERROR(SEARCH(("정규교과"),(J61))))</formula>
    </cfRule>
    <cfRule type="containsText" dxfId="3831" priority="11331" operator="containsText" text="기타">
      <formula>NOT(ISERROR(SEARCH(("기타"),(J61))))</formula>
    </cfRule>
    <cfRule type="containsText" dxfId="3830" priority="11332" operator="containsText" text="프로젝트">
      <formula>NOT(ISERROR(SEARCH(("프로젝트"),(J61))))</formula>
    </cfRule>
    <cfRule type="containsText" dxfId="3829" priority="11333" operator="containsText" text="정규교과">
      <formula>NOT(ISERROR(SEARCH(("정규교과"),(J61))))</formula>
    </cfRule>
    <cfRule type="containsText" dxfId="3828" priority="11334" operator="containsText" text="기타">
      <formula>NOT(ISERROR(SEARCH(("기타"),(J61))))</formula>
    </cfRule>
    <cfRule type="containsText" dxfId="3827" priority="11335" operator="containsText" text="프로젝트">
      <formula>NOT(ISERROR(SEARCH(("프로젝트"),(J61))))</formula>
    </cfRule>
    <cfRule type="containsText" dxfId="3826" priority="11336" operator="containsText" text="정규교과">
      <formula>NOT(ISERROR(SEARCH(("정규교과"),(J61))))</formula>
    </cfRule>
    <cfRule type="containsText" dxfId="3825" priority="11337" operator="containsText" text="기타">
      <formula>NOT(ISERROR(SEARCH(("기타"),(J61))))</formula>
    </cfRule>
    <cfRule type="containsText" dxfId="3824" priority="11338" operator="containsText" text="프로젝트">
      <formula>NOT(ISERROR(SEARCH(("프로젝트"),(J61))))</formula>
    </cfRule>
    <cfRule type="containsText" dxfId="3823" priority="11339" operator="containsText" text="정규교과">
      <formula>NOT(ISERROR(SEARCH(("정규교과"),(J61))))</formula>
    </cfRule>
    <cfRule type="containsText" dxfId="3822" priority="11340" operator="containsText" text="기타">
      <formula>NOT(ISERROR(SEARCH(("기타"),(J61))))</formula>
    </cfRule>
    <cfRule type="containsText" dxfId="3821" priority="11341" operator="containsText" text="프로젝트">
      <formula>NOT(ISERROR(SEARCH(("프로젝트"),(J61))))</formula>
    </cfRule>
    <cfRule type="containsText" dxfId="3820" priority="11342" operator="containsText" text="정규교과">
      <formula>NOT(ISERROR(SEARCH(("정규교과"),(J61))))</formula>
    </cfRule>
    <cfRule type="containsText" dxfId="3819" priority="11343" operator="containsText" text="기타">
      <formula>NOT(ISERROR(SEARCH(("기타"),(J61))))</formula>
    </cfRule>
    <cfRule type="containsText" dxfId="3818" priority="11344" operator="containsText" text="프로젝트">
      <formula>NOT(ISERROR(SEARCH(("프로젝트"),(J61))))</formula>
    </cfRule>
    <cfRule type="containsText" dxfId="3817" priority="11345" operator="containsText" text="정규교과">
      <formula>NOT(ISERROR(SEARCH(("정규교과"),(J61))))</formula>
    </cfRule>
    <cfRule type="containsText" dxfId="3816" priority="11346" operator="containsText" text="기타">
      <formula>NOT(ISERROR(SEARCH(("기타"),(J61))))</formula>
    </cfRule>
    <cfRule type="containsText" dxfId="3815" priority="11347" operator="containsText" text="프로젝트">
      <formula>NOT(ISERROR(SEARCH(("프로젝트"),(J61))))</formula>
    </cfRule>
    <cfRule type="containsText" dxfId="3814" priority="11348" operator="containsText" text="정규교과">
      <formula>NOT(ISERROR(SEARCH(("정규교과"),(J61))))</formula>
    </cfRule>
    <cfRule type="containsText" dxfId="3813" priority="11349" operator="containsText" text="기타">
      <formula>NOT(ISERROR(SEARCH(("기타"),(J61))))</formula>
    </cfRule>
    <cfRule type="containsText" dxfId="3812" priority="11350" operator="containsText" text="프로젝트">
      <formula>NOT(ISERROR(SEARCH(("프로젝트"),(J61))))</formula>
    </cfRule>
    <cfRule type="containsText" dxfId="3811" priority="11351" operator="containsText" text="정규교과">
      <formula>NOT(ISERROR(SEARCH(("정규교과"),(J61))))</formula>
    </cfRule>
    <cfRule type="containsText" dxfId="3810" priority="11352" operator="containsText" text="기타">
      <formula>NOT(ISERROR(SEARCH(("기타"),(J61))))</formula>
    </cfRule>
    <cfRule type="containsText" dxfId="3809" priority="11353" operator="containsText" text="프로젝트">
      <formula>NOT(ISERROR(SEARCH(("프로젝트"),(J61))))</formula>
    </cfRule>
    <cfRule type="containsText" dxfId="3808" priority="11354" operator="containsText" text="정규교과">
      <formula>NOT(ISERROR(SEARCH(("정규교과"),(J61))))</formula>
    </cfRule>
    <cfRule type="containsText" dxfId="3807" priority="11355" operator="containsText" text="기타">
      <formula>NOT(ISERROR(SEARCH(("기타"),(J61))))</formula>
    </cfRule>
    <cfRule type="containsText" dxfId="3806" priority="11356" operator="containsText" text="프로젝트">
      <formula>NOT(ISERROR(SEARCH(("프로젝트"),(J61))))</formula>
    </cfRule>
    <cfRule type="containsText" dxfId="3805" priority="11358" operator="containsText" text="기타">
      <formula>NOT(ISERROR(SEARCH(("기타"),(J61))))</formula>
    </cfRule>
    <cfRule type="containsText" dxfId="3804" priority="11359" operator="containsText" text="프로젝트">
      <formula>NOT(ISERROR(SEARCH(("프로젝트"),(J61))))</formula>
    </cfRule>
    <cfRule type="containsText" dxfId="3803" priority="11360" operator="containsText" text="정규교과">
      <formula>NOT(ISERROR(SEARCH(("정규교과"),(J61))))</formula>
    </cfRule>
    <cfRule type="containsText" dxfId="3802" priority="11361" operator="containsText" text="기타">
      <formula>NOT(ISERROR(SEARCH(("기타"),(J61))))</formula>
    </cfRule>
    <cfRule type="containsText" dxfId="3801" priority="11362" operator="containsText" text="프로젝트">
      <formula>NOT(ISERROR(SEARCH(("프로젝트"),(J61))))</formula>
    </cfRule>
    <cfRule type="containsText" dxfId="3800" priority="11363" operator="containsText" text="정규교과">
      <formula>NOT(ISERROR(SEARCH(("정규교과"),(J61))))</formula>
    </cfRule>
    <cfRule type="containsText" dxfId="3799" priority="11364" operator="containsText" text="기타">
      <formula>NOT(ISERROR(SEARCH(("기타"),(J61))))</formula>
    </cfRule>
    <cfRule type="containsText" dxfId="3798" priority="11365" operator="containsText" text="프로젝트">
      <formula>NOT(ISERROR(SEARCH(("프로젝트"),(J61))))</formula>
    </cfRule>
    <cfRule type="containsText" dxfId="3797" priority="11366" operator="containsText" text="정규교과">
      <formula>NOT(ISERROR(SEARCH(("정규교과"),(J61))))</formula>
    </cfRule>
    <cfRule type="containsText" dxfId="3796" priority="11367" operator="containsText" text="기타">
      <formula>NOT(ISERROR(SEARCH(("기타"),(J61))))</formula>
    </cfRule>
    <cfRule type="containsText" dxfId="3795" priority="11368" operator="containsText" text="프로젝트">
      <formula>NOT(ISERROR(SEARCH(("프로젝트"),(J61))))</formula>
    </cfRule>
    <cfRule type="containsText" dxfId="3794" priority="11369" operator="containsText" text="정규교과">
      <formula>NOT(ISERROR(SEARCH(("정규교과"),(J61))))</formula>
    </cfRule>
    <cfRule type="containsText" dxfId="3793" priority="11370" operator="containsText" text="기타">
      <formula>NOT(ISERROR(SEARCH(("기타"),(J61))))</formula>
    </cfRule>
    <cfRule type="containsText" dxfId="3792" priority="11372" operator="containsText" text="정규교과">
      <formula>NOT(ISERROR(SEARCH(("정규교과"),(J61))))</formula>
    </cfRule>
    <cfRule type="containsText" dxfId="3791" priority="11373" operator="containsText" text="기타">
      <formula>NOT(ISERROR(SEARCH(("기타"),(J61))))</formula>
    </cfRule>
    <cfRule type="containsText" dxfId="3790" priority="11357" operator="containsText" text="정규교과">
      <formula>NOT(ISERROR(SEARCH(("정규교과"),(J61))))</formula>
    </cfRule>
    <cfRule type="containsText" dxfId="3789" priority="11325" operator="containsText" text="기타">
      <formula>NOT(ISERROR(SEARCH(("기타"),(J61))))</formula>
    </cfRule>
    <cfRule type="containsText" dxfId="3788" priority="11314" operator="containsText" text="프로젝트">
      <formula>NOT(ISERROR(SEARCH(("프로젝트"),(J61))))</formula>
    </cfRule>
    <cfRule type="containsText" dxfId="3787" priority="11309" operator="containsText" text="정규교과">
      <formula>NOT(ISERROR(SEARCH(("정규교과"),(J61))))</formula>
    </cfRule>
    <cfRule type="containsText" dxfId="3786" priority="11310" operator="containsText" text="기타">
      <formula>NOT(ISERROR(SEARCH(("기타"),(J61))))</formula>
    </cfRule>
    <cfRule type="containsText" dxfId="3785" priority="11311" operator="containsText" text="프로젝트">
      <formula>NOT(ISERROR(SEARCH(("프로젝트"),(J61))))</formula>
    </cfRule>
    <cfRule type="containsText" dxfId="3784" priority="11312" operator="containsText" text="정규교과">
      <formula>NOT(ISERROR(SEARCH(("정규교과"),(J61))))</formula>
    </cfRule>
    <cfRule type="containsText" dxfId="3783" priority="11313" operator="containsText" text="기타">
      <formula>NOT(ISERROR(SEARCH(("기타"),(J61))))</formula>
    </cfRule>
    <cfRule type="containsText" dxfId="3782" priority="11315" operator="containsText" text="정규교과">
      <formula>NOT(ISERROR(SEARCH(("정규교과"),(J61))))</formula>
    </cfRule>
    <cfRule type="containsText" dxfId="3781" priority="11316" operator="containsText" text="기타">
      <formula>NOT(ISERROR(SEARCH(("기타"),(J61))))</formula>
    </cfRule>
    <cfRule type="containsText" dxfId="3780" priority="11317" operator="containsText" text="프로젝트">
      <formula>NOT(ISERROR(SEARCH(("프로젝트"),(J61))))</formula>
    </cfRule>
    <cfRule type="containsText" dxfId="3779" priority="11318" operator="containsText" text="정규교과">
      <formula>NOT(ISERROR(SEARCH(("정규교과"),(J61))))</formula>
    </cfRule>
    <cfRule type="containsText" dxfId="3778" priority="11319" operator="containsText" text="기타">
      <formula>NOT(ISERROR(SEARCH(("기타"),(J61))))</formula>
    </cfRule>
    <cfRule type="containsText" dxfId="3777" priority="11320" operator="containsText" text="프로젝트">
      <formula>NOT(ISERROR(SEARCH(("프로젝트"),(J61))))</formula>
    </cfRule>
    <cfRule type="containsText" dxfId="3776" priority="11321" operator="containsText" text="정규교과">
      <formula>NOT(ISERROR(SEARCH(("정규교과"),(J61))))</formula>
    </cfRule>
    <cfRule type="containsText" dxfId="3775" priority="11322" operator="containsText" text="기타">
      <formula>NOT(ISERROR(SEARCH(("기타"),(J61))))</formula>
    </cfRule>
    <cfRule type="containsText" dxfId="3774" priority="11323" operator="containsText" text="프로젝트">
      <formula>NOT(ISERROR(SEARCH(("프로젝트"),(J61))))</formula>
    </cfRule>
    <cfRule type="containsText" dxfId="3773" priority="11324" operator="containsText" text="정규교과">
      <formula>NOT(ISERROR(SEARCH(("정규교과"),(J61))))</formula>
    </cfRule>
  </conditionalFormatting>
  <conditionalFormatting sqref="J65">
    <cfRule type="containsText" dxfId="3772" priority="11193" operator="containsText" text="기타">
      <formula>NOT(ISERROR(SEARCH(("기타"),(J65))))</formula>
    </cfRule>
    <cfRule type="containsText" dxfId="3771" priority="11172" operator="containsText" text="기타">
      <formula>NOT(ISERROR(SEARCH(("기타"),(J65))))</formula>
    </cfRule>
    <cfRule type="containsText" dxfId="3770" priority="11194" operator="containsText" text="프로젝트">
      <formula>NOT(ISERROR(SEARCH(("프로젝트"),(J65))))</formula>
    </cfRule>
    <cfRule type="containsText" dxfId="3769" priority="11195" operator="containsText" text="정규교과">
      <formula>NOT(ISERROR(SEARCH(("정규교과"),(J65))))</formula>
    </cfRule>
    <cfRule type="containsText" dxfId="3768" priority="11196" operator="containsText" text="기타">
      <formula>NOT(ISERROR(SEARCH(("기타"),(J65))))</formula>
    </cfRule>
    <cfRule type="containsText" dxfId="3767" priority="11197" operator="containsText" text="프로젝트">
      <formula>NOT(ISERROR(SEARCH(("프로젝트"),(J65))))</formula>
    </cfRule>
    <cfRule type="containsText" dxfId="3766" priority="11198" operator="containsText" text="정규교과">
      <formula>NOT(ISERROR(SEARCH(("정규교과"),(J65))))</formula>
    </cfRule>
    <cfRule type="containsText" dxfId="3765" priority="11199" operator="containsText" text="기타">
      <formula>NOT(ISERROR(SEARCH(("기타"),(J65))))</formula>
    </cfRule>
    <cfRule type="containsText" dxfId="3764" priority="11200" operator="containsText" text="프로젝트">
      <formula>NOT(ISERROR(SEARCH(("프로젝트"),(J65))))</formula>
    </cfRule>
    <cfRule type="containsText" dxfId="3763" priority="11201" operator="containsText" text="정규교과">
      <formula>NOT(ISERROR(SEARCH(("정규교과"),(J65))))</formula>
    </cfRule>
    <cfRule type="containsText" dxfId="3762" priority="11202" operator="containsText" text="기타">
      <formula>NOT(ISERROR(SEARCH(("기타"),(J65))))</formula>
    </cfRule>
    <cfRule type="containsText" dxfId="3761" priority="11203" operator="containsText" text="프로젝트">
      <formula>NOT(ISERROR(SEARCH(("프로젝트"),(J65))))</formula>
    </cfRule>
    <cfRule type="containsText" dxfId="3760" priority="11204" operator="containsText" text="정규교과">
      <formula>NOT(ISERROR(SEARCH(("정규교과"),(J65))))</formula>
    </cfRule>
    <cfRule type="containsText" dxfId="3759" priority="11205" operator="containsText" text="기타">
      <formula>NOT(ISERROR(SEARCH(("기타"),(J65))))</formula>
    </cfRule>
    <cfRule type="containsText" dxfId="3758" priority="11206" operator="containsText" text="프로젝트">
      <formula>NOT(ISERROR(SEARCH(("프로젝트"),(J65))))</formula>
    </cfRule>
    <cfRule type="containsText" dxfId="3757" priority="11207" operator="containsText" text="정규교과">
      <formula>NOT(ISERROR(SEARCH(("정규교과"),(J65))))</formula>
    </cfRule>
    <cfRule type="containsText" dxfId="3756" priority="11171" operator="containsText" text="정규교과">
      <formula>NOT(ISERROR(SEARCH(("정규교과"),(J65))))</formula>
    </cfRule>
    <cfRule type="containsText" dxfId="3755" priority="11208" operator="containsText" text="기타">
      <formula>NOT(ISERROR(SEARCH(("기타"),(J65))))</formula>
    </cfRule>
    <cfRule type="containsText" dxfId="3754" priority="11209" operator="containsText" text="프로젝트">
      <formula>NOT(ISERROR(SEARCH(("프로젝트"),(J65))))</formula>
    </cfRule>
    <cfRule type="containsText" dxfId="3753" priority="11210" operator="containsText" text="정규교과">
      <formula>NOT(ISERROR(SEARCH(("정규교과"),(J65))))</formula>
    </cfRule>
    <cfRule type="containsText" dxfId="3752" priority="11211" operator="containsText" text="기타">
      <formula>NOT(ISERROR(SEARCH(("기타"),(J65))))</formula>
    </cfRule>
    <cfRule type="containsText" dxfId="3751" priority="11212" operator="containsText" text="프로젝트">
      <formula>NOT(ISERROR(SEARCH(("프로젝트"),(J65))))</formula>
    </cfRule>
    <cfRule type="containsText" dxfId="3750" priority="11213" operator="containsText" text="정규교과">
      <formula>NOT(ISERROR(SEARCH(("정규교과"),(J65))))</formula>
    </cfRule>
    <cfRule type="containsText" dxfId="3749" priority="11214" operator="containsText" text="기타">
      <formula>NOT(ISERROR(SEARCH(("기타"),(J65))))</formula>
    </cfRule>
    <cfRule type="containsText" dxfId="3748" priority="11215" operator="containsText" text="프로젝트">
      <formula>NOT(ISERROR(SEARCH(("프로젝트"),(J65))))</formula>
    </cfRule>
    <cfRule type="containsText" dxfId="3747" priority="11216" operator="containsText" text="정규교과">
      <formula>NOT(ISERROR(SEARCH(("정규교과"),(J65))))</formula>
    </cfRule>
    <cfRule type="containsText" dxfId="3746" priority="11217" operator="containsText" text="기타">
      <formula>NOT(ISERROR(SEARCH(("기타"),(J65))))</formula>
    </cfRule>
    <cfRule type="containsText" dxfId="3745" priority="11218" operator="containsText" text="프로젝트">
      <formula>NOT(ISERROR(SEARCH(("프로젝트"),(J65))))</formula>
    </cfRule>
    <cfRule type="containsText" dxfId="3744" priority="11219" operator="containsText" text="정규교과">
      <formula>NOT(ISERROR(SEARCH(("정규교과"),(J65))))</formula>
    </cfRule>
    <cfRule type="containsText" dxfId="3743" priority="11220" operator="containsText" text="기타">
      <formula>NOT(ISERROR(SEARCH(("기타"),(J65))))</formula>
    </cfRule>
    <cfRule type="containsText" dxfId="3742" priority="11221" operator="containsText" text="프로젝트">
      <formula>NOT(ISERROR(SEARCH(("프로젝트"),(J65))))</formula>
    </cfRule>
    <cfRule type="containsText" dxfId="3741" priority="11173" operator="containsText" text="프로젝트">
      <formula>NOT(ISERROR(SEARCH(("프로젝트"),(J65))))</formula>
    </cfRule>
    <cfRule type="containsText" dxfId="3740" priority="11223" operator="containsText" text="기타">
      <formula>NOT(ISERROR(SEARCH(("기타"),(J65))))</formula>
    </cfRule>
    <cfRule type="containsText" dxfId="3739" priority="11224" operator="containsText" text="프로젝트">
      <formula>NOT(ISERROR(SEARCH(("프로젝트"),(J65))))</formula>
    </cfRule>
    <cfRule type="containsText" dxfId="3738" priority="11225" operator="containsText" text="정규교과">
      <formula>NOT(ISERROR(SEARCH(("정규교과"),(J65))))</formula>
    </cfRule>
    <cfRule type="containsText" dxfId="3737" priority="11226" operator="containsText" text="기타">
      <formula>NOT(ISERROR(SEARCH(("기타"),(J65))))</formula>
    </cfRule>
    <cfRule type="containsText" dxfId="3736" priority="11227" operator="containsText" text="프로젝트">
      <formula>NOT(ISERROR(SEARCH(("프로젝트"),(J65))))</formula>
    </cfRule>
    <cfRule type="containsText" dxfId="3735" priority="11228" operator="containsText" text="정규교과">
      <formula>NOT(ISERROR(SEARCH(("정규교과"),(J65))))</formula>
    </cfRule>
    <cfRule type="containsText" dxfId="3734" priority="11229" operator="containsText" text="기타">
      <formula>NOT(ISERROR(SEARCH(("기타"),(J65))))</formula>
    </cfRule>
    <cfRule type="containsText" dxfId="3733" priority="11231" operator="containsText" text="정규교과">
      <formula>NOT(ISERROR(SEARCH(("정규교과"),(J65))))</formula>
    </cfRule>
    <cfRule type="containsText" dxfId="3732" priority="11232" operator="containsText" text="기타">
      <formula>NOT(ISERROR(SEARCH(("기타"),(J65))))</formula>
    </cfRule>
    <cfRule type="containsText" dxfId="3731" priority="11174" operator="containsText" text="정규교과">
      <formula>NOT(ISERROR(SEARCH(("정규교과"),(J65))))</formula>
    </cfRule>
    <cfRule type="containsText" dxfId="3730" priority="11175" operator="containsText" text="기타">
      <formula>NOT(ISERROR(SEARCH(("기타"),(J65))))</formula>
    </cfRule>
    <cfRule type="containsText" dxfId="3729" priority="11186" operator="containsText" text="정규교과">
      <formula>NOT(ISERROR(SEARCH(("정규교과"),(J65))))</formula>
    </cfRule>
    <cfRule type="containsText" dxfId="3728" priority="11169" operator="containsText" text="기타">
      <formula>NOT(ISERROR(SEARCH(("기타"),(J65))))</formula>
    </cfRule>
    <cfRule type="containsText" dxfId="3727" priority="11168" operator="containsText" text="정규교과">
      <formula>NOT(ISERROR(SEARCH(("정규교과"),(J65))))</formula>
    </cfRule>
    <cfRule type="containsText" dxfId="3726" priority="11176" operator="containsText" text="프로젝트">
      <formula>NOT(ISERROR(SEARCH(("프로젝트"),(J65))))</formula>
    </cfRule>
    <cfRule type="containsText" dxfId="3725" priority="11192" operator="containsText" text="정규교과">
      <formula>NOT(ISERROR(SEARCH(("정규교과"),(J65))))</formula>
    </cfRule>
    <cfRule type="containsText" dxfId="3724" priority="11177" operator="containsText" text="정규교과">
      <formula>NOT(ISERROR(SEARCH(("정규교과"),(J65))))</formula>
    </cfRule>
    <cfRule type="containsText" dxfId="3723" priority="11170" operator="containsText" text="프로젝트">
      <formula>NOT(ISERROR(SEARCH(("프로젝트"),(J65))))</formula>
    </cfRule>
    <cfRule type="containsText" dxfId="3722" priority="11178" operator="containsText" text="기타">
      <formula>NOT(ISERROR(SEARCH(("기타"),(J65))))</formula>
    </cfRule>
    <cfRule type="containsText" dxfId="3721" priority="11179" operator="containsText" text="프로젝트">
      <formula>NOT(ISERROR(SEARCH(("프로젝트"),(J65))))</formula>
    </cfRule>
    <cfRule type="containsText" dxfId="3720" priority="11180" operator="containsText" text="정규교과">
      <formula>NOT(ISERROR(SEARCH(("정규교과"),(J65))))</formula>
    </cfRule>
    <cfRule type="containsText" dxfId="3719" priority="11188" operator="containsText" text="프로젝트">
      <formula>NOT(ISERROR(SEARCH(("프로젝트"),(J65))))</formula>
    </cfRule>
    <cfRule type="containsText" dxfId="3718" priority="11189" operator="containsText" text="정규교과">
      <formula>NOT(ISERROR(SEARCH(("정규교과"),(J65))))</formula>
    </cfRule>
    <cfRule type="containsText" dxfId="3717" priority="11190" operator="containsText" text="기타">
      <formula>NOT(ISERROR(SEARCH(("기타"),(J65))))</formula>
    </cfRule>
    <cfRule type="containsText" dxfId="3716" priority="11191" operator="containsText" text="프로젝트">
      <formula>NOT(ISERROR(SEARCH(("프로젝트"),(J65))))</formula>
    </cfRule>
    <cfRule type="containsText" dxfId="3715" priority="11187" operator="containsText" text="기타">
      <formula>NOT(ISERROR(SEARCH(("기타"),(J65))))</formula>
    </cfRule>
    <cfRule type="containsText" dxfId="3714" priority="11185" operator="containsText" text="프로젝트">
      <formula>NOT(ISERROR(SEARCH(("프로젝트"),(J65))))</formula>
    </cfRule>
    <cfRule type="containsText" dxfId="3713" priority="11184" operator="containsText" text="기타">
      <formula>NOT(ISERROR(SEARCH(("기타"),(J65))))</formula>
    </cfRule>
    <cfRule type="containsText" dxfId="3712" priority="11183" operator="containsText" text="정규교과">
      <formula>NOT(ISERROR(SEARCH(("정규교과"),(J65))))</formula>
    </cfRule>
    <cfRule type="containsText" dxfId="3711" priority="11182" operator="containsText" text="프로젝트">
      <formula>NOT(ISERROR(SEARCH(("프로젝트"),(J65))))</formula>
    </cfRule>
    <cfRule type="containsText" dxfId="3710" priority="11181" operator="containsText" text="기타">
      <formula>NOT(ISERROR(SEARCH(("기타"),(J65))))</formula>
    </cfRule>
    <cfRule type="containsText" dxfId="3709" priority="11222" operator="containsText" text="정규교과">
      <formula>NOT(ISERROR(SEARCH(("정규교과"),(J65))))</formula>
    </cfRule>
  </conditionalFormatting>
  <conditionalFormatting sqref="J69">
    <cfRule type="containsText" dxfId="3708" priority="11033" operator="containsText" text="정규교과">
      <formula>NOT(ISERROR(SEARCH(("정규교과"),(J69))))</formula>
    </cfRule>
    <cfRule type="containsText" dxfId="3707" priority="11034" operator="containsText" text="기타">
      <formula>NOT(ISERROR(SEARCH(("기타"),(J69))))</formula>
    </cfRule>
    <cfRule type="containsText" dxfId="3706" priority="11035" operator="containsText" text="프로젝트">
      <formula>NOT(ISERROR(SEARCH(("프로젝트"),(J69))))</formula>
    </cfRule>
    <cfRule type="containsText" dxfId="3705" priority="11036" operator="containsText" text="정규교과">
      <formula>NOT(ISERROR(SEARCH(("정규교과"),(J69))))</formula>
    </cfRule>
    <cfRule type="containsText" dxfId="3704" priority="11037" operator="containsText" text="기타">
      <formula>NOT(ISERROR(SEARCH(("기타"),(J69))))</formula>
    </cfRule>
    <cfRule type="containsText" dxfId="3703" priority="11038" operator="containsText" text="프로젝트">
      <formula>NOT(ISERROR(SEARCH(("프로젝트"),(J69))))</formula>
    </cfRule>
    <cfRule type="containsText" dxfId="3702" priority="11039" operator="containsText" text="정규교과">
      <formula>NOT(ISERROR(SEARCH(("정규교과"),(J69))))</formula>
    </cfRule>
    <cfRule type="containsText" dxfId="3701" priority="11040" operator="containsText" text="기타">
      <formula>NOT(ISERROR(SEARCH(("기타"),(J69))))</formula>
    </cfRule>
    <cfRule type="containsText" dxfId="3700" priority="11041" operator="containsText" text="프로젝트">
      <formula>NOT(ISERROR(SEARCH(("프로젝트"),(J69))))</formula>
    </cfRule>
    <cfRule type="containsText" dxfId="3699" priority="11042" operator="containsText" text="정규교과">
      <formula>NOT(ISERROR(SEARCH(("정규교과"),(J69))))</formula>
    </cfRule>
    <cfRule type="containsText" dxfId="3698" priority="11043" operator="containsText" text="기타">
      <formula>NOT(ISERROR(SEARCH(("기타"),(J69))))</formula>
    </cfRule>
    <cfRule type="containsText" dxfId="3697" priority="11044" operator="containsText" text="프로젝트">
      <formula>NOT(ISERROR(SEARCH(("프로젝트"),(J69))))</formula>
    </cfRule>
    <cfRule type="containsText" dxfId="3696" priority="11046" operator="containsText" text="기타">
      <formula>NOT(ISERROR(SEARCH(("기타"),(J69))))</formula>
    </cfRule>
    <cfRule type="containsText" dxfId="3695" priority="11047" operator="containsText" text="프로젝트">
      <formula>NOT(ISERROR(SEARCH(("프로젝트"),(J69))))</formula>
    </cfRule>
    <cfRule type="containsText" dxfId="3694" priority="11048" operator="containsText" text="정규교과">
      <formula>NOT(ISERROR(SEARCH(("정규교과"),(J69))))</formula>
    </cfRule>
    <cfRule type="containsText" dxfId="3693" priority="11049" operator="containsText" text="기타">
      <formula>NOT(ISERROR(SEARCH(("기타"),(J69))))</formula>
    </cfRule>
    <cfRule type="containsText" dxfId="3692" priority="11050" operator="containsText" text="프로젝트">
      <formula>NOT(ISERROR(SEARCH(("프로젝트"),(J69))))</formula>
    </cfRule>
    <cfRule type="containsText" dxfId="3691" priority="11051" operator="containsText" text="정규교과">
      <formula>NOT(ISERROR(SEARCH(("정규교과"),(J69))))</formula>
    </cfRule>
    <cfRule type="containsText" dxfId="3690" priority="11052" operator="containsText" text="기타">
      <formula>NOT(ISERROR(SEARCH(("기타"),(J69))))</formula>
    </cfRule>
    <cfRule type="containsText" dxfId="3689" priority="11053" operator="containsText" text="프로젝트">
      <formula>NOT(ISERROR(SEARCH(("프로젝트"),(J69))))</formula>
    </cfRule>
    <cfRule type="containsText" dxfId="3688" priority="11054" operator="containsText" text="정규교과">
      <formula>NOT(ISERROR(SEARCH(("정규교과"),(J69))))</formula>
    </cfRule>
    <cfRule type="containsText" dxfId="3687" priority="11055" operator="containsText" text="기타">
      <formula>NOT(ISERROR(SEARCH(("기타"),(J69))))</formula>
    </cfRule>
    <cfRule type="containsText" dxfId="3686" priority="11056" operator="containsText" text="프로젝트">
      <formula>NOT(ISERROR(SEARCH(("프로젝트"),(J69))))</formula>
    </cfRule>
    <cfRule type="containsText" dxfId="3685" priority="11057" operator="containsText" text="정규교과">
      <formula>NOT(ISERROR(SEARCH(("정규교과"),(J69))))</formula>
    </cfRule>
    <cfRule type="containsText" dxfId="3684" priority="11058" operator="containsText" text="기타">
      <formula>NOT(ISERROR(SEARCH(("기타"),(J69))))</formula>
    </cfRule>
    <cfRule type="containsText" dxfId="3683" priority="11059" operator="containsText" text="프로젝트">
      <formula>NOT(ISERROR(SEARCH(("프로젝트"),(J69))))</formula>
    </cfRule>
    <cfRule type="containsText" dxfId="3682" priority="11060" operator="containsText" text="정규교과">
      <formula>NOT(ISERROR(SEARCH(("정규교과"),(J69))))</formula>
    </cfRule>
    <cfRule type="containsText" dxfId="3681" priority="11061" operator="containsText" text="기타">
      <formula>NOT(ISERROR(SEARCH(("기타"),(J69))))</formula>
    </cfRule>
    <cfRule type="containsText" dxfId="3680" priority="11062" operator="containsText" text="프로젝트">
      <formula>NOT(ISERROR(SEARCH(("프로젝트"),(J69))))</formula>
    </cfRule>
    <cfRule type="containsText" dxfId="3679" priority="11063" operator="containsText" text="정규교과">
      <formula>NOT(ISERROR(SEARCH(("정규교과"),(J69))))</formula>
    </cfRule>
    <cfRule type="containsText" dxfId="3678" priority="11064" operator="containsText" text="기타">
      <formula>NOT(ISERROR(SEARCH(("기타"),(J69))))</formula>
    </cfRule>
    <cfRule type="containsText" dxfId="3677" priority="11065" operator="containsText" text="프로젝트">
      <formula>NOT(ISERROR(SEARCH(("프로젝트"),(J69))))</formula>
    </cfRule>
    <cfRule type="containsText" dxfId="3676" priority="11066" operator="containsText" text="정규교과">
      <formula>NOT(ISERROR(SEARCH(("정규교과"),(J69))))</formula>
    </cfRule>
    <cfRule type="containsText" dxfId="3675" priority="11067" operator="containsText" text="기타">
      <formula>NOT(ISERROR(SEARCH(("기타"),(J69))))</formula>
    </cfRule>
    <cfRule type="containsText" dxfId="3674" priority="11068" operator="containsText" text="프로젝트">
      <formula>NOT(ISERROR(SEARCH(("프로젝트"),(J69))))</formula>
    </cfRule>
    <cfRule type="containsText" dxfId="3673" priority="11069" operator="containsText" text="정규교과">
      <formula>NOT(ISERROR(SEARCH(("정규교과"),(J69))))</formula>
    </cfRule>
    <cfRule type="containsText" dxfId="3672" priority="11070" operator="containsText" text="기타">
      <formula>NOT(ISERROR(SEARCH(("기타"),(J69))))</formula>
    </cfRule>
    <cfRule type="containsText" dxfId="3671" priority="11071" operator="containsText" text="프로젝트">
      <formula>NOT(ISERROR(SEARCH(("프로젝트"),(J69))))</formula>
    </cfRule>
    <cfRule type="containsText" dxfId="3670" priority="11072" operator="containsText" text="정규교과">
      <formula>NOT(ISERROR(SEARCH(("정규교과"),(J69))))</formula>
    </cfRule>
    <cfRule type="containsText" dxfId="3669" priority="11073" operator="containsText" text="기타">
      <formula>NOT(ISERROR(SEARCH(("기타"),(J69))))</formula>
    </cfRule>
    <cfRule type="containsText" dxfId="3668" priority="11074" operator="containsText" text="프로젝트">
      <formula>NOT(ISERROR(SEARCH(("프로젝트"),(J69))))</formula>
    </cfRule>
    <cfRule type="containsText" dxfId="3667" priority="11075" operator="containsText" text="정규교과">
      <formula>NOT(ISERROR(SEARCH(("정규교과"),(J69))))</formula>
    </cfRule>
    <cfRule type="containsText" dxfId="3666" priority="11076" operator="containsText" text="기타">
      <formula>NOT(ISERROR(SEARCH(("기타"),(J69))))</formula>
    </cfRule>
    <cfRule type="containsText" dxfId="3665" priority="11077" operator="containsText" text="프로젝트">
      <formula>NOT(ISERROR(SEARCH(("프로젝트"),(J69))))</formula>
    </cfRule>
    <cfRule type="containsText" dxfId="3664" priority="11078" operator="containsText" text="정규교과">
      <formula>NOT(ISERROR(SEARCH(("정규교과"),(J69))))</formula>
    </cfRule>
    <cfRule type="containsText" dxfId="3663" priority="11079" operator="containsText" text="기타">
      <formula>NOT(ISERROR(SEARCH(("기타"),(J69))))</formula>
    </cfRule>
    <cfRule type="containsText" dxfId="3662" priority="11080" operator="containsText" text="프로젝트">
      <formula>NOT(ISERROR(SEARCH(("프로젝트"),(J69))))</formula>
    </cfRule>
    <cfRule type="containsText" dxfId="3661" priority="11081" operator="containsText" text="정규교과">
      <formula>NOT(ISERROR(SEARCH(("정규교과"),(J69))))</formula>
    </cfRule>
    <cfRule type="containsText" dxfId="3660" priority="11082" operator="containsText" text="기타">
      <formula>NOT(ISERROR(SEARCH(("기타"),(J69))))</formula>
    </cfRule>
    <cfRule type="containsText" dxfId="3659" priority="11083" operator="containsText" text="프로젝트">
      <formula>NOT(ISERROR(SEARCH(("프로젝트"),(J69))))</formula>
    </cfRule>
    <cfRule type="containsText" dxfId="3658" priority="11084" operator="containsText" text="정규교과">
      <formula>NOT(ISERROR(SEARCH(("정규교과"),(J69))))</formula>
    </cfRule>
    <cfRule type="containsText" dxfId="3657" priority="11085" operator="containsText" text="기타">
      <formula>NOT(ISERROR(SEARCH(("기타"),(J69))))</formula>
    </cfRule>
    <cfRule type="containsText" dxfId="3656" priority="11086" operator="containsText" text="프로젝트">
      <formula>NOT(ISERROR(SEARCH(("프로젝트"),(J69))))</formula>
    </cfRule>
    <cfRule type="containsText" dxfId="3655" priority="11087" operator="containsText" text="정규교과">
      <formula>NOT(ISERROR(SEARCH(("정규교과"),(J69))))</formula>
    </cfRule>
    <cfRule type="containsText" dxfId="3654" priority="11088" operator="containsText" text="기타">
      <formula>NOT(ISERROR(SEARCH(("기타"),(J69))))</formula>
    </cfRule>
    <cfRule type="containsText" dxfId="3653" priority="11090" operator="containsText" text="정규교과">
      <formula>NOT(ISERROR(SEARCH(("정규교과"),(J69))))</formula>
    </cfRule>
    <cfRule type="containsText" dxfId="3652" priority="11091" operator="containsText" text="기타">
      <formula>NOT(ISERROR(SEARCH(("기타"),(J69))))</formula>
    </cfRule>
    <cfRule type="containsText" dxfId="3651" priority="11045" operator="containsText" text="정규교과">
      <formula>NOT(ISERROR(SEARCH(("정규교과"),(J69))))</formula>
    </cfRule>
    <cfRule type="containsText" dxfId="3650" priority="11027" operator="containsText" text="정규교과">
      <formula>NOT(ISERROR(SEARCH(("정규교과"),(J69))))</formula>
    </cfRule>
    <cfRule type="containsText" dxfId="3649" priority="11028" operator="containsText" text="기타">
      <formula>NOT(ISERROR(SEARCH(("기타"),(J69))))</formula>
    </cfRule>
    <cfRule type="containsText" dxfId="3648" priority="11029" operator="containsText" text="프로젝트">
      <formula>NOT(ISERROR(SEARCH(("프로젝트"),(J69))))</formula>
    </cfRule>
    <cfRule type="containsText" dxfId="3647" priority="11030" operator="containsText" text="정규교과">
      <formula>NOT(ISERROR(SEARCH(("정규교과"),(J69))))</formula>
    </cfRule>
    <cfRule type="containsText" dxfId="3646" priority="11031" operator="containsText" text="기타">
      <formula>NOT(ISERROR(SEARCH(("기타"),(J69))))</formula>
    </cfRule>
    <cfRule type="containsText" dxfId="3645" priority="11032" operator="containsText" text="프로젝트">
      <formula>NOT(ISERROR(SEARCH(("프로젝트"),(J69))))</formula>
    </cfRule>
  </conditionalFormatting>
  <conditionalFormatting sqref="J110">
    <cfRule type="containsText" dxfId="3644" priority="8025" operator="containsText" text="정규교과">
      <formula>NOT(ISERROR(SEARCH(("정규교과"),(J110))))</formula>
    </cfRule>
    <cfRule type="containsText" dxfId="3643" priority="8031" operator="containsText" text="정규교과">
      <formula>NOT(ISERROR(SEARCH(("정규교과"),(J110))))</formula>
    </cfRule>
    <cfRule type="containsText" dxfId="3642" priority="8024" operator="containsText" text="프로젝트">
      <formula>NOT(ISERROR(SEARCH(("프로젝트"),(J110))))</formula>
    </cfRule>
    <cfRule type="containsText" dxfId="3641" priority="8033" operator="containsText" text="프로젝트">
      <formula>NOT(ISERROR(SEARCH(("프로젝트"),(J110))))</formula>
    </cfRule>
    <cfRule type="containsText" dxfId="3640" priority="8030" operator="containsText" text="프로젝트">
      <formula>NOT(ISERROR(SEARCH(("프로젝트"),(J110))))</formula>
    </cfRule>
    <cfRule type="containsText" dxfId="3639" priority="8023" operator="containsText" text="기타">
      <formula>NOT(ISERROR(SEARCH(("기타"),(J110))))</formula>
    </cfRule>
    <cfRule type="containsText" dxfId="3638" priority="8022" operator="containsText" text="정규교과">
      <formula>NOT(ISERROR(SEARCH(("정규교과"),(J110))))</formula>
    </cfRule>
    <cfRule type="containsText" dxfId="3637" priority="8029" operator="containsText" text="기타">
      <formula>NOT(ISERROR(SEARCH(("기타"),(J110))))</formula>
    </cfRule>
    <cfRule type="containsText" dxfId="3636" priority="8027" operator="containsText" text="프로젝트">
      <formula>NOT(ISERROR(SEARCH(("프로젝트"),(J110))))</formula>
    </cfRule>
    <cfRule type="containsText" dxfId="3635" priority="8028" operator="containsText" text="정규교과">
      <formula>NOT(ISERROR(SEARCH(("정규교과"),(J110))))</formula>
    </cfRule>
    <cfRule type="containsText" dxfId="3634" priority="8026" operator="containsText" text="기타">
      <formula>NOT(ISERROR(SEARCH(("기타"),(J110))))</formula>
    </cfRule>
    <cfRule type="containsText" dxfId="3633" priority="8032" operator="containsText" text="기타">
      <formula>NOT(ISERROR(SEARCH(("기타"),(J110))))</formula>
    </cfRule>
    <cfRule type="containsText" dxfId="3632" priority="8034" operator="containsText" text="정규교과">
      <formula>NOT(ISERROR(SEARCH(("정규교과"),(J110))))</formula>
    </cfRule>
    <cfRule type="containsText" dxfId="3631" priority="8035" operator="containsText" text="기타">
      <formula>NOT(ISERROR(SEARCH(("기타"),(J110))))</formula>
    </cfRule>
    <cfRule type="containsText" dxfId="3630" priority="8020" operator="containsText" text="휴강">
      <formula>NOT(ISERROR(SEARCH(("휴강"),(J110))))</formula>
    </cfRule>
    <cfRule type="containsText" dxfId="3629" priority="8021" operator="containsText" text="프로젝트">
      <formula>NOT(ISERROR(SEARCH(("프로젝트"),(J110))))</formula>
    </cfRule>
  </conditionalFormatting>
  <conditionalFormatting sqref="J114">
    <cfRule type="containsText" dxfId="3628" priority="7996" operator="containsText" text="정규교과">
      <formula>NOT(ISERROR(SEARCH(("정규교과"),(J114))))</formula>
    </cfRule>
    <cfRule type="containsText" dxfId="3627" priority="7994" operator="containsText" text="기타">
      <formula>NOT(ISERROR(SEARCH(("기타"),(J114))))</formula>
    </cfRule>
    <cfRule type="containsText" dxfId="3626" priority="7993" operator="containsText" text="정규교과">
      <formula>NOT(ISERROR(SEARCH(("정규교과"),(J114))))</formula>
    </cfRule>
    <cfRule type="containsText" dxfId="3625" priority="7992" operator="containsText" text="프로젝트">
      <formula>NOT(ISERROR(SEARCH(("프로젝트"),(J114))))</formula>
    </cfRule>
    <cfRule type="containsText" dxfId="3624" priority="7991" operator="containsText" text="기타">
      <formula>NOT(ISERROR(SEARCH(("기타"),(J114))))</formula>
    </cfRule>
    <cfRule type="containsText" dxfId="3623" priority="7990" operator="containsText" text="정규교과">
      <formula>NOT(ISERROR(SEARCH(("정규교과"),(J114))))</formula>
    </cfRule>
    <cfRule type="containsText" dxfId="3622" priority="7988" operator="containsText" text="휴강">
      <formula>NOT(ISERROR(SEARCH(("휴강"),(J114))))</formula>
    </cfRule>
    <cfRule type="containsText" dxfId="3621" priority="8001" operator="containsText" text="프로젝트">
      <formula>NOT(ISERROR(SEARCH(("프로젝트"),(J114))))</formula>
    </cfRule>
    <cfRule type="containsText" dxfId="3620" priority="7989" operator="containsText" text="프로젝트">
      <formula>NOT(ISERROR(SEARCH(("프로젝트"),(J114))))</formula>
    </cfRule>
    <cfRule type="containsText" dxfId="3619" priority="8002" operator="containsText" text="정규교과">
      <formula>NOT(ISERROR(SEARCH(("정규교과"),(J114))))</formula>
    </cfRule>
    <cfRule type="containsText" dxfId="3618" priority="7995" operator="containsText" text="프로젝트">
      <formula>NOT(ISERROR(SEARCH(("프로젝트"),(J114))))</formula>
    </cfRule>
    <cfRule type="containsText" dxfId="3617" priority="8000" operator="containsText" text="기타">
      <formula>NOT(ISERROR(SEARCH(("기타"),(J114))))</formula>
    </cfRule>
    <cfRule type="containsText" dxfId="3616" priority="7999" operator="containsText" text="정규교과">
      <formula>NOT(ISERROR(SEARCH(("정규교과"),(J114))))</formula>
    </cfRule>
    <cfRule type="containsText" dxfId="3615" priority="8003" operator="containsText" text="기타">
      <formula>NOT(ISERROR(SEARCH(("기타"),(J114))))</formula>
    </cfRule>
    <cfRule type="containsText" dxfId="3614" priority="7998" operator="containsText" text="프로젝트">
      <formula>NOT(ISERROR(SEARCH(("프로젝트"),(J114))))</formula>
    </cfRule>
    <cfRule type="containsText" dxfId="3613" priority="7997" operator="containsText" text="기타">
      <formula>NOT(ISERROR(SEARCH(("기타"),(J114))))</formula>
    </cfRule>
  </conditionalFormatting>
  <conditionalFormatting sqref="J118">
    <cfRule type="containsText" dxfId="3612" priority="7962" operator="containsText" text="기타">
      <formula>NOT(ISERROR(SEARCH(("기타"),(J118))))</formula>
    </cfRule>
    <cfRule type="containsText" dxfId="3611" priority="7968" operator="containsText" text="기타">
      <formula>NOT(ISERROR(SEARCH(("기타"),(J118))))</formula>
    </cfRule>
    <cfRule type="containsText" dxfId="3610" priority="7970" operator="containsText" text="정규교과">
      <formula>NOT(ISERROR(SEARCH(("정규교과"),(J118))))</formula>
    </cfRule>
    <cfRule type="containsText" dxfId="3609" priority="7971" operator="containsText" text="기타">
      <formula>NOT(ISERROR(SEARCH(("기타"),(J118))))</formula>
    </cfRule>
    <cfRule type="containsText" dxfId="3608" priority="7957" operator="containsText" text="프로젝트">
      <formula>NOT(ISERROR(SEARCH(("프로젝트"),(J118))))</formula>
    </cfRule>
    <cfRule type="containsText" dxfId="3607" priority="7956" operator="containsText" text="휴강">
      <formula>NOT(ISERROR(SEARCH(("휴강"),(J118))))</formula>
    </cfRule>
    <cfRule type="containsText" dxfId="3606" priority="7960" operator="containsText" text="프로젝트">
      <formula>NOT(ISERROR(SEARCH(("프로젝트"),(J118))))</formula>
    </cfRule>
    <cfRule type="containsText" dxfId="3605" priority="7969" operator="containsText" text="프로젝트">
      <formula>NOT(ISERROR(SEARCH(("프로젝트"),(J118))))</formula>
    </cfRule>
    <cfRule type="containsText" dxfId="3604" priority="7963" operator="containsText" text="프로젝트">
      <formula>NOT(ISERROR(SEARCH(("프로젝트"),(J118))))</formula>
    </cfRule>
    <cfRule type="containsText" dxfId="3603" priority="7967" operator="containsText" text="정규교과">
      <formula>NOT(ISERROR(SEARCH(("정규교과"),(J118))))</formula>
    </cfRule>
    <cfRule type="containsText" dxfId="3602" priority="7959" operator="containsText" text="기타">
      <formula>NOT(ISERROR(SEARCH(("기타"),(J118))))</formula>
    </cfRule>
    <cfRule type="containsText" dxfId="3601" priority="7964" operator="containsText" text="정규교과">
      <formula>NOT(ISERROR(SEARCH(("정규교과"),(J118))))</formula>
    </cfRule>
    <cfRule type="containsText" dxfId="3600" priority="7965" operator="containsText" text="기타">
      <formula>NOT(ISERROR(SEARCH(("기타"),(J118))))</formula>
    </cfRule>
    <cfRule type="containsText" dxfId="3599" priority="7961" operator="containsText" text="정규교과">
      <formula>NOT(ISERROR(SEARCH(("정규교과"),(J118))))</formula>
    </cfRule>
    <cfRule type="containsText" dxfId="3598" priority="7966" operator="containsText" text="프로젝트">
      <formula>NOT(ISERROR(SEARCH(("프로젝트"),(J118))))</formula>
    </cfRule>
    <cfRule type="containsText" dxfId="3597" priority="7958" operator="containsText" text="정규교과">
      <formula>NOT(ISERROR(SEARCH(("정규교과"),(J118))))</formula>
    </cfRule>
  </conditionalFormatting>
  <conditionalFormatting sqref="J127">
    <cfRule type="containsText" dxfId="3596" priority="8206" operator="containsText" text="프로젝트">
      <formula>NOT(ISERROR(SEARCH(("프로젝트"),(J127))))</formula>
    </cfRule>
    <cfRule type="containsText" dxfId="3595" priority="8211" operator="containsText" text="기타">
      <formula>NOT(ISERROR(SEARCH(("기타"),(J127))))</formula>
    </cfRule>
    <cfRule type="containsText" dxfId="3594" priority="8210" operator="containsText" text="정규교과">
      <formula>NOT(ISERROR(SEARCH(("정규교과"),(J127))))</formula>
    </cfRule>
    <cfRule type="containsText" dxfId="3593" priority="8209" operator="containsText" text="프로젝트">
      <formula>NOT(ISERROR(SEARCH(("프로젝트"),(J127))))</formula>
    </cfRule>
    <cfRule type="containsText" dxfId="3592" priority="8208" operator="containsText" text="기타">
      <formula>NOT(ISERROR(SEARCH(("기타"),(J127))))</formula>
    </cfRule>
    <cfRule type="containsText" dxfId="3591" priority="8207" operator="containsText" text="정규교과">
      <formula>NOT(ISERROR(SEARCH(("정규교과"),(J127))))</formula>
    </cfRule>
    <cfRule type="containsText" dxfId="3590" priority="8205" operator="containsText" text="기타">
      <formula>NOT(ISERROR(SEARCH(("기타"),(J127))))</formula>
    </cfRule>
    <cfRule type="containsText" dxfId="3589" priority="8204" operator="containsText" text="정규교과">
      <formula>NOT(ISERROR(SEARCH(("정규교과"),(J127))))</formula>
    </cfRule>
    <cfRule type="containsText" dxfId="3588" priority="8203" operator="containsText" text="프로젝트">
      <formula>NOT(ISERROR(SEARCH(("프로젝트"),(J127))))</formula>
    </cfRule>
    <cfRule type="containsText" dxfId="3587" priority="8202" operator="containsText" text="기타">
      <formula>NOT(ISERROR(SEARCH(("기타"),(J127))))</formula>
    </cfRule>
    <cfRule type="containsText" dxfId="3586" priority="8201" operator="containsText" text="정규교과">
      <formula>NOT(ISERROR(SEARCH(("정규교과"),(J127))))</formula>
    </cfRule>
    <cfRule type="containsText" dxfId="3585" priority="8200" operator="containsText" text="프로젝트">
      <formula>NOT(ISERROR(SEARCH(("프로젝트"),(J127))))</formula>
    </cfRule>
    <cfRule type="containsText" dxfId="3584" priority="8199" operator="containsText" text="기타">
      <formula>NOT(ISERROR(SEARCH(("기타"),(J127))))</formula>
    </cfRule>
    <cfRule type="containsText" dxfId="3583" priority="8198" operator="containsText" text="정규교과">
      <formula>NOT(ISERROR(SEARCH(("정규교과"),(J127))))</formula>
    </cfRule>
    <cfRule type="containsText" dxfId="3582" priority="8197" operator="containsText" text="프로젝트">
      <formula>NOT(ISERROR(SEARCH(("프로젝트"),(J127))))</formula>
    </cfRule>
    <cfRule type="containsText" dxfId="3581" priority="8196" operator="containsText" text="휴강">
      <formula>NOT(ISERROR(SEARCH(("휴강"),(J127))))</formula>
    </cfRule>
  </conditionalFormatting>
  <conditionalFormatting sqref="J131">
    <cfRule type="containsText" dxfId="3580" priority="8177" operator="containsText" text="프로젝트">
      <formula>NOT(ISERROR(SEARCH(("프로젝트"),(J131))))</formula>
    </cfRule>
    <cfRule type="containsText" dxfId="3579" priority="8176" operator="containsText" text="기타">
      <formula>NOT(ISERROR(SEARCH(("기타"),(J131))))</formula>
    </cfRule>
    <cfRule type="containsText" dxfId="3578" priority="8175" operator="containsText" text="정규교과">
      <formula>NOT(ISERROR(SEARCH(("정규교과"),(J131))))</formula>
    </cfRule>
    <cfRule type="containsText" dxfId="3577" priority="8174" operator="containsText" text="프로젝트">
      <formula>NOT(ISERROR(SEARCH(("프로젝트"),(J131))))</formula>
    </cfRule>
    <cfRule type="containsText" dxfId="3576" priority="8173" operator="containsText" text="기타">
      <formula>NOT(ISERROR(SEARCH(("기타"),(J131))))</formula>
    </cfRule>
    <cfRule type="containsText" dxfId="3575" priority="8171" operator="containsText" text="프로젝트">
      <formula>NOT(ISERROR(SEARCH(("프로젝트"),(J131))))</formula>
    </cfRule>
    <cfRule type="containsText" dxfId="3574" priority="8170" operator="containsText" text="기타">
      <formula>NOT(ISERROR(SEARCH(("기타"),(J131))))</formula>
    </cfRule>
    <cfRule type="containsText" dxfId="3573" priority="8169" operator="containsText" text="정규교과">
      <formula>NOT(ISERROR(SEARCH(("정규교과"),(J131))))</formula>
    </cfRule>
    <cfRule type="containsText" dxfId="3572" priority="8172" operator="containsText" text="정규교과">
      <formula>NOT(ISERROR(SEARCH(("정규교과"),(J131))))</formula>
    </cfRule>
    <cfRule type="containsText" dxfId="3571" priority="8164" operator="containsText" text="휴강">
      <formula>NOT(ISERROR(SEARCH(("휴강"),(J131))))</formula>
    </cfRule>
    <cfRule type="containsText" dxfId="3570" priority="8168" operator="containsText" text="프로젝트">
      <formula>NOT(ISERROR(SEARCH(("프로젝트"),(J131))))</formula>
    </cfRule>
    <cfRule type="containsText" dxfId="3569" priority="8178" operator="containsText" text="정규교과">
      <formula>NOT(ISERROR(SEARCH(("정규교과"),(J131))))</formula>
    </cfRule>
    <cfRule type="containsText" dxfId="3568" priority="8165" operator="containsText" text="프로젝트">
      <formula>NOT(ISERROR(SEARCH(("프로젝트"),(J131))))</formula>
    </cfRule>
    <cfRule type="containsText" dxfId="3567" priority="8167" operator="containsText" text="기타">
      <formula>NOT(ISERROR(SEARCH(("기타"),(J131))))</formula>
    </cfRule>
    <cfRule type="containsText" dxfId="3566" priority="8166" operator="containsText" text="정규교과">
      <formula>NOT(ISERROR(SEARCH(("정규교과"),(J131))))</formula>
    </cfRule>
    <cfRule type="containsText" dxfId="3565" priority="8179" operator="containsText" text="기타">
      <formula>NOT(ISERROR(SEARCH(("기타"),(J131))))</formula>
    </cfRule>
  </conditionalFormatting>
  <conditionalFormatting sqref="J135">
    <cfRule type="containsText" dxfId="3564" priority="8137" operator="containsText" text="정규교과">
      <formula>NOT(ISERROR(SEARCH(("정규교과"),(J135))))</formula>
    </cfRule>
    <cfRule type="containsText" dxfId="3563" priority="8144" operator="containsText" text="기타">
      <formula>NOT(ISERROR(SEARCH(("기타"),(J135))))</formula>
    </cfRule>
    <cfRule type="containsText" dxfId="3562" priority="8143" operator="containsText" text="정규교과">
      <formula>NOT(ISERROR(SEARCH(("정규교과"),(J135))))</formula>
    </cfRule>
    <cfRule type="containsText" dxfId="3561" priority="8142" operator="containsText" text="프로젝트">
      <formula>NOT(ISERROR(SEARCH(("프로젝트"),(J135))))</formula>
    </cfRule>
    <cfRule type="containsText" dxfId="3560" priority="8141" operator="containsText" text="기타">
      <formula>NOT(ISERROR(SEARCH(("기타"),(J135))))</formula>
    </cfRule>
    <cfRule type="containsText" dxfId="3559" priority="8140" operator="containsText" text="정규교과">
      <formula>NOT(ISERROR(SEARCH(("정규교과"),(J135))))</formula>
    </cfRule>
    <cfRule type="containsText" dxfId="3558" priority="8139" operator="containsText" text="프로젝트">
      <formula>NOT(ISERROR(SEARCH(("프로젝트"),(J135))))</formula>
    </cfRule>
    <cfRule type="containsText" dxfId="3557" priority="8138" operator="containsText" text="기타">
      <formula>NOT(ISERROR(SEARCH(("기타"),(J135))))</formula>
    </cfRule>
    <cfRule type="containsText" dxfId="3556" priority="8136" operator="containsText" text="프로젝트">
      <formula>NOT(ISERROR(SEARCH(("프로젝트"),(J135))))</formula>
    </cfRule>
    <cfRule type="containsText" dxfId="3555" priority="8135" operator="containsText" text="기타">
      <formula>NOT(ISERROR(SEARCH(("기타"),(J135))))</formula>
    </cfRule>
    <cfRule type="containsText" dxfId="3554" priority="8134" operator="containsText" text="정규교과">
      <formula>NOT(ISERROR(SEARCH(("정규교과"),(J135))))</formula>
    </cfRule>
    <cfRule type="containsText" dxfId="3553" priority="8133" operator="containsText" text="프로젝트">
      <formula>NOT(ISERROR(SEARCH(("프로젝트"),(J135))))</formula>
    </cfRule>
    <cfRule type="containsText" dxfId="3552" priority="8132" operator="containsText" text="휴강">
      <formula>NOT(ISERROR(SEARCH(("휴강"),(J135))))</formula>
    </cfRule>
    <cfRule type="containsText" dxfId="3551" priority="8145" operator="containsText" text="프로젝트">
      <formula>NOT(ISERROR(SEARCH(("프로젝트"),(J135))))</formula>
    </cfRule>
    <cfRule type="containsText" dxfId="3550" priority="8147" operator="containsText" text="기타">
      <formula>NOT(ISERROR(SEARCH(("기타"),(J135))))</formula>
    </cfRule>
    <cfRule type="containsText" dxfId="3549" priority="8146" operator="containsText" text="정규교과">
      <formula>NOT(ISERROR(SEARCH(("정규교과"),(J135))))</formula>
    </cfRule>
  </conditionalFormatting>
  <conditionalFormatting sqref="J139">
    <cfRule type="containsText" dxfId="3548" priority="8109" operator="containsText" text="기타">
      <formula>NOT(ISERROR(SEARCH(("기타"),(J139))))</formula>
    </cfRule>
    <cfRule type="containsText" dxfId="3547" priority="8113" operator="containsText" text="프로젝트">
      <formula>NOT(ISERROR(SEARCH(("프로젝트"),(J139))))</formula>
    </cfRule>
    <cfRule type="containsText" dxfId="3546" priority="8112" operator="containsText" text="기타">
      <formula>NOT(ISERROR(SEARCH(("기타"),(J139))))</formula>
    </cfRule>
    <cfRule type="containsText" dxfId="3545" priority="8111" operator="containsText" text="정규교과">
      <formula>NOT(ISERROR(SEARCH(("정규교과"),(J139))))</formula>
    </cfRule>
    <cfRule type="containsText" dxfId="3544" priority="8110" operator="containsText" text="프로젝트">
      <formula>NOT(ISERROR(SEARCH(("프로젝트"),(J139))))</formula>
    </cfRule>
    <cfRule type="containsText" dxfId="3543" priority="8108" operator="containsText" text="정규교과">
      <formula>NOT(ISERROR(SEARCH(("정규교과"),(J139))))</formula>
    </cfRule>
    <cfRule type="containsText" dxfId="3542" priority="8107" operator="containsText" text="프로젝트">
      <formula>NOT(ISERROR(SEARCH(("프로젝트"),(J139))))</formula>
    </cfRule>
    <cfRule type="containsText" dxfId="3541" priority="8106" operator="containsText" text="기타">
      <formula>NOT(ISERROR(SEARCH(("기타"),(J139))))</formula>
    </cfRule>
    <cfRule type="containsText" dxfId="3540" priority="8104" operator="containsText" text="프로젝트">
      <formula>NOT(ISERROR(SEARCH(("프로젝트"),(J139))))</formula>
    </cfRule>
    <cfRule type="containsText" dxfId="3539" priority="8103" operator="containsText" text="기타">
      <formula>NOT(ISERROR(SEARCH(("기타"),(J139))))</formula>
    </cfRule>
    <cfRule type="containsText" dxfId="3538" priority="8101" operator="containsText" text="프로젝트">
      <formula>NOT(ISERROR(SEARCH(("프로젝트"),(J139))))</formula>
    </cfRule>
    <cfRule type="containsText" dxfId="3537" priority="8115" operator="containsText" text="기타">
      <formula>NOT(ISERROR(SEARCH(("기타"),(J139))))</formula>
    </cfRule>
    <cfRule type="containsText" dxfId="3536" priority="8114" operator="containsText" text="정규교과">
      <formula>NOT(ISERROR(SEARCH(("정규교과"),(J139))))</formula>
    </cfRule>
    <cfRule type="containsText" dxfId="3535" priority="8100" operator="containsText" text="휴강">
      <formula>NOT(ISERROR(SEARCH(("휴강"),(J139))))</formula>
    </cfRule>
    <cfRule type="containsText" dxfId="3534" priority="8102" operator="containsText" text="정규교과">
      <formula>NOT(ISERROR(SEARCH(("정규교과"),(J139))))</formula>
    </cfRule>
    <cfRule type="containsText" dxfId="3533" priority="8105" operator="containsText" text="정규교과">
      <formula>NOT(ISERROR(SEARCH(("정규교과"),(J139))))</formula>
    </cfRule>
  </conditionalFormatting>
  <conditionalFormatting sqref="J184">
    <cfRule type="containsText" dxfId="3532" priority="5325" operator="containsText" text="프로젝트">
      <formula>NOT(ISERROR(SEARCH(("프로젝트"),(J184))))</formula>
    </cfRule>
    <cfRule type="containsText" dxfId="3531" priority="5326" operator="containsText" text="정규교과">
      <formula>NOT(ISERROR(SEARCH(("정규교과"),(J184))))</formula>
    </cfRule>
    <cfRule type="containsText" dxfId="3530" priority="5327" operator="containsText" text="기타">
      <formula>NOT(ISERROR(SEARCH(("기타"),(J184))))</formula>
    </cfRule>
    <cfRule type="containsText" dxfId="3529" priority="5318" operator="containsText" text="기타">
      <formula>NOT(ISERROR(SEARCH(("기타"),(J184))))</formula>
    </cfRule>
    <cfRule type="containsText" dxfId="3528" priority="5319" operator="containsText" text="프로젝트">
      <formula>NOT(ISERROR(SEARCH(("프로젝트"),(J184))))</formula>
    </cfRule>
    <cfRule type="containsText" dxfId="3527" priority="5317" operator="containsText" text="정규교과">
      <formula>NOT(ISERROR(SEARCH(("정규교과"),(J184))))</formula>
    </cfRule>
    <cfRule type="containsText" dxfId="3526" priority="5312" operator="containsText" text="휴강">
      <formula>NOT(ISERROR(SEARCH(("휴강"),(J184))))</formula>
    </cfRule>
    <cfRule type="containsText" dxfId="3525" priority="5320" operator="containsText" text="정규교과">
      <formula>NOT(ISERROR(SEARCH(("정규교과"),(J184))))</formula>
    </cfRule>
    <cfRule type="containsText" dxfId="3524" priority="5314" operator="containsText" text="정규교과">
      <formula>NOT(ISERROR(SEARCH(("정규교과"),(J184))))</formula>
    </cfRule>
    <cfRule type="containsText" dxfId="3523" priority="5315" operator="containsText" text="기타">
      <formula>NOT(ISERROR(SEARCH(("기타"),(J184))))</formula>
    </cfRule>
    <cfRule type="containsText" dxfId="3522" priority="5316" operator="containsText" text="프로젝트">
      <formula>NOT(ISERROR(SEARCH(("프로젝트"),(J184))))</formula>
    </cfRule>
    <cfRule type="containsText" dxfId="3521" priority="5321" operator="containsText" text="기타">
      <formula>NOT(ISERROR(SEARCH(("기타"),(J184))))</formula>
    </cfRule>
    <cfRule type="containsText" dxfId="3520" priority="5322" operator="containsText" text="프로젝트">
      <formula>NOT(ISERROR(SEARCH(("프로젝트"),(J184))))</formula>
    </cfRule>
    <cfRule type="containsText" dxfId="3519" priority="5323" operator="containsText" text="정규교과">
      <formula>NOT(ISERROR(SEARCH(("정규교과"),(J184))))</formula>
    </cfRule>
    <cfRule type="containsText" dxfId="3518" priority="5324" operator="containsText" text="기타">
      <formula>NOT(ISERROR(SEARCH(("기타"),(J184))))</formula>
    </cfRule>
    <cfRule type="containsText" dxfId="3517" priority="5313" operator="containsText" text="프로젝트">
      <formula>NOT(ISERROR(SEARCH(("프로젝트"),(J184))))</formula>
    </cfRule>
  </conditionalFormatting>
  <conditionalFormatting sqref="J188">
    <cfRule type="containsText" dxfId="3516" priority="5206" operator="containsText" text="기타">
      <formula>NOT(ISERROR(SEARCH(("기타"),(J188))))</formula>
    </cfRule>
    <cfRule type="containsText" dxfId="3515" priority="5209" operator="containsText" text="기타">
      <formula>NOT(ISERROR(SEARCH(("기타"),(J188))))</formula>
    </cfRule>
    <cfRule type="containsText" dxfId="3514" priority="5208" operator="containsText" text="정규교과">
      <formula>NOT(ISERROR(SEARCH(("정규교과"),(J188))))</formula>
    </cfRule>
    <cfRule type="containsText" dxfId="3513" priority="5207" operator="containsText" text="프로젝트">
      <formula>NOT(ISERROR(SEARCH(("프로젝트"),(J188))))</formula>
    </cfRule>
    <cfRule type="containsText" dxfId="3512" priority="5200" operator="containsText" text="휴강">
      <formula>NOT(ISERROR(SEARCH(("휴강"),(J188))))</formula>
    </cfRule>
    <cfRule type="containsText" dxfId="3511" priority="5201" operator="containsText" text="프로젝트">
      <formula>NOT(ISERROR(SEARCH(("프로젝트"),(J188))))</formula>
    </cfRule>
    <cfRule type="containsText" dxfId="3510" priority="5202" operator="containsText" text="정규교과">
      <formula>NOT(ISERROR(SEARCH(("정규교과"),(J188))))</formula>
    </cfRule>
    <cfRule type="containsText" dxfId="3509" priority="5203" operator="containsText" text="기타">
      <formula>NOT(ISERROR(SEARCH(("기타"),(J188))))</formula>
    </cfRule>
    <cfRule type="containsText" dxfId="3508" priority="5204" operator="containsText" text="프로젝트">
      <formula>NOT(ISERROR(SEARCH(("프로젝트"),(J188))))</formula>
    </cfRule>
    <cfRule type="containsText" dxfId="3507" priority="5215" operator="containsText" text="기타">
      <formula>NOT(ISERROR(SEARCH(("기타"),(J188))))</formula>
    </cfRule>
    <cfRule type="containsText" dxfId="3506" priority="5205" operator="containsText" text="정규교과">
      <formula>NOT(ISERROR(SEARCH(("정규교과"),(J188))))</formula>
    </cfRule>
    <cfRule type="containsText" dxfId="3505" priority="5214" operator="containsText" text="정규교과">
      <formula>NOT(ISERROR(SEARCH(("정규교과"),(J188))))</formula>
    </cfRule>
    <cfRule type="containsText" dxfId="3504" priority="5213" operator="containsText" text="프로젝트">
      <formula>NOT(ISERROR(SEARCH(("프로젝트"),(J188))))</formula>
    </cfRule>
    <cfRule type="containsText" dxfId="3503" priority="5212" operator="containsText" text="기타">
      <formula>NOT(ISERROR(SEARCH(("기타"),(J188))))</formula>
    </cfRule>
    <cfRule type="containsText" dxfId="3502" priority="5211" operator="containsText" text="정규교과">
      <formula>NOT(ISERROR(SEARCH(("정규교과"),(J188))))</formula>
    </cfRule>
    <cfRule type="containsText" dxfId="3501" priority="5210" operator="containsText" text="프로젝트">
      <formula>NOT(ISERROR(SEARCH(("프로젝트"),(J188))))</formula>
    </cfRule>
  </conditionalFormatting>
  <conditionalFormatting sqref="J193">
    <cfRule type="containsText" dxfId="3500" priority="5197" operator="containsText" text="프로젝트">
      <formula>NOT(ISERROR(SEARCH(("프로젝트"),(J193))))</formula>
    </cfRule>
    <cfRule type="containsText" dxfId="3499" priority="5196" operator="containsText" text="기타">
      <formula>NOT(ISERROR(SEARCH(("기타"),(J193))))</formula>
    </cfRule>
    <cfRule type="containsText" dxfId="3498" priority="5195" operator="containsText" text="정규교과">
      <formula>NOT(ISERROR(SEARCH(("정규교과"),(J193))))</formula>
    </cfRule>
    <cfRule type="containsText" dxfId="3497" priority="5194" operator="containsText" text="프로젝트">
      <formula>NOT(ISERROR(SEARCH(("프로젝트"),(J193))))</formula>
    </cfRule>
    <cfRule type="containsText" dxfId="3496" priority="5199" operator="containsText" text="기타">
      <formula>NOT(ISERROR(SEARCH(("기타"),(J193))))</formula>
    </cfRule>
    <cfRule type="containsText" dxfId="3495" priority="5193" operator="containsText" text="기타">
      <formula>NOT(ISERROR(SEARCH(("기타"),(J193))))</formula>
    </cfRule>
    <cfRule type="containsText" dxfId="3494" priority="5192" operator="containsText" text="정규교과">
      <formula>NOT(ISERROR(SEARCH(("정규교과"),(J193))))</formula>
    </cfRule>
    <cfRule type="containsText" dxfId="3493" priority="5191" operator="containsText" text="프로젝트">
      <formula>NOT(ISERROR(SEARCH(("프로젝트"),(J193))))</formula>
    </cfRule>
    <cfRule type="containsText" dxfId="3492" priority="5190" operator="containsText" text="기타">
      <formula>NOT(ISERROR(SEARCH(("기타"),(J193))))</formula>
    </cfRule>
    <cfRule type="containsText" dxfId="3491" priority="5189" operator="containsText" text="정규교과">
      <formula>NOT(ISERROR(SEARCH(("정규교과"),(J193))))</formula>
    </cfRule>
    <cfRule type="containsText" dxfId="3490" priority="5188" operator="containsText" text="프로젝트">
      <formula>NOT(ISERROR(SEARCH(("프로젝트"),(J193))))</formula>
    </cfRule>
    <cfRule type="containsText" dxfId="3489" priority="5185" operator="containsText" text="프로젝트">
      <formula>NOT(ISERROR(SEARCH(("프로젝트"),(J193))))</formula>
    </cfRule>
    <cfRule type="containsText" dxfId="3488" priority="5184" operator="containsText" text="휴강">
      <formula>NOT(ISERROR(SEARCH(("휴강"),(J193))))</formula>
    </cfRule>
    <cfRule type="containsText" dxfId="3487" priority="5187" operator="containsText" text="기타">
      <formula>NOT(ISERROR(SEARCH(("기타"),(J193))))</formula>
    </cfRule>
    <cfRule type="containsText" dxfId="3486" priority="5186" operator="containsText" text="정규교과">
      <formula>NOT(ISERROR(SEARCH(("정규교과"),(J193))))</formula>
    </cfRule>
    <cfRule type="containsText" dxfId="3485" priority="5198" operator="containsText" text="정규교과">
      <formula>NOT(ISERROR(SEARCH(("정규교과"),(J193))))</formula>
    </cfRule>
  </conditionalFormatting>
  <conditionalFormatting sqref="J197">
    <cfRule type="containsText" dxfId="3484" priority="5176" operator="containsText" text="정규교과">
      <formula>NOT(ISERROR(SEARCH(("정규교과"),(J197))))</formula>
    </cfRule>
    <cfRule type="containsText" dxfId="3483" priority="5175" operator="containsText" text="프로젝트">
      <formula>NOT(ISERROR(SEARCH(("프로젝트"),(J197))))</formula>
    </cfRule>
    <cfRule type="containsText" dxfId="3482" priority="5174" operator="containsText" text="기타">
      <formula>NOT(ISERROR(SEARCH(("기타"),(J197))))</formula>
    </cfRule>
    <cfRule type="containsText" dxfId="3481" priority="5173" operator="containsText" text="정규교과">
      <formula>NOT(ISERROR(SEARCH(("정규교과"),(J197))))</formula>
    </cfRule>
    <cfRule type="containsText" dxfId="3480" priority="5172" operator="containsText" text="프로젝트">
      <formula>NOT(ISERROR(SEARCH(("프로젝트"),(J197))))</formula>
    </cfRule>
    <cfRule type="containsText" dxfId="3479" priority="5171" operator="containsText" text="기타">
      <formula>NOT(ISERROR(SEARCH(("기타"),(J197))))</formula>
    </cfRule>
    <cfRule type="containsText" dxfId="3478" priority="5170" operator="containsText" text="정규교과">
      <formula>NOT(ISERROR(SEARCH(("정규교과"),(J197))))</formula>
    </cfRule>
    <cfRule type="containsText" dxfId="3477" priority="5169" operator="containsText" text="프로젝트">
      <formula>NOT(ISERROR(SEARCH(("프로젝트"),(J197))))</formula>
    </cfRule>
    <cfRule type="containsText" dxfId="3476" priority="5168" operator="containsText" text="휴강">
      <formula>NOT(ISERROR(SEARCH(("휴강"),(J197))))</formula>
    </cfRule>
    <cfRule type="containsText" dxfId="3475" priority="5183" operator="containsText" text="기타">
      <formula>NOT(ISERROR(SEARCH(("기타"),(J197))))</formula>
    </cfRule>
    <cfRule type="containsText" dxfId="3474" priority="5182" operator="containsText" text="정규교과">
      <formula>NOT(ISERROR(SEARCH(("정규교과"),(J197))))</formula>
    </cfRule>
    <cfRule type="containsText" dxfId="3473" priority="5181" operator="containsText" text="프로젝트">
      <formula>NOT(ISERROR(SEARCH(("프로젝트"),(J197))))</formula>
    </cfRule>
    <cfRule type="containsText" dxfId="3472" priority="5180" operator="containsText" text="기타">
      <formula>NOT(ISERROR(SEARCH(("기타"),(J197))))</formula>
    </cfRule>
    <cfRule type="containsText" dxfId="3471" priority="5179" operator="containsText" text="정규교과">
      <formula>NOT(ISERROR(SEARCH(("정규교과"),(J197))))</formula>
    </cfRule>
    <cfRule type="containsText" dxfId="3470" priority="5177" operator="containsText" text="기타">
      <formula>NOT(ISERROR(SEARCH(("기타"),(J197))))</formula>
    </cfRule>
    <cfRule type="containsText" dxfId="3469" priority="5178" operator="containsText" text="프로젝트">
      <formula>NOT(ISERROR(SEARCH(("프로젝트"),(J197))))</formula>
    </cfRule>
  </conditionalFormatting>
  <conditionalFormatting sqref="J201">
    <cfRule type="containsText" dxfId="3468" priority="5167" operator="containsText" text="기타">
      <formula>NOT(ISERROR(SEARCH(("기타"),(J201))))</formula>
    </cfRule>
    <cfRule type="containsText" dxfId="3467" priority="5166" operator="containsText" text="정규교과">
      <formula>NOT(ISERROR(SEARCH(("정규교과"),(J201))))</formula>
    </cfRule>
    <cfRule type="containsText" dxfId="3466" priority="5165" operator="containsText" text="프로젝트">
      <formula>NOT(ISERROR(SEARCH(("프로젝트"),(J201))))</formula>
    </cfRule>
    <cfRule type="containsText" dxfId="3465" priority="5164" operator="containsText" text="기타">
      <formula>NOT(ISERROR(SEARCH(("기타"),(J201))))</formula>
    </cfRule>
    <cfRule type="containsText" dxfId="3464" priority="5162" operator="containsText" text="프로젝트">
      <formula>NOT(ISERROR(SEARCH(("프로젝트"),(J201))))</formula>
    </cfRule>
    <cfRule type="containsText" dxfId="3463" priority="5161" operator="containsText" text="기타">
      <formula>NOT(ISERROR(SEARCH(("기타"),(J201))))</formula>
    </cfRule>
    <cfRule type="containsText" dxfId="3462" priority="5160" operator="containsText" text="정규교과">
      <formula>NOT(ISERROR(SEARCH(("정규교과"),(J201))))</formula>
    </cfRule>
    <cfRule type="containsText" dxfId="3461" priority="5159" operator="containsText" text="프로젝트">
      <formula>NOT(ISERROR(SEARCH(("프로젝트"),(J201))))</formula>
    </cfRule>
    <cfRule type="containsText" dxfId="3460" priority="5158" operator="containsText" text="기타">
      <formula>NOT(ISERROR(SEARCH(("기타"),(J201))))</formula>
    </cfRule>
    <cfRule type="containsText" dxfId="3459" priority="5157" operator="containsText" text="정규교과">
      <formula>NOT(ISERROR(SEARCH(("정규교과"),(J201))))</formula>
    </cfRule>
    <cfRule type="containsText" dxfId="3458" priority="5156" operator="containsText" text="프로젝트">
      <formula>NOT(ISERROR(SEARCH(("프로젝트"),(J201))))</formula>
    </cfRule>
    <cfRule type="containsText" dxfId="3457" priority="5155" operator="containsText" text="기타">
      <formula>NOT(ISERROR(SEARCH(("기타"),(J201))))</formula>
    </cfRule>
    <cfRule type="containsText" dxfId="3456" priority="5154" operator="containsText" text="정규교과">
      <formula>NOT(ISERROR(SEARCH(("정규교과"),(J201))))</formula>
    </cfRule>
    <cfRule type="containsText" dxfId="3455" priority="5153" operator="containsText" text="프로젝트">
      <formula>NOT(ISERROR(SEARCH(("프로젝트"),(J201))))</formula>
    </cfRule>
    <cfRule type="containsText" dxfId="3454" priority="5163" operator="containsText" text="정규교과">
      <formula>NOT(ISERROR(SEARCH(("정규교과"),(J201))))</formula>
    </cfRule>
    <cfRule type="containsText" dxfId="3453" priority="5152" operator="containsText" text="휴강">
      <formula>NOT(ISERROR(SEARCH(("휴강"),(J201))))</formula>
    </cfRule>
  </conditionalFormatting>
  <conditionalFormatting sqref="J205">
    <cfRule type="containsText" dxfId="3452" priority="5142" operator="containsText" text="기타">
      <formula>NOT(ISERROR(SEARCH(("기타"),(J205))))</formula>
    </cfRule>
    <cfRule type="containsText" dxfId="3451" priority="5141" operator="containsText" text="정규교과">
      <formula>NOT(ISERROR(SEARCH(("정규교과"),(J205))))</formula>
    </cfRule>
    <cfRule type="containsText" dxfId="3450" priority="5140" operator="containsText" text="프로젝트">
      <formula>NOT(ISERROR(SEARCH(("프로젝트"),(J205))))</formula>
    </cfRule>
    <cfRule type="containsText" dxfId="3449" priority="5136" operator="containsText" text="휴강">
      <formula>NOT(ISERROR(SEARCH(("휴강"),(J205))))</formula>
    </cfRule>
    <cfRule type="containsText" dxfId="3448" priority="5149" operator="containsText" text="프로젝트">
      <formula>NOT(ISERROR(SEARCH(("프로젝트"),(J205))))</formula>
    </cfRule>
    <cfRule type="containsText" dxfId="3447" priority="5151" operator="containsText" text="기타">
      <formula>NOT(ISERROR(SEARCH(("기타"),(J205))))</formula>
    </cfRule>
    <cfRule type="containsText" dxfId="3446" priority="5146" operator="containsText" text="프로젝트">
      <formula>NOT(ISERROR(SEARCH(("프로젝트"),(J205))))</formula>
    </cfRule>
    <cfRule type="containsText" dxfId="3445" priority="5139" operator="containsText" text="기타">
      <formula>NOT(ISERROR(SEARCH(("기타"),(J205))))</formula>
    </cfRule>
    <cfRule type="containsText" dxfId="3444" priority="5150" operator="containsText" text="정규교과">
      <formula>NOT(ISERROR(SEARCH(("정규교과"),(J205))))</formula>
    </cfRule>
    <cfRule type="containsText" dxfId="3443" priority="5143" operator="containsText" text="프로젝트">
      <formula>NOT(ISERROR(SEARCH(("프로젝트"),(J205))))</formula>
    </cfRule>
    <cfRule type="containsText" dxfId="3442" priority="5137" operator="containsText" text="프로젝트">
      <formula>NOT(ISERROR(SEARCH(("프로젝트"),(J205))))</formula>
    </cfRule>
    <cfRule type="containsText" dxfId="3441" priority="5144" operator="containsText" text="정규교과">
      <formula>NOT(ISERROR(SEARCH(("정규교과"),(J205))))</formula>
    </cfRule>
    <cfRule type="containsText" dxfId="3440" priority="5148" operator="containsText" text="기타">
      <formula>NOT(ISERROR(SEARCH(("기타"),(J205))))</formula>
    </cfRule>
    <cfRule type="containsText" dxfId="3439" priority="5147" operator="containsText" text="정규교과">
      <formula>NOT(ISERROR(SEARCH(("정규교과"),(J205))))</formula>
    </cfRule>
    <cfRule type="containsText" dxfId="3438" priority="5145" operator="containsText" text="기타">
      <formula>NOT(ISERROR(SEARCH(("기타"),(J205))))</formula>
    </cfRule>
    <cfRule type="containsText" dxfId="3437" priority="5138" operator="containsText" text="정규교과">
      <formula>NOT(ISERROR(SEARCH(("정규교과"),(J205))))</formula>
    </cfRule>
  </conditionalFormatting>
  <conditionalFormatting sqref="J209">
    <cfRule type="containsText" dxfId="3436" priority="5127" operator="containsText" text="프로젝트">
      <formula>NOT(ISERROR(SEARCH(("프로젝트"),(J209))))</formula>
    </cfRule>
    <cfRule type="containsText" dxfId="3435" priority="5126" operator="containsText" text="기타">
      <formula>NOT(ISERROR(SEARCH(("기타"),(J209))))</formula>
    </cfRule>
    <cfRule type="containsText" dxfId="3434" priority="5125" operator="containsText" text="정규교과">
      <formula>NOT(ISERROR(SEARCH(("정규교과"),(J209))))</formula>
    </cfRule>
    <cfRule type="containsText" dxfId="3433" priority="5124" operator="containsText" text="프로젝트">
      <formula>NOT(ISERROR(SEARCH(("프로젝트"),(J209))))</formula>
    </cfRule>
    <cfRule type="containsText" dxfId="3432" priority="5123" operator="containsText" text="기타">
      <formula>NOT(ISERROR(SEARCH(("기타"),(J209))))</formula>
    </cfRule>
    <cfRule type="containsText" dxfId="3431" priority="5122" operator="containsText" text="정규교과">
      <formula>NOT(ISERROR(SEARCH(("정규교과"),(J209))))</formula>
    </cfRule>
    <cfRule type="containsText" dxfId="3430" priority="5131" operator="containsText" text="정규교과">
      <formula>NOT(ISERROR(SEARCH(("정규교과"),(J209))))</formula>
    </cfRule>
    <cfRule type="containsText" dxfId="3429" priority="5121" operator="containsText" text="프로젝트">
      <formula>NOT(ISERROR(SEARCH(("프로젝트"),(J209))))</formula>
    </cfRule>
    <cfRule type="containsText" dxfId="3428" priority="5135" operator="containsText" text="기타">
      <formula>NOT(ISERROR(SEARCH(("기타"),(J209))))</formula>
    </cfRule>
    <cfRule type="containsText" dxfId="3427" priority="5134" operator="containsText" text="정규교과">
      <formula>NOT(ISERROR(SEARCH(("정규교과"),(J209))))</formula>
    </cfRule>
    <cfRule type="containsText" dxfId="3426" priority="5132" operator="containsText" text="기타">
      <formula>NOT(ISERROR(SEARCH(("기타"),(J209))))</formula>
    </cfRule>
    <cfRule type="containsText" dxfId="3425" priority="5130" operator="containsText" text="프로젝트">
      <formula>NOT(ISERROR(SEARCH(("프로젝트"),(J209))))</formula>
    </cfRule>
    <cfRule type="containsText" dxfId="3424" priority="5133" operator="containsText" text="프로젝트">
      <formula>NOT(ISERROR(SEARCH(("프로젝트"),(J209))))</formula>
    </cfRule>
    <cfRule type="containsText" dxfId="3423" priority="5129" operator="containsText" text="기타">
      <formula>NOT(ISERROR(SEARCH(("기타"),(J209))))</formula>
    </cfRule>
    <cfRule type="containsText" dxfId="3422" priority="5120" operator="containsText" text="휴강">
      <formula>NOT(ISERROR(SEARCH(("휴강"),(J209))))</formula>
    </cfRule>
    <cfRule type="containsText" dxfId="3421" priority="5128" operator="containsText" text="정규교과">
      <formula>NOT(ISERROR(SEARCH(("정규교과"),(J209))))</formula>
    </cfRule>
  </conditionalFormatting>
  <conditionalFormatting sqref="J215">
    <cfRule type="containsText" dxfId="3420" priority="4241" operator="containsText" text="정규교과">
      <formula>NOT(ISERROR(SEARCH(("정규교과"),(J215))))</formula>
    </cfRule>
    <cfRule type="containsText" dxfId="3419" priority="4232" operator="containsText" text="정규교과">
      <formula>NOT(ISERROR(SEARCH(("정규교과"),(J215))))</formula>
    </cfRule>
    <cfRule type="containsText" dxfId="3418" priority="4231" operator="containsText" text="프로젝트">
      <formula>NOT(ISERROR(SEARCH(("프로젝트"),(J215))))</formula>
    </cfRule>
    <cfRule type="containsText" dxfId="3417" priority="4242" operator="containsText" text="기타">
      <formula>NOT(ISERROR(SEARCH(("기타"),(J215))))</formula>
    </cfRule>
    <cfRule type="containsText" dxfId="3416" priority="4233" operator="containsText" text="기타">
      <formula>NOT(ISERROR(SEARCH(("기타"),(J215))))</formula>
    </cfRule>
    <cfRule type="containsText" dxfId="3415" priority="4234" operator="containsText" text="프로젝트">
      <formula>NOT(ISERROR(SEARCH(("프로젝트"),(J215))))</formula>
    </cfRule>
    <cfRule type="containsText" dxfId="3414" priority="4235" operator="containsText" text="정규교과">
      <formula>NOT(ISERROR(SEARCH(("정규교과"),(J215))))</formula>
    </cfRule>
    <cfRule type="containsText" dxfId="3413" priority="4236" operator="containsText" text="기타">
      <formula>NOT(ISERROR(SEARCH(("기타"),(J215))))</formula>
    </cfRule>
    <cfRule type="containsText" dxfId="3412" priority="4237" operator="containsText" text="프로젝트">
      <formula>NOT(ISERROR(SEARCH(("프로젝트"),(J215))))</formula>
    </cfRule>
    <cfRule type="containsText" dxfId="3411" priority="4238" operator="containsText" text="정규교과">
      <formula>NOT(ISERROR(SEARCH(("정규교과"),(J215))))</formula>
    </cfRule>
    <cfRule type="containsText" dxfId="3410" priority="4240" operator="containsText" text="프로젝트">
      <formula>NOT(ISERROR(SEARCH(("프로젝트"),(J215))))</formula>
    </cfRule>
    <cfRule type="containsText" dxfId="3409" priority="4239" operator="containsText" text="기타">
      <formula>NOT(ISERROR(SEARCH(("기타"),(J215))))</formula>
    </cfRule>
  </conditionalFormatting>
  <conditionalFormatting sqref="J219">
    <cfRule type="containsText" dxfId="3408" priority="4200" operator="containsText" text="기타">
      <formula>NOT(ISERROR(SEARCH(("기타"),(J219))))</formula>
    </cfRule>
    <cfRule type="containsText" dxfId="3407" priority="4201" operator="containsText" text="프로젝트">
      <formula>NOT(ISERROR(SEARCH(("프로젝트"),(J219))))</formula>
    </cfRule>
    <cfRule type="containsText" dxfId="3406" priority="4199" operator="containsText" text="정규교과">
      <formula>NOT(ISERROR(SEARCH(("정규교과"),(J219))))</formula>
    </cfRule>
    <cfRule type="containsText" dxfId="3405" priority="4202" operator="containsText" text="정규교과">
      <formula>NOT(ISERROR(SEARCH(("정규교과"),(J219))))</formula>
    </cfRule>
    <cfRule type="containsText" dxfId="3404" priority="4203" operator="containsText" text="기타">
      <formula>NOT(ISERROR(SEARCH(("기타"),(J219))))</formula>
    </cfRule>
    <cfRule type="containsText" dxfId="3403" priority="4204" operator="containsText" text="프로젝트">
      <formula>NOT(ISERROR(SEARCH(("프로젝트"),(J219))))</formula>
    </cfRule>
    <cfRule type="containsText" dxfId="3402" priority="4205" operator="containsText" text="정규교과">
      <formula>NOT(ISERROR(SEARCH(("정규교과"),(J219))))</formula>
    </cfRule>
    <cfRule type="containsText" dxfId="3401" priority="4206" operator="containsText" text="기타">
      <formula>NOT(ISERROR(SEARCH(("기타"),(J219))))</formula>
    </cfRule>
    <cfRule type="containsText" dxfId="3400" priority="4207" operator="containsText" text="프로젝트">
      <formula>NOT(ISERROR(SEARCH(("프로젝트"),(J219))))</formula>
    </cfRule>
    <cfRule type="containsText" dxfId="3399" priority="4209" operator="containsText" text="기타">
      <formula>NOT(ISERROR(SEARCH(("기타"),(J219))))</formula>
    </cfRule>
    <cfRule type="containsText" dxfId="3398" priority="4198" operator="containsText" text="프로젝트">
      <formula>NOT(ISERROR(SEARCH(("프로젝트"),(J219))))</formula>
    </cfRule>
    <cfRule type="containsText" dxfId="3397" priority="4208" operator="containsText" text="정규교과">
      <formula>NOT(ISERROR(SEARCH(("정규교과"),(J219))))</formula>
    </cfRule>
  </conditionalFormatting>
  <conditionalFormatting sqref="J223">
    <cfRule type="containsText" dxfId="3396" priority="4165" operator="containsText" text="프로젝트">
      <formula>NOT(ISERROR(SEARCH(("프로젝트"),(J223))))</formula>
    </cfRule>
    <cfRule type="containsText" dxfId="3395" priority="4167" operator="containsText" text="기타">
      <formula>NOT(ISERROR(SEARCH(("기타"),(J223))))</formula>
    </cfRule>
    <cfRule type="containsText" dxfId="3394" priority="4171" operator="containsText" text="프로젝트">
      <formula>NOT(ISERROR(SEARCH(("프로젝트"),(J223))))</formula>
    </cfRule>
    <cfRule type="containsText" dxfId="3393" priority="4176" operator="containsText" text="기타">
      <formula>NOT(ISERROR(SEARCH(("기타"),(J223))))</formula>
    </cfRule>
    <cfRule type="containsText" dxfId="3392" priority="4175" operator="containsText" text="정규교과">
      <formula>NOT(ISERROR(SEARCH(("정규교과"),(J223))))</formula>
    </cfRule>
    <cfRule type="containsText" dxfId="3391" priority="4174" operator="containsText" text="프로젝트">
      <formula>NOT(ISERROR(SEARCH(("프로젝트"),(J223))))</formula>
    </cfRule>
    <cfRule type="containsText" dxfId="3390" priority="4173" operator="containsText" text="기타">
      <formula>NOT(ISERROR(SEARCH(("기타"),(J223))))</formula>
    </cfRule>
    <cfRule type="containsText" dxfId="3389" priority="4172" operator="containsText" text="정규교과">
      <formula>NOT(ISERROR(SEARCH(("정규교과"),(J223))))</formula>
    </cfRule>
    <cfRule type="containsText" dxfId="3388" priority="4170" operator="containsText" text="기타">
      <formula>NOT(ISERROR(SEARCH(("기타"),(J223))))</formula>
    </cfRule>
    <cfRule type="containsText" dxfId="3387" priority="4169" operator="containsText" text="정규교과">
      <formula>NOT(ISERROR(SEARCH(("정규교과"),(J223))))</formula>
    </cfRule>
    <cfRule type="containsText" dxfId="3386" priority="4168" operator="containsText" text="프로젝트">
      <formula>NOT(ISERROR(SEARCH(("프로젝트"),(J223))))</formula>
    </cfRule>
    <cfRule type="containsText" dxfId="3385" priority="4166" operator="containsText" text="정규교과">
      <formula>NOT(ISERROR(SEARCH(("정규교과"),(J223))))</formula>
    </cfRule>
  </conditionalFormatting>
  <conditionalFormatting sqref="J228">
    <cfRule type="containsText" dxfId="3384" priority="4311" operator="containsText" text="기타">
      <formula>NOT(ISERROR(SEARCH(("기타"),(J228))))</formula>
    </cfRule>
    <cfRule type="containsText" dxfId="3383" priority="4310" operator="containsText" text="정규교과">
      <formula>NOT(ISERROR(SEARCH(("정규교과"),(J228))))</formula>
    </cfRule>
    <cfRule type="containsText" dxfId="3382" priority="4309" operator="containsText" text="프로젝트">
      <formula>NOT(ISERROR(SEARCH(("프로젝트"),(J228))))</formula>
    </cfRule>
    <cfRule type="containsText" dxfId="3381" priority="4308" operator="containsText" text="기타">
      <formula>NOT(ISERROR(SEARCH(("기타"),(J228))))</formula>
    </cfRule>
    <cfRule type="containsText" dxfId="3380" priority="4300" operator="containsText" text="프로젝트">
      <formula>NOT(ISERROR(SEARCH(("프로젝트"),(J228))))</formula>
    </cfRule>
    <cfRule type="containsText" dxfId="3379" priority="4301" operator="containsText" text="정규교과">
      <formula>NOT(ISERROR(SEARCH(("정규교과"),(J228))))</formula>
    </cfRule>
    <cfRule type="containsText" dxfId="3378" priority="4302" operator="containsText" text="기타">
      <formula>NOT(ISERROR(SEARCH(("기타"),(J228))))</formula>
    </cfRule>
    <cfRule type="containsText" dxfId="3377" priority="4307" operator="containsText" text="정규교과">
      <formula>NOT(ISERROR(SEARCH(("정규교과"),(J228))))</formula>
    </cfRule>
    <cfRule type="containsText" dxfId="3376" priority="4306" operator="containsText" text="프로젝트">
      <formula>NOT(ISERROR(SEARCH(("프로젝트"),(J228))))</formula>
    </cfRule>
    <cfRule type="containsText" dxfId="3375" priority="4305" operator="containsText" text="기타">
      <formula>NOT(ISERROR(SEARCH(("기타"),(J228))))</formula>
    </cfRule>
    <cfRule type="containsText" dxfId="3374" priority="4304" operator="containsText" text="정규교과">
      <formula>NOT(ISERROR(SEARCH(("정규교과"),(J228))))</formula>
    </cfRule>
    <cfRule type="containsText" dxfId="3373" priority="4303" operator="containsText" text="프로젝트">
      <formula>NOT(ISERROR(SEARCH(("프로젝트"),(J228))))</formula>
    </cfRule>
  </conditionalFormatting>
  <conditionalFormatting sqref="J250">
    <cfRule type="containsText" dxfId="3372" priority="3021" operator="containsText" text="기타">
      <formula>NOT(ISERROR(SEARCH(("기타"),(J250))))</formula>
    </cfRule>
    <cfRule type="containsText" dxfId="3371" priority="3010" operator="containsText" text="프로젝트">
      <formula>NOT(ISERROR(SEARCH(("프로젝트"),(J250))))</formula>
    </cfRule>
    <cfRule type="containsText" dxfId="3370" priority="3011" operator="containsText" text="정규교과">
      <formula>NOT(ISERROR(SEARCH(("정규교과"),(J250))))</formula>
    </cfRule>
    <cfRule type="containsText" dxfId="3369" priority="3012" operator="containsText" text="기타">
      <formula>NOT(ISERROR(SEARCH(("기타"),(J250))))</formula>
    </cfRule>
    <cfRule type="containsText" dxfId="3368" priority="3013" operator="containsText" text="프로젝트">
      <formula>NOT(ISERROR(SEARCH(("프로젝트"),(J250))))</formula>
    </cfRule>
    <cfRule type="containsText" dxfId="3367" priority="3015" operator="containsText" text="기타">
      <formula>NOT(ISERROR(SEARCH(("기타"),(J250))))</formula>
    </cfRule>
    <cfRule type="containsText" dxfId="3366" priority="3020" operator="containsText" text="정규교과">
      <formula>NOT(ISERROR(SEARCH(("정규교과"),(J250))))</formula>
    </cfRule>
    <cfRule type="containsText" dxfId="3365" priority="3019" operator="containsText" text="프로젝트">
      <formula>NOT(ISERROR(SEARCH(("프로젝트"),(J250))))</formula>
    </cfRule>
    <cfRule type="containsText" dxfId="3364" priority="3017" operator="containsText" text="정규교과">
      <formula>NOT(ISERROR(SEARCH(("정규교과"),(J250))))</formula>
    </cfRule>
    <cfRule type="containsText" dxfId="3363" priority="3016" operator="containsText" text="프로젝트">
      <formula>NOT(ISERROR(SEARCH(("프로젝트"),(J250))))</formula>
    </cfRule>
    <cfRule type="containsText" dxfId="3362" priority="3014" operator="containsText" text="정규교과">
      <formula>NOT(ISERROR(SEARCH(("정규교과"),(J250))))</formula>
    </cfRule>
    <cfRule type="containsText" dxfId="3361" priority="3018" operator="containsText" text="기타">
      <formula>NOT(ISERROR(SEARCH(("기타"),(J250))))</formula>
    </cfRule>
  </conditionalFormatting>
  <conditionalFormatting sqref="J254">
    <cfRule type="containsText" dxfId="3360" priority="2978" operator="containsText" text="기타">
      <formula>NOT(ISERROR(SEARCH(("기타"),(J254))))</formula>
    </cfRule>
    <cfRule type="containsText" dxfId="3359" priority="2984" operator="containsText" text="기타">
      <formula>NOT(ISERROR(SEARCH(("기타"),(J254))))</formula>
    </cfRule>
    <cfRule type="containsText" dxfId="3358" priority="2980" operator="containsText" text="정규교과">
      <formula>NOT(ISERROR(SEARCH(("정규교과"),(J254))))</formula>
    </cfRule>
    <cfRule type="containsText" dxfId="3357" priority="2983" operator="containsText" text="정규교과">
      <formula>NOT(ISERROR(SEARCH(("정규교과"),(J254))))</formula>
    </cfRule>
    <cfRule type="containsText" dxfId="3356" priority="2979" operator="containsText" text="프로젝트">
      <formula>NOT(ISERROR(SEARCH(("프로젝트"),(J254))))</formula>
    </cfRule>
    <cfRule type="containsText" dxfId="3355" priority="2981" operator="containsText" text="기타">
      <formula>NOT(ISERROR(SEARCH(("기타"),(J254))))</formula>
    </cfRule>
    <cfRule type="containsText" dxfId="3354" priority="2982" operator="containsText" text="프로젝트">
      <formula>NOT(ISERROR(SEARCH(("프로젝트"),(J254))))</formula>
    </cfRule>
    <cfRule type="containsText" dxfId="3353" priority="2977" operator="containsText" text="정규교과">
      <formula>NOT(ISERROR(SEARCH(("정규교과"),(J254))))</formula>
    </cfRule>
    <cfRule type="containsText" dxfId="3352" priority="2976" operator="containsText" text="프로젝트">
      <formula>NOT(ISERROR(SEARCH(("프로젝트"),(J254))))</formula>
    </cfRule>
    <cfRule type="containsText" dxfId="3351" priority="2975" operator="containsText" text="기타">
      <formula>NOT(ISERROR(SEARCH(("기타"),(J254))))</formula>
    </cfRule>
    <cfRule type="containsText" dxfId="3350" priority="2974" operator="containsText" text="정규교과">
      <formula>NOT(ISERROR(SEARCH(("정규교과"),(J254))))</formula>
    </cfRule>
    <cfRule type="containsText" dxfId="3349" priority="2973" operator="containsText" text="프로젝트">
      <formula>NOT(ISERROR(SEARCH(("프로젝트"),(J254))))</formula>
    </cfRule>
  </conditionalFormatting>
  <conditionalFormatting sqref="J258">
    <cfRule type="containsText" dxfId="3348" priority="2936" operator="containsText" text="프로젝트">
      <formula>NOT(ISERROR(SEARCH(("프로젝트"),(J258))))</formula>
    </cfRule>
    <cfRule type="containsText" dxfId="3347" priority="2939" operator="containsText" text="프로젝트">
      <formula>NOT(ISERROR(SEARCH(("프로젝트"),(J258))))</formula>
    </cfRule>
    <cfRule type="containsText" dxfId="3346" priority="2938" operator="containsText" text="기타">
      <formula>NOT(ISERROR(SEARCH(("기타"),(J258))))</formula>
    </cfRule>
    <cfRule type="containsText" dxfId="3345" priority="2945" operator="containsText" text="프로젝트">
      <formula>NOT(ISERROR(SEARCH(("프로젝트"),(J258))))</formula>
    </cfRule>
    <cfRule type="containsText" dxfId="3344" priority="2944" operator="containsText" text="기타">
      <formula>NOT(ISERROR(SEARCH(("기타"),(J258))))</formula>
    </cfRule>
    <cfRule type="containsText" dxfId="3343" priority="2947" operator="containsText" text="기타">
      <formula>NOT(ISERROR(SEARCH(("기타"),(J258))))</formula>
    </cfRule>
    <cfRule type="containsText" dxfId="3342" priority="2943" operator="containsText" text="정규교과">
      <formula>NOT(ISERROR(SEARCH(("정규교과"),(J258))))</formula>
    </cfRule>
    <cfRule type="containsText" dxfId="3341" priority="2942" operator="containsText" text="프로젝트">
      <formula>NOT(ISERROR(SEARCH(("프로젝트"),(J258))))</formula>
    </cfRule>
    <cfRule type="containsText" dxfId="3340" priority="2941" operator="containsText" text="기타">
      <formula>NOT(ISERROR(SEARCH(("기타"),(J258))))</formula>
    </cfRule>
    <cfRule type="containsText" dxfId="3339" priority="2940" operator="containsText" text="정규교과">
      <formula>NOT(ISERROR(SEARCH(("정규교과"),(J258))))</formula>
    </cfRule>
    <cfRule type="containsText" dxfId="3338" priority="2946" operator="containsText" text="정규교과">
      <formula>NOT(ISERROR(SEARCH(("정규교과"),(J258))))</formula>
    </cfRule>
    <cfRule type="containsText" dxfId="3337" priority="2937" operator="containsText" text="정규교과">
      <formula>NOT(ISERROR(SEARCH(("정규교과"),(J258))))</formula>
    </cfRule>
  </conditionalFormatting>
  <conditionalFormatting sqref="J263">
    <cfRule type="containsText" dxfId="3336" priority="2901" operator="containsText" text="기타">
      <formula>NOT(ISERROR(SEARCH(("기타"),(J263))))</formula>
    </cfRule>
    <cfRule type="containsText" dxfId="3335" priority="2910" operator="containsText" text="기타">
      <formula>NOT(ISERROR(SEARCH(("기타"),(J263))))</formula>
    </cfRule>
    <cfRule type="containsText" dxfId="3334" priority="2909" operator="containsText" text="정규교과">
      <formula>NOT(ISERROR(SEARCH(("정규교과"),(J263))))</formula>
    </cfRule>
    <cfRule type="containsText" dxfId="3333" priority="2908" operator="containsText" text="프로젝트">
      <formula>NOT(ISERROR(SEARCH(("프로젝트"),(J263))))</formula>
    </cfRule>
    <cfRule type="containsText" dxfId="3332" priority="2907" operator="containsText" text="기타">
      <formula>NOT(ISERROR(SEARCH(("기타"),(J263))))</formula>
    </cfRule>
    <cfRule type="containsText" dxfId="3331" priority="2906" operator="containsText" text="정규교과">
      <formula>NOT(ISERROR(SEARCH(("정규교과"),(J263))))</formula>
    </cfRule>
    <cfRule type="containsText" dxfId="3330" priority="2905" operator="containsText" text="프로젝트">
      <formula>NOT(ISERROR(SEARCH(("프로젝트"),(J263))))</formula>
    </cfRule>
    <cfRule type="containsText" dxfId="3329" priority="2904" operator="containsText" text="기타">
      <formula>NOT(ISERROR(SEARCH(("기타"),(J263))))</formula>
    </cfRule>
    <cfRule type="containsText" dxfId="3328" priority="2903" operator="containsText" text="정규교과">
      <formula>NOT(ISERROR(SEARCH(("정규교과"),(J263))))</formula>
    </cfRule>
    <cfRule type="containsText" dxfId="3327" priority="2902" operator="containsText" text="프로젝트">
      <formula>NOT(ISERROR(SEARCH(("프로젝트"),(J263))))</formula>
    </cfRule>
    <cfRule type="containsText" dxfId="3326" priority="2900" operator="containsText" text="정규교과">
      <formula>NOT(ISERROR(SEARCH(("정규교과"),(J263))))</formula>
    </cfRule>
    <cfRule type="containsText" dxfId="3325" priority="2899" operator="containsText" text="프로젝트">
      <formula>NOT(ISERROR(SEARCH(("프로젝트"),(J263))))</formula>
    </cfRule>
  </conditionalFormatting>
  <conditionalFormatting sqref="J267">
    <cfRule type="containsText" dxfId="3324" priority="2873" operator="containsText" text="기타">
      <formula>NOT(ISERROR(SEARCH(("기타"),(J267))))</formula>
    </cfRule>
    <cfRule type="containsText" dxfId="3323" priority="2869" operator="containsText" text="정규교과">
      <formula>NOT(ISERROR(SEARCH(("정규교과"),(J267))))</formula>
    </cfRule>
    <cfRule type="containsText" dxfId="3322" priority="2868" operator="containsText" text="프로젝트">
      <formula>NOT(ISERROR(SEARCH(("프로젝트"),(J267))))</formula>
    </cfRule>
    <cfRule type="containsText" dxfId="3321" priority="2867" operator="containsText" text="기타">
      <formula>NOT(ISERROR(SEARCH(("기타"),(J267))))</formula>
    </cfRule>
    <cfRule type="containsText" dxfId="3320" priority="2866" operator="containsText" text="정규교과">
      <formula>NOT(ISERROR(SEARCH(("정규교과"),(J267))))</formula>
    </cfRule>
    <cfRule type="containsText" dxfId="3319" priority="2865" operator="containsText" text="프로젝트">
      <formula>NOT(ISERROR(SEARCH(("프로젝트"),(J267))))</formula>
    </cfRule>
    <cfRule type="containsText" dxfId="3318" priority="2864" operator="containsText" text="기타">
      <formula>NOT(ISERROR(SEARCH(("기타"),(J267))))</formula>
    </cfRule>
    <cfRule type="containsText" dxfId="3317" priority="2863" operator="containsText" text="정규교과">
      <formula>NOT(ISERROR(SEARCH(("정규교과"),(J267))))</formula>
    </cfRule>
    <cfRule type="containsText" dxfId="3316" priority="2862" operator="containsText" text="프로젝트">
      <formula>NOT(ISERROR(SEARCH(("프로젝트"),(J267))))</formula>
    </cfRule>
    <cfRule type="containsText" dxfId="3315" priority="2872" operator="containsText" text="정규교과">
      <formula>NOT(ISERROR(SEARCH(("정규교과"),(J267))))</formula>
    </cfRule>
    <cfRule type="containsText" dxfId="3314" priority="2871" operator="containsText" text="프로젝트">
      <formula>NOT(ISERROR(SEARCH(("프로젝트"),(J267))))</formula>
    </cfRule>
    <cfRule type="containsText" dxfId="3313" priority="2870" operator="containsText" text="기타">
      <formula>NOT(ISERROR(SEARCH(("기타"),(J267))))</formula>
    </cfRule>
  </conditionalFormatting>
  <conditionalFormatting sqref="J271">
    <cfRule type="containsText" dxfId="3312" priority="2834" operator="containsText" text="프로젝트">
      <formula>NOT(ISERROR(SEARCH(("프로젝트"),(J271))))</formula>
    </cfRule>
    <cfRule type="containsText" dxfId="3311" priority="2831" operator="containsText" text="프로젝트">
      <formula>NOT(ISERROR(SEARCH(("프로젝트"),(J271))))</formula>
    </cfRule>
    <cfRule type="containsText" dxfId="3310" priority="2825" operator="containsText" text="프로젝트">
      <formula>NOT(ISERROR(SEARCH(("프로젝트"),(J271))))</formula>
    </cfRule>
    <cfRule type="containsText" dxfId="3309" priority="2826" operator="containsText" text="정규교과">
      <formula>NOT(ISERROR(SEARCH(("정규교과"),(J271))))</formula>
    </cfRule>
    <cfRule type="containsText" dxfId="3308" priority="2827" operator="containsText" text="기타">
      <formula>NOT(ISERROR(SEARCH(("기타"),(J271))))</formula>
    </cfRule>
    <cfRule type="containsText" dxfId="3307" priority="2828" operator="containsText" text="프로젝트">
      <formula>NOT(ISERROR(SEARCH(("프로젝트"),(J271))))</formula>
    </cfRule>
    <cfRule type="containsText" dxfId="3306" priority="2833" operator="containsText" text="기타">
      <formula>NOT(ISERROR(SEARCH(("기타"),(J271))))</formula>
    </cfRule>
    <cfRule type="containsText" dxfId="3305" priority="2830" operator="containsText" text="기타">
      <formula>NOT(ISERROR(SEARCH(("기타"),(J271))))</formula>
    </cfRule>
    <cfRule type="containsText" dxfId="3304" priority="2829" operator="containsText" text="정규교과">
      <formula>NOT(ISERROR(SEARCH(("정규교과"),(J271))))</formula>
    </cfRule>
    <cfRule type="containsText" dxfId="3303" priority="2832" operator="containsText" text="정규교과">
      <formula>NOT(ISERROR(SEARCH(("정규교과"),(J271))))</formula>
    </cfRule>
    <cfRule type="containsText" dxfId="3302" priority="2836" operator="containsText" text="기타">
      <formula>NOT(ISERROR(SEARCH(("기타"),(J271))))</formula>
    </cfRule>
    <cfRule type="containsText" dxfId="3301" priority="2835" operator="containsText" text="정규교과">
      <formula>NOT(ISERROR(SEARCH(("정규교과"),(J271))))</formula>
    </cfRule>
  </conditionalFormatting>
  <conditionalFormatting sqref="J275">
    <cfRule type="containsText" dxfId="3300" priority="2791" operator="containsText" text="프로젝트">
      <formula>NOT(ISERROR(SEARCH(("프로젝트"),(J275))))</formula>
    </cfRule>
    <cfRule type="containsText" dxfId="3299" priority="2788" operator="containsText" text="프로젝트">
      <formula>NOT(ISERROR(SEARCH(("프로젝트"),(J275))))</formula>
    </cfRule>
    <cfRule type="containsText" dxfId="3298" priority="2789" operator="containsText" text="정규교과">
      <formula>NOT(ISERROR(SEARCH(("정규교과"),(J275))))</formula>
    </cfRule>
    <cfRule type="containsText" dxfId="3297" priority="2790" operator="containsText" text="기타">
      <formula>NOT(ISERROR(SEARCH(("기타"),(J275))))</formula>
    </cfRule>
    <cfRule type="containsText" dxfId="3296" priority="2792" operator="containsText" text="정규교과">
      <formula>NOT(ISERROR(SEARCH(("정규교과"),(J275))))</formula>
    </cfRule>
    <cfRule type="containsText" dxfId="3295" priority="2793" operator="containsText" text="기타">
      <formula>NOT(ISERROR(SEARCH(("기타"),(J275))))</formula>
    </cfRule>
    <cfRule type="containsText" dxfId="3294" priority="2794" operator="containsText" text="프로젝트">
      <formula>NOT(ISERROR(SEARCH(("프로젝트"),(J275))))</formula>
    </cfRule>
    <cfRule type="containsText" dxfId="3293" priority="2795" operator="containsText" text="정규교과">
      <formula>NOT(ISERROR(SEARCH(("정규교과"),(J275))))</formula>
    </cfRule>
    <cfRule type="containsText" dxfId="3292" priority="2796" operator="containsText" text="기타">
      <formula>NOT(ISERROR(SEARCH(("기타"),(J275))))</formula>
    </cfRule>
    <cfRule type="containsText" dxfId="3291" priority="2797" operator="containsText" text="프로젝트">
      <formula>NOT(ISERROR(SEARCH(("프로젝트"),(J275))))</formula>
    </cfRule>
    <cfRule type="containsText" dxfId="3290" priority="2799" operator="containsText" text="기타">
      <formula>NOT(ISERROR(SEARCH(("기타"),(J275))))</formula>
    </cfRule>
    <cfRule type="containsText" dxfId="3289" priority="2798" operator="containsText" text="정규교과">
      <formula>NOT(ISERROR(SEARCH(("정규교과"),(J275))))</formula>
    </cfRule>
  </conditionalFormatting>
  <conditionalFormatting sqref="J279">
    <cfRule type="containsText" dxfId="3288" priority="2762" operator="containsText" text="기타">
      <formula>NOT(ISERROR(SEARCH(("기타"),(J279))))</formula>
    </cfRule>
    <cfRule type="containsText" dxfId="3287" priority="2759" operator="containsText" text="기타">
      <formula>NOT(ISERROR(SEARCH(("기타"),(J279))))</formula>
    </cfRule>
    <cfRule type="containsText" dxfId="3286" priority="2758" operator="containsText" text="정규교과">
      <formula>NOT(ISERROR(SEARCH(("정규교과"),(J279))))</formula>
    </cfRule>
    <cfRule type="containsText" dxfId="3285" priority="2757" operator="containsText" text="프로젝트">
      <formula>NOT(ISERROR(SEARCH(("프로젝트"),(J279))))</formula>
    </cfRule>
    <cfRule type="containsText" dxfId="3284" priority="2761" operator="containsText" text="정규교과">
      <formula>NOT(ISERROR(SEARCH(("정규교과"),(J279))))</formula>
    </cfRule>
    <cfRule type="containsText" dxfId="3283" priority="2755" operator="containsText" text="정규교과">
      <formula>NOT(ISERROR(SEARCH(("정규교과"),(J279))))</formula>
    </cfRule>
    <cfRule type="containsText" dxfId="3282" priority="2756" operator="containsText" text="기타">
      <formula>NOT(ISERROR(SEARCH(("기타"),(J279))))</formula>
    </cfRule>
    <cfRule type="containsText" dxfId="3281" priority="2754" operator="containsText" text="프로젝트">
      <formula>NOT(ISERROR(SEARCH(("프로젝트"),(J279))))</formula>
    </cfRule>
    <cfRule type="containsText" dxfId="3280" priority="2753" operator="containsText" text="기타">
      <formula>NOT(ISERROR(SEARCH(("기타"),(J279))))</formula>
    </cfRule>
    <cfRule type="containsText" dxfId="3279" priority="2752" operator="containsText" text="정규교과">
      <formula>NOT(ISERROR(SEARCH(("정규교과"),(J279))))</formula>
    </cfRule>
    <cfRule type="containsText" dxfId="3278" priority="2751" operator="containsText" text="프로젝트">
      <formula>NOT(ISERROR(SEARCH(("프로젝트"),(J279))))</formula>
    </cfRule>
    <cfRule type="containsText" dxfId="3277" priority="2760" operator="containsText" text="프로젝트">
      <formula>NOT(ISERROR(SEARCH(("프로젝트"),(J279))))</formula>
    </cfRule>
  </conditionalFormatting>
  <conditionalFormatting sqref="J320">
    <cfRule type="containsText" dxfId="3276" priority="2474" operator="containsText" text="기타">
      <formula>NOT(ISERROR(SEARCH(("기타"),(J320))))</formula>
    </cfRule>
    <cfRule type="containsText" dxfId="3275" priority="2473" operator="containsText" text="정규교과">
      <formula>NOT(ISERROR(SEARCH(("정규교과"),(J320))))</formula>
    </cfRule>
    <cfRule type="containsText" dxfId="3274" priority="2472" operator="containsText" text="프로젝트">
      <formula>NOT(ISERROR(SEARCH(("프로젝트"),(J320))))</formula>
    </cfRule>
    <cfRule type="containsText" dxfId="3273" priority="2471" operator="containsText" text="기타">
      <formula>NOT(ISERROR(SEARCH(("기타"),(J320))))</formula>
    </cfRule>
    <cfRule type="containsText" dxfId="3272" priority="2479" operator="containsText" text="정규교과">
      <formula>NOT(ISERROR(SEARCH(("정규교과"),(J320))))</formula>
    </cfRule>
    <cfRule type="containsText" dxfId="3271" priority="2469" operator="containsText" text="프로젝트">
      <formula>NOT(ISERROR(SEARCH(("프로젝트"),(J320))))</formula>
    </cfRule>
    <cfRule type="containsText" dxfId="3270" priority="2478" operator="containsText" text="프로젝트">
      <formula>NOT(ISERROR(SEARCH(("프로젝트"),(J320))))</formula>
    </cfRule>
    <cfRule type="containsText" dxfId="3269" priority="2477" operator="containsText" text="기타">
      <formula>NOT(ISERROR(SEARCH(("기타"),(J320))))</formula>
    </cfRule>
    <cfRule type="containsText" dxfId="3268" priority="2483" operator="containsText" text="기타">
      <formula>NOT(ISERROR(SEARCH(("기타"),(J320))))</formula>
    </cfRule>
    <cfRule type="containsText" dxfId="3267" priority="2482" operator="containsText" text="정규교과">
      <formula>NOT(ISERROR(SEARCH(("정규교과"),(J320))))</formula>
    </cfRule>
    <cfRule type="containsText" dxfId="3266" priority="2481" operator="containsText" text="프로젝트">
      <formula>NOT(ISERROR(SEARCH(("프로젝트"),(J320))))</formula>
    </cfRule>
    <cfRule type="containsText" dxfId="3265" priority="2476" operator="containsText" text="정규교과">
      <formula>NOT(ISERROR(SEARCH(("정규교과"),(J320))))</formula>
    </cfRule>
    <cfRule type="containsText" dxfId="3264" priority="2475" operator="containsText" text="프로젝트">
      <formula>NOT(ISERROR(SEARCH(("프로젝트"),(J320))))</formula>
    </cfRule>
    <cfRule type="containsText" dxfId="3263" priority="2468" operator="containsText" text="기타">
      <formula>NOT(ISERROR(SEARCH(("기타"),(J320))))</formula>
    </cfRule>
    <cfRule type="containsText" dxfId="3262" priority="2467" operator="containsText" text="정규교과">
      <formula>NOT(ISERROR(SEARCH(("정규교과"),(J320))))</formula>
    </cfRule>
    <cfRule type="containsText" dxfId="3261" priority="2466" operator="containsText" text="프로젝트">
      <formula>NOT(ISERROR(SEARCH(("프로젝트"),(J320))))</formula>
    </cfRule>
    <cfRule type="containsText" dxfId="3260" priority="2465" operator="containsText" text="기타">
      <formula>NOT(ISERROR(SEARCH(("기타"),(J320))))</formula>
    </cfRule>
    <cfRule type="containsText" dxfId="3259" priority="2464" operator="containsText" text="정규교과">
      <formula>NOT(ISERROR(SEARCH(("정규교과"),(J320))))</formula>
    </cfRule>
    <cfRule type="containsText" dxfId="3258" priority="2463" operator="containsText" text="프로젝트">
      <formula>NOT(ISERROR(SEARCH(("프로젝트"),(J320))))</formula>
    </cfRule>
    <cfRule type="containsText" dxfId="3257" priority="2480" operator="containsText" text="기타">
      <formula>NOT(ISERROR(SEARCH(("기타"),(J320))))</formula>
    </cfRule>
    <cfRule type="containsText" dxfId="3256" priority="2470" operator="containsText" text="정규교과">
      <formula>NOT(ISERROR(SEARCH(("정규교과"),(J320))))</formula>
    </cfRule>
  </conditionalFormatting>
  <conditionalFormatting sqref="J324">
    <cfRule type="containsText" dxfId="3255" priority="2335" operator="containsText" text="정규교과">
      <formula>NOT(ISERROR(SEARCH(("정규교과"),(J324))))</formula>
    </cfRule>
    <cfRule type="containsText" dxfId="3254" priority="2336" operator="containsText" text="기타">
      <formula>NOT(ISERROR(SEARCH(("기타"),(J324))))</formula>
    </cfRule>
    <cfRule type="containsText" dxfId="3253" priority="2333" operator="containsText" text="기타">
      <formula>NOT(ISERROR(SEARCH(("기타"),(J324))))</formula>
    </cfRule>
    <cfRule type="containsText" dxfId="3252" priority="2316" operator="containsText" text="프로젝트">
      <formula>NOT(ISERROR(SEARCH(("프로젝트"),(J324))))</formula>
    </cfRule>
    <cfRule type="containsText" dxfId="3251" priority="2317" operator="containsText" text="정규교과">
      <formula>NOT(ISERROR(SEARCH(("정규교과"),(J324))))</formula>
    </cfRule>
    <cfRule type="containsText" dxfId="3250" priority="2318" operator="containsText" text="기타">
      <formula>NOT(ISERROR(SEARCH(("기타"),(J324))))</formula>
    </cfRule>
    <cfRule type="containsText" dxfId="3249" priority="2319" operator="containsText" text="프로젝트">
      <formula>NOT(ISERROR(SEARCH(("프로젝트"),(J324))))</formula>
    </cfRule>
    <cfRule type="containsText" dxfId="3248" priority="2320" operator="containsText" text="정규교과">
      <formula>NOT(ISERROR(SEARCH(("정규교과"),(J324))))</formula>
    </cfRule>
    <cfRule type="containsText" dxfId="3247" priority="2321" operator="containsText" text="기타">
      <formula>NOT(ISERROR(SEARCH(("기타"),(J324))))</formula>
    </cfRule>
    <cfRule type="containsText" dxfId="3246" priority="2322" operator="containsText" text="프로젝트">
      <formula>NOT(ISERROR(SEARCH(("프로젝트"),(J324))))</formula>
    </cfRule>
    <cfRule type="containsText" dxfId="3245" priority="2323" operator="containsText" text="정규교과">
      <formula>NOT(ISERROR(SEARCH(("정규교과"),(J324))))</formula>
    </cfRule>
    <cfRule type="containsText" dxfId="3244" priority="2324" operator="containsText" text="기타">
      <formula>NOT(ISERROR(SEARCH(("기타"),(J324))))</formula>
    </cfRule>
    <cfRule type="containsText" dxfId="3243" priority="2325" operator="containsText" text="프로젝트">
      <formula>NOT(ISERROR(SEARCH(("프로젝트"),(J324))))</formula>
    </cfRule>
    <cfRule type="containsText" dxfId="3242" priority="2326" operator="containsText" text="정규교과">
      <formula>NOT(ISERROR(SEARCH(("정규교과"),(J324))))</formula>
    </cfRule>
    <cfRule type="containsText" dxfId="3241" priority="2327" operator="containsText" text="기타">
      <formula>NOT(ISERROR(SEARCH(("기타"),(J324))))</formula>
    </cfRule>
    <cfRule type="containsText" dxfId="3240" priority="2328" operator="containsText" text="프로젝트">
      <formula>NOT(ISERROR(SEARCH(("프로젝트"),(J324))))</formula>
    </cfRule>
    <cfRule type="containsText" dxfId="3239" priority="2329" operator="containsText" text="정규교과">
      <formula>NOT(ISERROR(SEARCH(("정규교과"),(J324))))</formula>
    </cfRule>
    <cfRule type="containsText" dxfId="3238" priority="2330" operator="containsText" text="기타">
      <formula>NOT(ISERROR(SEARCH(("기타"),(J324))))</formula>
    </cfRule>
    <cfRule type="containsText" dxfId="3237" priority="2331" operator="containsText" text="프로젝트">
      <formula>NOT(ISERROR(SEARCH(("프로젝트"),(J324))))</formula>
    </cfRule>
    <cfRule type="containsText" dxfId="3236" priority="2332" operator="containsText" text="정규교과">
      <formula>NOT(ISERROR(SEARCH(("정규교과"),(J324))))</formula>
    </cfRule>
    <cfRule type="containsText" dxfId="3235" priority="2334" operator="containsText" text="프로젝트">
      <formula>NOT(ISERROR(SEARCH(("프로젝트"),(J324))))</formula>
    </cfRule>
  </conditionalFormatting>
  <conditionalFormatting sqref="J328">
    <cfRule type="containsText" dxfId="3234" priority="2171" operator="containsText" text="기타">
      <formula>NOT(ISERROR(SEARCH(("기타"),(J328))))</formula>
    </cfRule>
    <cfRule type="containsText" dxfId="3233" priority="2177" operator="containsText" text="기타">
      <formula>NOT(ISERROR(SEARCH(("기타"),(J328))))</formula>
    </cfRule>
    <cfRule type="containsText" dxfId="3232" priority="2172" operator="containsText" text="프로젝트">
      <formula>NOT(ISERROR(SEARCH(("프로젝트"),(J328))))</formula>
    </cfRule>
    <cfRule type="containsText" dxfId="3231" priority="2178" operator="containsText" text="프로젝트">
      <formula>NOT(ISERROR(SEARCH(("프로젝트"),(J328))))</formula>
    </cfRule>
    <cfRule type="containsText" dxfId="3230" priority="2181" operator="containsText" text="프로젝트">
      <formula>NOT(ISERROR(SEARCH(("프로젝트"),(J328))))</formula>
    </cfRule>
    <cfRule type="containsText" dxfId="3229" priority="2179" operator="containsText" text="정규교과">
      <formula>NOT(ISERROR(SEARCH(("정규교과"),(J328))))</formula>
    </cfRule>
    <cfRule type="containsText" dxfId="3228" priority="2173" operator="containsText" text="정규교과">
      <formula>NOT(ISERROR(SEARCH(("정규교과"),(J328))))</formula>
    </cfRule>
    <cfRule type="containsText" dxfId="3227" priority="2170" operator="containsText" text="정규교과">
      <formula>NOT(ISERROR(SEARCH(("정규교과"),(J328))))</formula>
    </cfRule>
    <cfRule type="containsText" dxfId="3226" priority="2187" operator="containsText" text="프로젝트">
      <formula>NOT(ISERROR(SEARCH(("프로젝트"),(J328))))</formula>
    </cfRule>
    <cfRule type="containsText" dxfId="3225" priority="2169" operator="containsText" text="프로젝트">
      <formula>NOT(ISERROR(SEARCH(("프로젝트"),(J328))))</formula>
    </cfRule>
    <cfRule type="containsText" dxfId="3224" priority="2189" operator="containsText" text="기타">
      <formula>NOT(ISERROR(SEARCH(("기타"),(J328))))</formula>
    </cfRule>
    <cfRule type="containsText" dxfId="3223" priority="2186" operator="containsText" text="기타">
      <formula>NOT(ISERROR(SEARCH(("기타"),(J328))))</formula>
    </cfRule>
    <cfRule type="containsText" dxfId="3222" priority="2185" operator="containsText" text="정규교과">
      <formula>NOT(ISERROR(SEARCH(("정규교과"),(J328))))</formula>
    </cfRule>
    <cfRule type="containsText" dxfId="3221" priority="2184" operator="containsText" text="프로젝트">
      <formula>NOT(ISERROR(SEARCH(("프로젝트"),(J328))))</formula>
    </cfRule>
    <cfRule type="containsText" dxfId="3220" priority="2180" operator="containsText" text="기타">
      <formula>NOT(ISERROR(SEARCH(("기타"),(J328))))</formula>
    </cfRule>
    <cfRule type="containsText" dxfId="3219" priority="2183" operator="containsText" text="기타">
      <formula>NOT(ISERROR(SEARCH(("기타"),(J328))))</formula>
    </cfRule>
    <cfRule type="containsText" dxfId="3218" priority="2174" operator="containsText" text="기타">
      <formula>NOT(ISERROR(SEARCH(("기타"),(J328))))</formula>
    </cfRule>
    <cfRule type="containsText" dxfId="3217" priority="2188" operator="containsText" text="정규교과">
      <formula>NOT(ISERROR(SEARCH(("정규교과"),(J328))))</formula>
    </cfRule>
    <cfRule type="containsText" dxfId="3216" priority="2182" operator="containsText" text="정규교과">
      <formula>NOT(ISERROR(SEARCH(("정규교과"),(J328))))</formula>
    </cfRule>
    <cfRule type="containsText" dxfId="3215" priority="2175" operator="containsText" text="프로젝트">
      <formula>NOT(ISERROR(SEARCH(("프로젝트"),(J328))))</formula>
    </cfRule>
    <cfRule type="containsText" dxfId="3214" priority="2176" operator="containsText" text="정규교과">
      <formula>NOT(ISERROR(SEARCH(("정규교과"),(J328))))</formula>
    </cfRule>
  </conditionalFormatting>
  <conditionalFormatting sqref="J333">
    <cfRule type="containsText" dxfId="3213" priority="2029" operator="containsText" text="정규교과">
      <formula>NOT(ISERROR(SEARCH(("정규교과"),(J333))))</formula>
    </cfRule>
    <cfRule type="containsText" dxfId="3212" priority="2023" operator="containsText" text="정규교과">
      <formula>NOT(ISERROR(SEARCH(("정규교과"),(J333))))</formula>
    </cfRule>
    <cfRule type="containsText" dxfId="3211" priority="2022" operator="containsText" text="프로젝트">
      <formula>NOT(ISERROR(SEARCH(("프로젝트"),(J333))))</formula>
    </cfRule>
    <cfRule type="containsText" dxfId="3210" priority="2028" operator="containsText" text="프로젝트">
      <formula>NOT(ISERROR(SEARCH(("프로젝트"),(J333))))</formula>
    </cfRule>
    <cfRule type="containsText" dxfId="3209" priority="2027" operator="containsText" text="기타">
      <formula>NOT(ISERROR(SEARCH(("기타"),(J333))))</formula>
    </cfRule>
    <cfRule type="containsText" dxfId="3208" priority="2026" operator="containsText" text="정규교과">
      <formula>NOT(ISERROR(SEARCH(("정규교과"),(J333))))</formula>
    </cfRule>
    <cfRule type="containsText" dxfId="3207" priority="2025" operator="containsText" text="프로젝트">
      <formula>NOT(ISERROR(SEARCH(("프로젝트"),(J333))))</formula>
    </cfRule>
    <cfRule type="containsText" dxfId="3206" priority="2041" operator="containsText" text="정규교과">
      <formula>NOT(ISERROR(SEARCH(("정규교과"),(J333))))</formula>
    </cfRule>
    <cfRule type="containsText" dxfId="3205" priority="2038" operator="containsText" text="정규교과">
      <formula>NOT(ISERROR(SEARCH(("정규교과"),(J333))))</formula>
    </cfRule>
    <cfRule type="containsText" dxfId="3204" priority="2037" operator="containsText" text="프로젝트">
      <formula>NOT(ISERROR(SEARCH(("프로젝트"),(J333))))</formula>
    </cfRule>
    <cfRule type="containsText" dxfId="3203" priority="2036" operator="containsText" text="기타">
      <formula>NOT(ISERROR(SEARCH(("기타"),(J333))))</formula>
    </cfRule>
    <cfRule type="containsText" dxfId="3202" priority="2035" operator="containsText" text="정규교과">
      <formula>NOT(ISERROR(SEARCH(("정규교과"),(J333))))</formula>
    </cfRule>
    <cfRule type="containsText" dxfId="3201" priority="2034" operator="containsText" text="프로젝트">
      <formula>NOT(ISERROR(SEARCH(("프로젝트"),(J333))))</formula>
    </cfRule>
    <cfRule type="containsText" dxfId="3200" priority="2033" operator="containsText" text="기타">
      <formula>NOT(ISERROR(SEARCH(("기타"),(J333))))</formula>
    </cfRule>
    <cfRule type="containsText" dxfId="3199" priority="2032" operator="containsText" text="정규교과">
      <formula>NOT(ISERROR(SEARCH(("정규교과"),(J333))))</formula>
    </cfRule>
    <cfRule type="containsText" dxfId="3198" priority="2024" operator="containsText" text="기타">
      <formula>NOT(ISERROR(SEARCH(("기타"),(J333))))</formula>
    </cfRule>
    <cfRule type="containsText" dxfId="3197" priority="2030" operator="containsText" text="기타">
      <formula>NOT(ISERROR(SEARCH(("기타"),(J333))))</formula>
    </cfRule>
    <cfRule type="containsText" dxfId="3196" priority="2039" operator="containsText" text="기타">
      <formula>NOT(ISERROR(SEARCH(("기타"),(J333))))</formula>
    </cfRule>
    <cfRule type="containsText" dxfId="3195" priority="2031" operator="containsText" text="프로젝트">
      <formula>NOT(ISERROR(SEARCH(("프로젝트"),(J333))))</formula>
    </cfRule>
    <cfRule type="containsText" dxfId="3194" priority="2040" operator="containsText" text="프로젝트">
      <formula>NOT(ISERROR(SEARCH(("프로젝트"),(J333))))</formula>
    </cfRule>
    <cfRule type="containsText" dxfId="3193" priority="2042" operator="containsText" text="기타">
      <formula>NOT(ISERROR(SEARCH(("기타"),(J333))))</formula>
    </cfRule>
  </conditionalFormatting>
  <conditionalFormatting sqref="J337">
    <cfRule type="containsText" dxfId="3192" priority="1881" operator="containsText" text="프로젝트">
      <formula>NOT(ISERROR(SEARCH(("프로젝트"),(J337))))</formula>
    </cfRule>
    <cfRule type="containsText" dxfId="3191" priority="1880" operator="containsText" text="기타">
      <formula>NOT(ISERROR(SEARCH(("기타"),(J337))))</formula>
    </cfRule>
    <cfRule type="containsText" dxfId="3190" priority="1879" operator="containsText" text="정규교과">
      <formula>NOT(ISERROR(SEARCH(("정규교과"),(J337))))</formula>
    </cfRule>
    <cfRule type="containsText" dxfId="3189" priority="1878" operator="containsText" text="프로젝트">
      <formula>NOT(ISERROR(SEARCH(("프로젝트"),(J337))))</formula>
    </cfRule>
    <cfRule type="containsText" dxfId="3188" priority="1877" operator="containsText" text="기타">
      <formula>NOT(ISERROR(SEARCH(("기타"),(J337))))</formula>
    </cfRule>
    <cfRule type="containsText" dxfId="3187" priority="1876" operator="containsText" text="정규교과">
      <formula>NOT(ISERROR(SEARCH(("정규교과"),(J337))))</formula>
    </cfRule>
    <cfRule type="containsText" dxfId="3186" priority="1892" operator="containsText" text="기타">
      <formula>NOT(ISERROR(SEARCH(("기타"),(J337))))</formula>
    </cfRule>
    <cfRule type="containsText" dxfId="3185" priority="1894" operator="containsText" text="정규교과">
      <formula>NOT(ISERROR(SEARCH(("정규교과"),(J337))))</formula>
    </cfRule>
    <cfRule type="containsText" dxfId="3184" priority="1895" operator="containsText" text="기타">
      <formula>NOT(ISERROR(SEARCH(("기타"),(J337))))</formula>
    </cfRule>
    <cfRule type="containsText" dxfId="3183" priority="1883" operator="containsText" text="기타">
      <formula>NOT(ISERROR(SEARCH(("기타"),(J337))))</formula>
    </cfRule>
    <cfRule type="containsText" dxfId="3182" priority="1893" operator="containsText" text="프로젝트">
      <formula>NOT(ISERROR(SEARCH(("프로젝트"),(J337))))</formula>
    </cfRule>
    <cfRule type="containsText" dxfId="3181" priority="1886" operator="containsText" text="기타">
      <formula>NOT(ISERROR(SEARCH(("기타"),(J337))))</formula>
    </cfRule>
    <cfRule type="containsText" dxfId="3180" priority="1891" operator="containsText" text="정규교과">
      <formula>NOT(ISERROR(SEARCH(("정규교과"),(J337))))</formula>
    </cfRule>
    <cfRule type="containsText" dxfId="3179" priority="1890" operator="containsText" text="프로젝트">
      <formula>NOT(ISERROR(SEARCH(("프로젝트"),(J337))))</formula>
    </cfRule>
    <cfRule type="containsText" dxfId="3178" priority="1889" operator="containsText" text="기타">
      <formula>NOT(ISERROR(SEARCH(("기타"),(J337))))</formula>
    </cfRule>
    <cfRule type="containsText" dxfId="3177" priority="1888" operator="containsText" text="정규교과">
      <formula>NOT(ISERROR(SEARCH(("정규교과"),(J337))))</formula>
    </cfRule>
    <cfRule type="containsText" dxfId="3176" priority="1887" operator="containsText" text="프로젝트">
      <formula>NOT(ISERROR(SEARCH(("프로젝트"),(J337))))</formula>
    </cfRule>
    <cfRule type="containsText" dxfId="3175" priority="1885" operator="containsText" text="정규교과">
      <formula>NOT(ISERROR(SEARCH(("정규교과"),(J337))))</formula>
    </cfRule>
    <cfRule type="containsText" dxfId="3174" priority="1875" operator="containsText" text="프로젝트">
      <formula>NOT(ISERROR(SEARCH(("프로젝트"),(J337))))</formula>
    </cfRule>
    <cfRule type="containsText" dxfId="3173" priority="1882" operator="containsText" text="정규교과">
      <formula>NOT(ISERROR(SEARCH(("정규교과"),(J337))))</formula>
    </cfRule>
    <cfRule type="containsText" dxfId="3172" priority="1884" operator="containsText" text="프로젝트">
      <formula>NOT(ISERROR(SEARCH(("프로젝트"),(J337))))</formula>
    </cfRule>
  </conditionalFormatting>
  <conditionalFormatting sqref="J341">
    <cfRule type="containsText" dxfId="3171" priority="1740" operator="containsText" text="프로젝트">
      <formula>NOT(ISERROR(SEARCH(("프로젝트"),(J341))))</formula>
    </cfRule>
    <cfRule type="containsText" dxfId="3170" priority="1738" operator="containsText" text="정규교과">
      <formula>NOT(ISERROR(SEARCH(("정규교과"),(J341))))</formula>
    </cfRule>
    <cfRule type="containsText" dxfId="3169" priority="1730" operator="containsText" text="기타">
      <formula>NOT(ISERROR(SEARCH(("기타"),(J341))))</formula>
    </cfRule>
    <cfRule type="containsText" dxfId="3168" priority="1737" operator="containsText" text="프로젝트">
      <formula>NOT(ISERROR(SEARCH(("프로젝트"),(J341))))</formula>
    </cfRule>
    <cfRule type="containsText" dxfId="3167" priority="1736" operator="containsText" text="기타">
      <formula>NOT(ISERROR(SEARCH(("기타"),(J341))))</formula>
    </cfRule>
    <cfRule type="containsText" dxfId="3166" priority="1744" operator="containsText" text="정규교과">
      <formula>NOT(ISERROR(SEARCH(("정규교과"),(J341))))</formula>
    </cfRule>
    <cfRule type="containsText" dxfId="3165" priority="1745" operator="containsText" text="기타">
      <formula>NOT(ISERROR(SEARCH(("기타"),(J341))))</formula>
    </cfRule>
    <cfRule type="containsText" dxfId="3164" priority="1746" operator="containsText" text="프로젝트">
      <formula>NOT(ISERROR(SEARCH(("프로젝트"),(J341))))</formula>
    </cfRule>
    <cfRule type="containsText" dxfId="3163" priority="1747" operator="containsText" text="정규교과">
      <formula>NOT(ISERROR(SEARCH(("정규교과"),(J341))))</formula>
    </cfRule>
    <cfRule type="containsText" dxfId="3162" priority="1748" operator="containsText" text="기타">
      <formula>NOT(ISERROR(SEARCH(("기타"),(J341))))</formula>
    </cfRule>
    <cfRule type="containsText" dxfId="3161" priority="1743" operator="containsText" text="프로젝트">
      <formula>NOT(ISERROR(SEARCH(("프로젝트"),(J341))))</formula>
    </cfRule>
    <cfRule type="containsText" dxfId="3160" priority="1729" operator="containsText" text="정규교과">
      <formula>NOT(ISERROR(SEARCH(("정규교과"),(J341))))</formula>
    </cfRule>
    <cfRule type="containsText" dxfId="3159" priority="1742" operator="containsText" text="기타">
      <formula>NOT(ISERROR(SEARCH(("기타"),(J341))))</formula>
    </cfRule>
    <cfRule type="containsText" dxfId="3158" priority="1739" operator="containsText" text="기타">
      <formula>NOT(ISERROR(SEARCH(("기타"),(J341))))</formula>
    </cfRule>
    <cfRule type="containsText" dxfId="3157" priority="1728" operator="containsText" text="프로젝트">
      <formula>NOT(ISERROR(SEARCH(("프로젝트"),(J341))))</formula>
    </cfRule>
    <cfRule type="containsText" dxfId="3156" priority="1741" operator="containsText" text="정규교과">
      <formula>NOT(ISERROR(SEARCH(("정규교과"),(J341))))</formula>
    </cfRule>
    <cfRule type="containsText" dxfId="3155" priority="1731" operator="containsText" text="프로젝트">
      <formula>NOT(ISERROR(SEARCH(("프로젝트"),(J341))))</formula>
    </cfRule>
    <cfRule type="containsText" dxfId="3154" priority="1732" operator="containsText" text="정규교과">
      <formula>NOT(ISERROR(SEARCH(("정규교과"),(J341))))</formula>
    </cfRule>
    <cfRule type="containsText" dxfId="3153" priority="1733" operator="containsText" text="기타">
      <formula>NOT(ISERROR(SEARCH(("기타"),(J341))))</formula>
    </cfRule>
    <cfRule type="containsText" dxfId="3152" priority="1734" operator="containsText" text="프로젝트">
      <formula>NOT(ISERROR(SEARCH(("프로젝트"),(J341))))</formula>
    </cfRule>
    <cfRule type="containsText" dxfId="3151" priority="1735" operator="containsText" text="정규교과">
      <formula>NOT(ISERROR(SEARCH(("정규교과"),(J341))))</formula>
    </cfRule>
  </conditionalFormatting>
  <conditionalFormatting sqref="J345">
    <cfRule type="containsText" dxfId="3150" priority="1581" operator="containsText" text="프로젝트">
      <formula>NOT(ISERROR(SEARCH(("프로젝트"),(J345))))</formula>
    </cfRule>
    <cfRule type="containsText" dxfId="3149" priority="1590" operator="containsText" text="프로젝트">
      <formula>NOT(ISERROR(SEARCH(("프로젝트"),(J345))))</formula>
    </cfRule>
    <cfRule type="containsText" dxfId="3148" priority="1592" operator="containsText" text="기타">
      <formula>NOT(ISERROR(SEARCH(("기타"),(J345))))</formula>
    </cfRule>
    <cfRule type="containsText" dxfId="3147" priority="1593" operator="containsText" text="프로젝트">
      <formula>NOT(ISERROR(SEARCH(("프로젝트"),(J345))))</formula>
    </cfRule>
    <cfRule type="containsText" dxfId="3146" priority="1594" operator="containsText" text="정규교과">
      <formula>NOT(ISERROR(SEARCH(("정규교과"),(J345))))</formula>
    </cfRule>
    <cfRule type="containsText" dxfId="3145" priority="1588" operator="containsText" text="정규교과">
      <formula>NOT(ISERROR(SEARCH(("정규교과"),(J345))))</formula>
    </cfRule>
    <cfRule type="containsText" dxfId="3144" priority="1589" operator="containsText" text="기타">
      <formula>NOT(ISERROR(SEARCH(("기타"),(J345))))</formula>
    </cfRule>
    <cfRule type="containsText" dxfId="3143" priority="1595" operator="containsText" text="기타">
      <formula>NOT(ISERROR(SEARCH(("기타"),(J345))))</formula>
    </cfRule>
    <cfRule type="containsText" dxfId="3142" priority="1596" operator="containsText" text="프로젝트">
      <formula>NOT(ISERROR(SEARCH(("프로젝트"),(J345))))</formula>
    </cfRule>
    <cfRule type="containsText" dxfId="3141" priority="1598" operator="containsText" text="기타">
      <formula>NOT(ISERROR(SEARCH(("기타"),(J345))))</formula>
    </cfRule>
    <cfRule type="containsText" dxfId="3140" priority="1599" operator="containsText" text="프로젝트">
      <formula>NOT(ISERROR(SEARCH(("프로젝트"),(J345))))</formula>
    </cfRule>
    <cfRule type="containsText" dxfId="3139" priority="1600" operator="containsText" text="정규교과">
      <formula>NOT(ISERROR(SEARCH(("정규교과"),(J345))))</formula>
    </cfRule>
    <cfRule type="containsText" dxfId="3138" priority="1591" operator="containsText" text="정규교과">
      <formula>NOT(ISERROR(SEARCH(("정규교과"),(J345))))</formula>
    </cfRule>
    <cfRule type="containsText" dxfId="3137" priority="1601" operator="containsText" text="기타">
      <formula>NOT(ISERROR(SEARCH(("기타"),(J345))))</formula>
    </cfRule>
    <cfRule type="containsText" dxfId="3136" priority="1597" operator="containsText" text="정규교과">
      <formula>NOT(ISERROR(SEARCH(("정규교과"),(J345))))</formula>
    </cfRule>
    <cfRule type="containsText" dxfId="3135" priority="1587" operator="containsText" text="프로젝트">
      <formula>NOT(ISERROR(SEARCH(("프로젝트"),(J345))))</formula>
    </cfRule>
    <cfRule type="containsText" dxfId="3134" priority="1586" operator="containsText" text="기타">
      <formula>NOT(ISERROR(SEARCH(("기타"),(J345))))</formula>
    </cfRule>
    <cfRule type="containsText" dxfId="3133" priority="1585" operator="containsText" text="정규교과">
      <formula>NOT(ISERROR(SEARCH(("정규교과"),(J345))))</formula>
    </cfRule>
    <cfRule type="containsText" dxfId="3132" priority="1584" operator="containsText" text="프로젝트">
      <formula>NOT(ISERROR(SEARCH(("프로젝트"),(J345))))</formula>
    </cfRule>
    <cfRule type="containsText" dxfId="3131" priority="1583" operator="containsText" text="기타">
      <formula>NOT(ISERROR(SEARCH(("기타"),(J345))))</formula>
    </cfRule>
    <cfRule type="containsText" dxfId="3130" priority="1582" operator="containsText" text="정규교과">
      <formula>NOT(ISERROR(SEARCH(("정규교과"),(J345))))</formula>
    </cfRule>
  </conditionalFormatting>
  <conditionalFormatting sqref="J349">
    <cfRule type="containsText" dxfId="3129" priority="1438" operator="containsText" text="정규교과">
      <formula>NOT(ISERROR(SEARCH(("정규교과"),(J349))))</formula>
    </cfRule>
    <cfRule type="containsText" dxfId="3128" priority="1447" operator="containsText" text="정규교과">
      <formula>NOT(ISERROR(SEARCH(("정규교과"),(J349))))</formula>
    </cfRule>
    <cfRule type="containsText" dxfId="3127" priority="1446" operator="containsText" text="프로젝트">
      <formula>NOT(ISERROR(SEARCH(("프로젝트"),(J349))))</formula>
    </cfRule>
    <cfRule type="containsText" dxfId="3126" priority="1434" operator="containsText" text="프로젝트">
      <formula>NOT(ISERROR(SEARCH(("프로젝트"),(J349))))</formula>
    </cfRule>
    <cfRule type="containsText" dxfId="3125" priority="1436" operator="containsText" text="기타">
      <formula>NOT(ISERROR(SEARCH(("기타"),(J349))))</formula>
    </cfRule>
    <cfRule type="containsText" dxfId="3124" priority="1435" operator="containsText" text="정규교과">
      <formula>NOT(ISERROR(SEARCH(("정규교과"),(J349))))</formula>
    </cfRule>
    <cfRule type="containsText" dxfId="3123" priority="1445" operator="containsText" text="기타">
      <formula>NOT(ISERROR(SEARCH(("기타"),(J349))))</formula>
    </cfRule>
    <cfRule type="containsText" dxfId="3122" priority="1454" operator="containsText" text="기타">
      <formula>NOT(ISERROR(SEARCH(("기타"),(J349))))</formula>
    </cfRule>
    <cfRule type="containsText" dxfId="3121" priority="1453" operator="containsText" text="정규교과">
      <formula>NOT(ISERROR(SEARCH(("정규교과"),(J349))))</formula>
    </cfRule>
    <cfRule type="containsText" dxfId="3120" priority="1452" operator="containsText" text="프로젝트">
      <formula>NOT(ISERROR(SEARCH(("프로젝트"),(J349))))</formula>
    </cfRule>
    <cfRule type="containsText" dxfId="3119" priority="1451" operator="containsText" text="기타">
      <formula>NOT(ISERROR(SEARCH(("기타"),(J349))))</formula>
    </cfRule>
    <cfRule type="containsText" dxfId="3118" priority="1450" operator="containsText" text="정규교과">
      <formula>NOT(ISERROR(SEARCH(("정규교과"),(J349))))</formula>
    </cfRule>
    <cfRule type="containsText" dxfId="3117" priority="1449" operator="containsText" text="프로젝트">
      <formula>NOT(ISERROR(SEARCH(("프로젝트"),(J349))))</formula>
    </cfRule>
    <cfRule type="containsText" dxfId="3116" priority="1448" operator="containsText" text="기타">
      <formula>NOT(ISERROR(SEARCH(("기타"),(J349))))</formula>
    </cfRule>
    <cfRule type="containsText" dxfId="3115" priority="1444" operator="containsText" text="정규교과">
      <formula>NOT(ISERROR(SEARCH(("정규교과"),(J349))))</formula>
    </cfRule>
    <cfRule type="containsText" dxfId="3114" priority="1443" operator="containsText" text="프로젝트">
      <formula>NOT(ISERROR(SEARCH(("프로젝트"),(J349))))</formula>
    </cfRule>
    <cfRule type="containsText" dxfId="3113" priority="1442" operator="containsText" text="기타">
      <formula>NOT(ISERROR(SEARCH(("기타"),(J349))))</formula>
    </cfRule>
    <cfRule type="containsText" dxfId="3112" priority="1441" operator="containsText" text="정규교과">
      <formula>NOT(ISERROR(SEARCH(("정규교과"),(J349))))</formula>
    </cfRule>
    <cfRule type="containsText" dxfId="3111" priority="1440" operator="containsText" text="프로젝트">
      <formula>NOT(ISERROR(SEARCH(("프로젝트"),(J349))))</formula>
    </cfRule>
    <cfRule type="containsText" dxfId="3110" priority="1439" operator="containsText" text="기타">
      <formula>NOT(ISERROR(SEARCH(("기타"),(J349))))</formula>
    </cfRule>
    <cfRule type="containsText" dxfId="3109" priority="1437" operator="containsText" text="프로젝트">
      <formula>NOT(ISERROR(SEARCH(("프로젝트"),(J349))))</formula>
    </cfRule>
  </conditionalFormatting>
  <conditionalFormatting sqref="J372">
    <cfRule type="containsText" dxfId="3108" priority="34" operator="containsText" text="프로젝트">
      <formula>NOT(ISERROR(SEARCH(("프로젝트"),(J372))))</formula>
    </cfRule>
    <cfRule type="containsText" dxfId="3107" priority="33" operator="containsText" text="기타">
      <formula>NOT(ISERROR(SEARCH(("기타"),(J372))))</formula>
    </cfRule>
    <cfRule type="containsText" dxfId="3106" priority="32" operator="containsText" text="정규교과">
      <formula>NOT(ISERROR(SEARCH(("정규교과"),(J372))))</formula>
    </cfRule>
    <cfRule type="containsText" dxfId="3105" priority="31" operator="containsText" text="프로젝트">
      <formula>NOT(ISERROR(SEARCH(("프로젝트"),(J372))))</formula>
    </cfRule>
    <cfRule type="containsText" dxfId="3104" priority="30" operator="containsText" text="기타">
      <formula>NOT(ISERROR(SEARCH(("기타"),(J372))))</formula>
    </cfRule>
    <cfRule type="containsText" dxfId="3103" priority="29" operator="containsText" text="정규교과">
      <formula>NOT(ISERROR(SEARCH(("정규교과"),(J372))))</formula>
    </cfRule>
    <cfRule type="containsText" dxfId="3102" priority="36" operator="containsText" text="기타">
      <formula>NOT(ISERROR(SEARCH(("기타"),(J372))))</formula>
    </cfRule>
    <cfRule type="containsText" dxfId="3101" priority="28" operator="containsText" text="프로젝트">
      <formula>NOT(ISERROR(SEARCH(("프로젝트"),(J372))))</formula>
    </cfRule>
    <cfRule type="containsText" dxfId="3100" priority="35" operator="containsText" text="정규교과">
      <formula>NOT(ISERROR(SEARCH(("정규교과"),(J372))))</formula>
    </cfRule>
  </conditionalFormatting>
  <conditionalFormatting sqref="J376">
    <cfRule type="containsText" dxfId="3099" priority="27" operator="containsText" text="기타">
      <formula>NOT(ISERROR(SEARCH(("기타"),(J376))))</formula>
    </cfRule>
    <cfRule type="containsText" dxfId="3098" priority="26" operator="containsText" text="정규교과">
      <formula>NOT(ISERROR(SEARCH(("정규교과"),(J376))))</formula>
    </cfRule>
    <cfRule type="containsText" dxfId="3097" priority="20" operator="containsText" text="정규교과">
      <formula>NOT(ISERROR(SEARCH(("정규교과"),(J376))))</formula>
    </cfRule>
    <cfRule type="containsText" dxfId="3096" priority="25" operator="containsText" text="프로젝트">
      <formula>NOT(ISERROR(SEARCH(("프로젝트"),(J376))))</formula>
    </cfRule>
    <cfRule type="containsText" dxfId="3095" priority="24" operator="containsText" text="기타">
      <formula>NOT(ISERROR(SEARCH(("기타"),(J376))))</formula>
    </cfRule>
    <cfRule type="containsText" dxfId="3094" priority="23" operator="containsText" text="정규교과">
      <formula>NOT(ISERROR(SEARCH(("정규교과"),(J376))))</formula>
    </cfRule>
    <cfRule type="containsText" dxfId="3093" priority="21" operator="containsText" text="기타">
      <formula>NOT(ISERROR(SEARCH(("기타"),(J376))))</formula>
    </cfRule>
    <cfRule type="containsText" dxfId="3092" priority="19" operator="containsText" text="프로젝트">
      <formula>NOT(ISERROR(SEARCH(("프로젝트"),(J376))))</formula>
    </cfRule>
    <cfRule type="containsText" dxfId="3091" priority="22" operator="containsText" text="프로젝트">
      <formula>NOT(ISERROR(SEARCH(("프로젝트"),(J376))))</formula>
    </cfRule>
  </conditionalFormatting>
  <conditionalFormatting sqref="J380">
    <cfRule type="containsText" dxfId="3090" priority="11" operator="containsText" text="정규교과">
      <formula>NOT(ISERROR(SEARCH(("정규교과"),(J380))))</formula>
    </cfRule>
    <cfRule type="containsText" dxfId="3089" priority="12" operator="containsText" text="기타">
      <formula>NOT(ISERROR(SEARCH(("기타"),(J380))))</formula>
    </cfRule>
    <cfRule type="containsText" dxfId="3088" priority="14" operator="containsText" text="정규교과">
      <formula>NOT(ISERROR(SEARCH(("정규교과"),(J380))))</formula>
    </cfRule>
    <cfRule type="containsText" dxfId="3087" priority="15" operator="containsText" text="기타">
      <formula>NOT(ISERROR(SEARCH(("기타"),(J380))))</formula>
    </cfRule>
    <cfRule type="containsText" dxfId="3086" priority="16" operator="containsText" text="프로젝트">
      <formula>NOT(ISERROR(SEARCH(("프로젝트"),(J380))))</formula>
    </cfRule>
    <cfRule type="containsText" dxfId="3085" priority="17" operator="containsText" text="정규교과">
      <formula>NOT(ISERROR(SEARCH(("정규교과"),(J380))))</formula>
    </cfRule>
    <cfRule type="containsText" dxfId="3084" priority="18" operator="containsText" text="기타">
      <formula>NOT(ISERROR(SEARCH(("기타"),(J380))))</formula>
    </cfRule>
    <cfRule type="containsText" dxfId="3083" priority="13" operator="containsText" text="프로젝트">
      <formula>NOT(ISERROR(SEARCH(("프로젝트"),(J380))))</formula>
    </cfRule>
    <cfRule type="containsText" dxfId="3082" priority="10" operator="containsText" text="프로젝트">
      <formula>NOT(ISERROR(SEARCH(("프로젝트"),(J380))))</formula>
    </cfRule>
  </conditionalFormatting>
  <conditionalFormatting sqref="J384">
    <cfRule type="containsText" dxfId="3081" priority="5" operator="containsText" text="정규교과">
      <formula>NOT(ISERROR(SEARCH(("정규교과"),(J384))))</formula>
    </cfRule>
    <cfRule type="containsText" dxfId="3080" priority="9" operator="containsText" text="기타">
      <formula>NOT(ISERROR(SEARCH(("기타"),(J384))))</formula>
    </cfRule>
    <cfRule type="containsText" dxfId="3079" priority="8" operator="containsText" text="정규교과">
      <formula>NOT(ISERROR(SEARCH(("정규교과"),(J384))))</formula>
    </cfRule>
    <cfRule type="containsText" dxfId="3078" priority="7" operator="containsText" text="프로젝트">
      <formula>NOT(ISERROR(SEARCH(("프로젝트"),(J384))))</formula>
    </cfRule>
    <cfRule type="containsText" dxfId="3077" priority="4" operator="containsText" text="프로젝트">
      <formula>NOT(ISERROR(SEARCH(("프로젝트"),(J384))))</formula>
    </cfRule>
    <cfRule type="containsText" dxfId="3076" priority="3" operator="containsText" text="기타">
      <formula>NOT(ISERROR(SEARCH(("기타"),(J384))))</formula>
    </cfRule>
    <cfRule type="containsText" dxfId="3075" priority="2" operator="containsText" text="정규교과">
      <formula>NOT(ISERROR(SEARCH(("정규교과"),(J384))))</formula>
    </cfRule>
    <cfRule type="containsText" dxfId="3074" priority="1" operator="containsText" text="프로젝트">
      <formula>NOT(ISERROR(SEARCH(("프로젝트"),(J384))))</formula>
    </cfRule>
    <cfRule type="containsText" dxfId="3073" priority="6" operator="containsText" text="기타">
      <formula>NOT(ISERROR(SEARCH(("기타"),(J384))))</formula>
    </cfRule>
  </conditionalFormatting>
  <conditionalFormatting sqref="J40:K40">
    <cfRule type="containsText" dxfId="3072" priority="12076" operator="containsText" text="프로젝트">
      <formula>NOT(ISERROR(SEARCH(("프로젝트"),(J40))))</formula>
    </cfRule>
  </conditionalFormatting>
  <conditionalFormatting sqref="J44:K44">
    <cfRule type="containsText" dxfId="3071" priority="11023" operator="containsText" text="프로젝트">
      <formula>NOT(ISERROR(SEARCH(("프로젝트"),(J44))))</formula>
    </cfRule>
  </conditionalFormatting>
  <conditionalFormatting sqref="J48:K48">
    <cfRule type="containsText" dxfId="3070" priority="10957" operator="containsText" text="프로젝트">
      <formula>NOT(ISERROR(SEARCH(("프로젝트"),(J48))))</formula>
    </cfRule>
  </conditionalFormatting>
  <conditionalFormatting sqref="J53:K53">
    <cfRule type="containsText" dxfId="3069" priority="10891" operator="containsText" text="프로젝트">
      <formula>NOT(ISERROR(SEARCH(("프로젝트"),(J53))))</formula>
    </cfRule>
  </conditionalFormatting>
  <conditionalFormatting sqref="J123:K123">
    <cfRule type="containsText" dxfId="3068" priority="8230" operator="containsText" text="정규교과">
      <formula>NOT(ISERROR(SEARCH(("정규교과"),(J123))))</formula>
    </cfRule>
    <cfRule type="containsText" dxfId="3067" priority="8229" operator="containsText" text="프로젝트">
      <formula>NOT(ISERROR(SEARCH(("프로젝트"),(J123))))</formula>
    </cfRule>
    <cfRule type="containsText" dxfId="3066" priority="8231" operator="containsText" text="기타">
      <formula>NOT(ISERROR(SEARCH(("기타"),(J123))))</formula>
    </cfRule>
    <cfRule type="containsText" dxfId="3065" priority="8233" operator="containsText" text="정규교과">
      <formula>NOT(ISERROR(SEARCH(("정규교과"),(J123))))</formula>
    </cfRule>
    <cfRule type="containsText" dxfId="3064" priority="8234" operator="containsText" text="기타">
      <formula>NOT(ISERROR(SEARCH(("기타"),(J123))))</formula>
    </cfRule>
    <cfRule type="containsText" dxfId="3063" priority="8235" operator="containsText" text="프로젝트">
      <formula>NOT(ISERROR(SEARCH(("프로젝트"),(J123))))</formula>
    </cfRule>
    <cfRule type="containsText" dxfId="3062" priority="8236" operator="containsText" text="정규교과">
      <formula>NOT(ISERROR(SEARCH(("정규교과"),(J123))))</formula>
    </cfRule>
    <cfRule type="containsText" dxfId="3061" priority="8232" operator="containsText" text="프로젝트">
      <formula>NOT(ISERROR(SEARCH(("프로젝트"),(J123))))</formula>
    </cfRule>
    <cfRule type="containsText" dxfId="3060" priority="8237" operator="containsText" text="기타">
      <formula>NOT(ISERROR(SEARCH(("기타"),(J123))))</formula>
    </cfRule>
    <cfRule type="containsText" dxfId="3059" priority="8238" operator="containsText" text="프로젝트">
      <formula>NOT(ISERROR(SEARCH(("프로젝트"),(J123))))</formula>
    </cfRule>
    <cfRule type="containsText" dxfId="3058" priority="8243" operator="containsText" text="기타">
      <formula>NOT(ISERROR(SEARCH(("기타"),(J123))))</formula>
    </cfRule>
    <cfRule type="containsText" dxfId="3057" priority="8242" operator="containsText" text="정규교과">
      <formula>NOT(ISERROR(SEARCH(("정규교과"),(J123))))</formula>
    </cfRule>
    <cfRule type="containsText" dxfId="3056" priority="8241" operator="containsText" text="프로젝트">
      <formula>NOT(ISERROR(SEARCH(("프로젝트"),(J123))))</formula>
    </cfRule>
    <cfRule type="containsText" dxfId="3055" priority="8228" operator="containsText" text="휴강">
      <formula>NOT(ISERROR(SEARCH(("휴강"),(J123))))</formula>
    </cfRule>
    <cfRule type="containsText" dxfId="3054" priority="8240" operator="containsText" text="기타">
      <formula>NOT(ISERROR(SEARCH(("기타"),(J123))))</formula>
    </cfRule>
    <cfRule type="containsText" dxfId="3053" priority="8239" operator="containsText" text="정규교과">
      <formula>NOT(ISERROR(SEARCH(("정규교과"),(J123))))</formula>
    </cfRule>
  </conditionalFormatting>
  <conditionalFormatting sqref="J254:K254">
    <cfRule type="containsText" dxfId="3052" priority="2995" operator="containsText" text="프로젝트">
      <formula>NOT(ISERROR(SEARCH(("프로젝트"),(J254))))</formula>
    </cfRule>
    <cfRule type="containsText" dxfId="3051" priority="2994" operator="containsText" text="기타">
      <formula>NOT(ISERROR(SEARCH(("기타"),(J254))))</formula>
    </cfRule>
    <cfRule type="containsText" dxfId="3050" priority="2993" operator="containsText" text="정규교과">
      <formula>NOT(ISERROR(SEARCH(("정규교과"),(J254))))</formula>
    </cfRule>
    <cfRule type="containsText" dxfId="3049" priority="2992" operator="containsText" text="프로젝트">
      <formula>NOT(ISERROR(SEARCH(("프로젝트"),(J254))))</formula>
    </cfRule>
    <cfRule type="containsText" dxfId="3048" priority="2991" operator="containsText" text="기타">
      <formula>NOT(ISERROR(SEARCH(("기타"),(J254))))</formula>
    </cfRule>
    <cfRule type="containsText" dxfId="3047" priority="2990" operator="containsText" text="정규교과">
      <formula>NOT(ISERROR(SEARCH(("정규교과"),(J254))))</formula>
    </cfRule>
    <cfRule type="containsText" dxfId="3046" priority="2989" operator="containsText" text="프로젝트">
      <formula>NOT(ISERROR(SEARCH(("프로젝트"),(J254))))</formula>
    </cfRule>
    <cfRule type="containsText" dxfId="3045" priority="2988" operator="containsText" text="기타">
      <formula>NOT(ISERROR(SEARCH(("기타"),(J254))))</formula>
    </cfRule>
    <cfRule type="containsText" dxfId="3044" priority="2987" operator="containsText" text="정규교과">
      <formula>NOT(ISERROR(SEARCH(("정규교과"),(J254))))</formula>
    </cfRule>
    <cfRule type="containsText" dxfId="3043" priority="2986" operator="containsText" text="프로젝트">
      <formula>NOT(ISERROR(SEARCH(("프로젝트"),(J254))))</formula>
    </cfRule>
    <cfRule type="containsText" dxfId="3042" priority="2985" operator="containsText" text="휴강">
      <formula>NOT(ISERROR(SEARCH(("휴강"),(J254))))</formula>
    </cfRule>
    <cfRule type="containsText" dxfId="3041" priority="2997" operator="containsText" text="기타">
      <formula>NOT(ISERROR(SEARCH(("기타"),(J254))))</formula>
    </cfRule>
    <cfRule type="containsText" dxfId="3040" priority="2996" operator="containsText" text="정규교과">
      <formula>NOT(ISERROR(SEARCH(("정규교과"),(J254))))</formula>
    </cfRule>
  </conditionalFormatting>
  <conditionalFormatting sqref="J258:K258">
    <cfRule type="containsText" dxfId="3039" priority="2957" operator="containsText" text="기타">
      <formula>NOT(ISERROR(SEARCH(("기타"),(J258))))</formula>
    </cfRule>
    <cfRule type="containsText" dxfId="3038" priority="2951" operator="containsText" text="기타">
      <formula>NOT(ISERROR(SEARCH(("기타"),(J258))))</formula>
    </cfRule>
    <cfRule type="containsText" dxfId="3037" priority="2952" operator="containsText" text="프로젝트">
      <formula>NOT(ISERROR(SEARCH(("프로젝트"),(J258))))</formula>
    </cfRule>
    <cfRule type="containsText" dxfId="3036" priority="2953" operator="containsText" text="정규교과">
      <formula>NOT(ISERROR(SEARCH(("정규교과"),(J258))))</formula>
    </cfRule>
    <cfRule type="containsText" dxfId="3035" priority="2954" operator="containsText" text="기타">
      <formula>NOT(ISERROR(SEARCH(("기타"),(J258))))</formula>
    </cfRule>
    <cfRule type="containsText" dxfId="3034" priority="2955" operator="containsText" text="프로젝트">
      <formula>NOT(ISERROR(SEARCH(("프로젝트"),(J258))))</formula>
    </cfRule>
    <cfRule type="containsText" dxfId="3033" priority="2956" operator="containsText" text="정규교과">
      <formula>NOT(ISERROR(SEARCH(("정규교과"),(J258))))</formula>
    </cfRule>
    <cfRule type="containsText" dxfId="3032" priority="2958" operator="containsText" text="프로젝트">
      <formula>NOT(ISERROR(SEARCH(("프로젝트"),(J258))))</formula>
    </cfRule>
    <cfRule type="containsText" dxfId="3031" priority="2959" operator="containsText" text="정규교과">
      <formula>NOT(ISERROR(SEARCH(("정규교과"),(J258))))</formula>
    </cfRule>
    <cfRule type="containsText" dxfId="3030" priority="2960" operator="containsText" text="기타">
      <formula>NOT(ISERROR(SEARCH(("기타"),(J258))))</formula>
    </cfRule>
    <cfRule type="containsText" dxfId="3029" priority="2950" operator="containsText" text="정규교과">
      <formula>NOT(ISERROR(SEARCH(("정규교과"),(J258))))</formula>
    </cfRule>
    <cfRule type="containsText" dxfId="3028" priority="2949" operator="containsText" text="프로젝트">
      <formula>NOT(ISERROR(SEARCH(("프로젝트"),(J258))))</formula>
    </cfRule>
    <cfRule type="containsText" dxfId="3027" priority="2948" operator="containsText" text="휴강">
      <formula>NOT(ISERROR(SEARCH(("휴강"),(J258))))</formula>
    </cfRule>
  </conditionalFormatting>
  <conditionalFormatting sqref="J263:K263">
    <cfRule type="containsText" dxfId="3026" priority="2919" operator="containsText" text="정규교과">
      <formula>NOT(ISERROR(SEARCH(("정규교과"),(J263))))</formula>
    </cfRule>
    <cfRule type="containsText" dxfId="3025" priority="2918" operator="containsText" text="프로젝트">
      <formula>NOT(ISERROR(SEARCH(("프로젝트"),(J263))))</formula>
    </cfRule>
    <cfRule type="containsText" dxfId="3024" priority="2916" operator="containsText" text="정규교과">
      <formula>NOT(ISERROR(SEARCH(("정규교과"),(J263))))</formula>
    </cfRule>
    <cfRule type="containsText" dxfId="3023" priority="2914" operator="containsText" text="기타">
      <formula>NOT(ISERROR(SEARCH(("기타"),(J263))))</formula>
    </cfRule>
    <cfRule type="containsText" dxfId="3022" priority="2913" operator="containsText" text="정규교과">
      <formula>NOT(ISERROR(SEARCH(("정규교과"),(J263))))</formula>
    </cfRule>
    <cfRule type="containsText" dxfId="3021" priority="2912" operator="containsText" text="프로젝트">
      <formula>NOT(ISERROR(SEARCH(("프로젝트"),(J263))))</formula>
    </cfRule>
    <cfRule type="containsText" dxfId="3020" priority="2923" operator="containsText" text="기타">
      <formula>NOT(ISERROR(SEARCH(("기타"),(J263))))</formula>
    </cfRule>
    <cfRule type="containsText" dxfId="3019" priority="2915" operator="containsText" text="프로젝트">
      <formula>NOT(ISERROR(SEARCH(("프로젝트"),(J263))))</formula>
    </cfRule>
    <cfRule type="containsText" dxfId="3018" priority="2911" operator="containsText" text="휴강">
      <formula>NOT(ISERROR(SEARCH(("휴강"),(J263))))</formula>
    </cfRule>
    <cfRule type="containsText" dxfId="3017" priority="2917" operator="containsText" text="기타">
      <formula>NOT(ISERROR(SEARCH(("기타"),(J263))))</formula>
    </cfRule>
    <cfRule type="containsText" dxfId="3016" priority="2922" operator="containsText" text="정규교과">
      <formula>NOT(ISERROR(SEARCH(("정규교과"),(J263))))</formula>
    </cfRule>
    <cfRule type="containsText" dxfId="3015" priority="2921" operator="containsText" text="프로젝트">
      <formula>NOT(ISERROR(SEARCH(("프로젝트"),(J263))))</formula>
    </cfRule>
    <cfRule type="containsText" dxfId="3014" priority="2920" operator="containsText" text="기타">
      <formula>NOT(ISERROR(SEARCH(("기타"),(J263))))</formula>
    </cfRule>
  </conditionalFormatting>
  <conditionalFormatting sqref="J267:K267">
    <cfRule type="containsText" dxfId="3013" priority="2883" operator="containsText" text="기타">
      <formula>NOT(ISERROR(SEARCH(("기타"),(J267))))</formula>
    </cfRule>
    <cfRule type="containsText" dxfId="3012" priority="2884" operator="containsText" text="프로젝트">
      <formula>NOT(ISERROR(SEARCH(("프로젝트"),(J267))))</formula>
    </cfRule>
    <cfRule type="containsText" dxfId="3011" priority="2880" operator="containsText" text="기타">
      <formula>NOT(ISERROR(SEARCH(("기타"),(J267))))</formula>
    </cfRule>
    <cfRule type="containsText" dxfId="3010" priority="2879" operator="containsText" text="정규교과">
      <formula>NOT(ISERROR(SEARCH(("정규교과"),(J267))))</formula>
    </cfRule>
    <cfRule type="containsText" dxfId="3009" priority="2878" operator="containsText" text="프로젝트">
      <formula>NOT(ISERROR(SEARCH(("프로젝트"),(J267))))</formula>
    </cfRule>
    <cfRule type="containsText" dxfId="3008" priority="2874" operator="containsText" text="휴강">
      <formula>NOT(ISERROR(SEARCH(("휴강"),(J267))))</formula>
    </cfRule>
    <cfRule type="containsText" dxfId="3007" priority="2875" operator="containsText" text="프로젝트">
      <formula>NOT(ISERROR(SEARCH(("프로젝트"),(J267))))</formula>
    </cfRule>
    <cfRule type="containsText" dxfId="3006" priority="2876" operator="containsText" text="정규교과">
      <formula>NOT(ISERROR(SEARCH(("정규교과"),(J267))))</formula>
    </cfRule>
    <cfRule type="containsText" dxfId="3005" priority="2886" operator="containsText" text="기타">
      <formula>NOT(ISERROR(SEARCH(("기타"),(J267))))</formula>
    </cfRule>
    <cfRule type="containsText" dxfId="3004" priority="2877" operator="containsText" text="기타">
      <formula>NOT(ISERROR(SEARCH(("기타"),(J267))))</formula>
    </cfRule>
    <cfRule type="containsText" dxfId="3003" priority="2885" operator="containsText" text="정규교과">
      <formula>NOT(ISERROR(SEARCH(("정규교과"),(J267))))</formula>
    </cfRule>
    <cfRule type="containsText" dxfId="3002" priority="2882" operator="containsText" text="정규교과">
      <formula>NOT(ISERROR(SEARCH(("정규교과"),(J267))))</formula>
    </cfRule>
    <cfRule type="containsText" dxfId="3001" priority="2881" operator="containsText" text="프로젝트">
      <formula>NOT(ISERROR(SEARCH(("프로젝트"),(J267))))</formula>
    </cfRule>
  </conditionalFormatting>
  <conditionalFormatting sqref="J271:K271">
    <cfRule type="containsText" dxfId="3000" priority="2848" operator="containsText" text="정규교과">
      <formula>NOT(ISERROR(SEARCH(("정규교과"),(J271))))</formula>
    </cfRule>
    <cfRule type="containsText" dxfId="2999" priority="2847" operator="containsText" text="프로젝트">
      <formula>NOT(ISERROR(SEARCH(("프로젝트"),(J271))))</formula>
    </cfRule>
    <cfRule type="containsText" dxfId="2998" priority="2846" operator="containsText" text="기타">
      <formula>NOT(ISERROR(SEARCH(("기타"),(J271))))</formula>
    </cfRule>
    <cfRule type="containsText" dxfId="2997" priority="2845" operator="containsText" text="정규교과">
      <formula>NOT(ISERROR(SEARCH(("정규교과"),(J271))))</formula>
    </cfRule>
    <cfRule type="containsText" dxfId="2996" priority="2844" operator="containsText" text="프로젝트">
      <formula>NOT(ISERROR(SEARCH(("프로젝트"),(J271))))</formula>
    </cfRule>
    <cfRule type="containsText" dxfId="2995" priority="2843" operator="containsText" text="기타">
      <formula>NOT(ISERROR(SEARCH(("기타"),(J271))))</formula>
    </cfRule>
    <cfRule type="containsText" dxfId="2994" priority="2842" operator="containsText" text="정규교과">
      <formula>NOT(ISERROR(SEARCH(("정규교과"),(J271))))</formula>
    </cfRule>
    <cfRule type="containsText" dxfId="2993" priority="2841" operator="containsText" text="프로젝트">
      <formula>NOT(ISERROR(SEARCH(("프로젝트"),(J271))))</formula>
    </cfRule>
    <cfRule type="containsText" dxfId="2992" priority="2840" operator="containsText" text="기타">
      <formula>NOT(ISERROR(SEARCH(("기타"),(J271))))</formula>
    </cfRule>
    <cfRule type="containsText" dxfId="2991" priority="2839" operator="containsText" text="정규교과">
      <formula>NOT(ISERROR(SEARCH(("정규교과"),(J271))))</formula>
    </cfRule>
    <cfRule type="containsText" dxfId="2990" priority="2838" operator="containsText" text="프로젝트">
      <formula>NOT(ISERROR(SEARCH(("프로젝트"),(J271))))</formula>
    </cfRule>
    <cfRule type="containsText" dxfId="2989" priority="2837" operator="containsText" text="휴강">
      <formula>NOT(ISERROR(SEARCH(("휴강"),(J271))))</formula>
    </cfRule>
    <cfRule type="containsText" dxfId="2988" priority="2849" operator="containsText" text="기타">
      <formula>NOT(ISERROR(SEARCH(("기타"),(J271))))</formula>
    </cfRule>
  </conditionalFormatting>
  <conditionalFormatting sqref="J275:K275">
    <cfRule type="containsText" dxfId="2987" priority="2810" operator="containsText" text="프로젝트">
      <formula>NOT(ISERROR(SEARCH(("프로젝트"),(J275))))</formula>
    </cfRule>
    <cfRule type="containsText" dxfId="2986" priority="2811" operator="containsText" text="정규교과">
      <formula>NOT(ISERROR(SEARCH(("정규교과"),(J275))))</formula>
    </cfRule>
    <cfRule type="containsText" dxfId="2985" priority="2812" operator="containsText" text="기타">
      <formula>NOT(ISERROR(SEARCH(("기타"),(J275))))</formula>
    </cfRule>
    <cfRule type="containsText" dxfId="2984" priority="2800" operator="containsText" text="휴강">
      <formula>NOT(ISERROR(SEARCH(("휴강"),(J275))))</formula>
    </cfRule>
    <cfRule type="containsText" dxfId="2983" priority="2801" operator="containsText" text="프로젝트">
      <formula>NOT(ISERROR(SEARCH(("프로젝트"),(J275))))</formula>
    </cfRule>
    <cfRule type="containsText" dxfId="2982" priority="2802" operator="containsText" text="정규교과">
      <formula>NOT(ISERROR(SEARCH(("정규교과"),(J275))))</formula>
    </cfRule>
    <cfRule type="containsText" dxfId="2981" priority="2803" operator="containsText" text="기타">
      <formula>NOT(ISERROR(SEARCH(("기타"),(J275))))</formula>
    </cfRule>
    <cfRule type="containsText" dxfId="2980" priority="2804" operator="containsText" text="프로젝트">
      <formula>NOT(ISERROR(SEARCH(("프로젝트"),(J275))))</formula>
    </cfRule>
    <cfRule type="containsText" dxfId="2979" priority="2805" operator="containsText" text="정규교과">
      <formula>NOT(ISERROR(SEARCH(("정규교과"),(J275))))</formula>
    </cfRule>
    <cfRule type="containsText" dxfId="2978" priority="2806" operator="containsText" text="기타">
      <formula>NOT(ISERROR(SEARCH(("기타"),(J275))))</formula>
    </cfRule>
    <cfRule type="containsText" dxfId="2977" priority="2807" operator="containsText" text="프로젝트">
      <formula>NOT(ISERROR(SEARCH(("프로젝트"),(J275))))</formula>
    </cfRule>
    <cfRule type="containsText" dxfId="2976" priority="2808" operator="containsText" text="정규교과">
      <formula>NOT(ISERROR(SEARCH(("정규교과"),(J275))))</formula>
    </cfRule>
    <cfRule type="containsText" dxfId="2975" priority="2809" operator="containsText" text="기타">
      <formula>NOT(ISERROR(SEARCH(("기타"),(J275))))</formula>
    </cfRule>
  </conditionalFormatting>
  <conditionalFormatting sqref="J279:K279">
    <cfRule type="containsText" dxfId="2974" priority="2765" operator="containsText" text="정규교과">
      <formula>NOT(ISERROR(SEARCH(("정규교과"),(J279))))</formula>
    </cfRule>
    <cfRule type="containsText" dxfId="2973" priority="2764" operator="containsText" text="프로젝트">
      <formula>NOT(ISERROR(SEARCH(("프로젝트"),(J279))))</formula>
    </cfRule>
    <cfRule type="containsText" dxfId="2972" priority="2768" operator="containsText" text="정규교과">
      <formula>NOT(ISERROR(SEARCH(("정규교과"),(J279))))</formula>
    </cfRule>
    <cfRule type="containsText" dxfId="2971" priority="2769" operator="containsText" text="기타">
      <formula>NOT(ISERROR(SEARCH(("기타"),(J279))))</formula>
    </cfRule>
    <cfRule type="containsText" dxfId="2970" priority="2770" operator="containsText" text="프로젝트">
      <formula>NOT(ISERROR(SEARCH(("프로젝트"),(J279))))</formula>
    </cfRule>
    <cfRule type="containsText" dxfId="2969" priority="2774" operator="containsText" text="정규교과">
      <formula>NOT(ISERROR(SEARCH(("정규교과"),(J279))))</formula>
    </cfRule>
    <cfRule type="containsText" dxfId="2968" priority="2771" operator="containsText" text="정규교과">
      <formula>NOT(ISERROR(SEARCH(("정규교과"),(J279))))</formula>
    </cfRule>
    <cfRule type="containsText" dxfId="2967" priority="2772" operator="containsText" text="기타">
      <formula>NOT(ISERROR(SEARCH(("기타"),(J279))))</formula>
    </cfRule>
    <cfRule type="containsText" dxfId="2966" priority="2773" operator="containsText" text="프로젝트">
      <formula>NOT(ISERROR(SEARCH(("프로젝트"),(J279))))</formula>
    </cfRule>
    <cfRule type="containsText" dxfId="2965" priority="2775" operator="containsText" text="기타">
      <formula>NOT(ISERROR(SEARCH(("기타"),(J279))))</formula>
    </cfRule>
    <cfRule type="containsText" dxfId="2964" priority="2763" operator="containsText" text="휴강">
      <formula>NOT(ISERROR(SEARCH(("휴강"),(J279))))</formula>
    </cfRule>
    <cfRule type="containsText" dxfId="2963" priority="2767" operator="containsText" text="프로젝트">
      <formula>NOT(ISERROR(SEARCH(("프로젝트"),(J279))))</formula>
    </cfRule>
    <cfRule type="containsText" dxfId="2962" priority="2766" operator="containsText" text="기타">
      <formula>NOT(ISERROR(SEARCH(("기타"),(J279))))</formula>
    </cfRule>
  </conditionalFormatting>
  <conditionalFormatting sqref="J355:K355 J359:K359 J363:K363 J368:K368 J372:K372 J376:K376 J380:K380 D381:K383 J384:K384 D385:K387 D356:K358 D360:K362 D364:K367 D369:K371 D373:K375 D377:K379">
    <cfRule type="containsText" dxfId="2961" priority="14318" operator="containsText" text="프로젝트">
      <formula>NOT(ISERROR(SEARCH(("프로젝트"),(D355))))</formula>
    </cfRule>
  </conditionalFormatting>
  <conditionalFormatting sqref="J359:K359">
    <cfRule type="containsText" dxfId="2960" priority="14323" operator="containsText" text="기타">
      <formula>NOT(ISERROR(SEARCH(("기타"),(J359))))</formula>
    </cfRule>
    <cfRule type="containsText" dxfId="2959" priority="14322" operator="containsText" text="정규교과">
      <formula>NOT(ISERROR(SEARCH(("정규교과"),(J359))))</formula>
    </cfRule>
    <cfRule type="containsText" dxfId="2958" priority="14321" operator="containsText" text="프로젝트">
      <formula>NOT(ISERROR(SEARCH(("프로젝트"),(J359))))</formula>
    </cfRule>
  </conditionalFormatting>
  <conditionalFormatting sqref="J363:K363">
    <cfRule type="containsText" dxfId="2957" priority="14325" operator="containsText" text="정규교과">
      <formula>NOT(ISERROR(SEARCH(("정규교과"),(J363))))</formula>
    </cfRule>
    <cfRule type="containsText" dxfId="2956" priority="14326" operator="containsText" text="기타">
      <formula>NOT(ISERROR(SEARCH(("기타"),(J363))))</formula>
    </cfRule>
    <cfRule type="containsText" dxfId="2955" priority="14329" operator="containsText" text="기타">
      <formula>NOT(ISERROR(SEARCH(("기타"),(J363))))</formula>
    </cfRule>
    <cfRule type="containsText" dxfId="2954" priority="14327" operator="containsText" text="프로젝트">
      <formula>NOT(ISERROR(SEARCH(("프로젝트"),(J363))))</formula>
    </cfRule>
    <cfRule type="containsText" dxfId="2953" priority="14328" operator="containsText" text="정규교과">
      <formula>NOT(ISERROR(SEARCH(("정규교과"),(J363))))</formula>
    </cfRule>
    <cfRule type="containsText" dxfId="2952" priority="14324" operator="containsText" text="프로젝트">
      <formula>NOT(ISERROR(SEARCH(("프로젝트"),(J363))))</formula>
    </cfRule>
  </conditionalFormatting>
  <conditionalFormatting sqref="J368:K368">
    <cfRule type="containsText" dxfId="2951" priority="14338" operator="containsText" text="기타">
      <formula>NOT(ISERROR(SEARCH(("기타"),(J368))))</formula>
    </cfRule>
    <cfRule type="containsText" dxfId="2950" priority="14337" operator="containsText" text="정규교과">
      <formula>NOT(ISERROR(SEARCH(("정규교과"),(J368))))</formula>
    </cfRule>
    <cfRule type="containsText" dxfId="2949" priority="14336" operator="containsText" text="프로젝트">
      <formula>NOT(ISERROR(SEARCH(("프로젝트"),(J368))))</formula>
    </cfRule>
    <cfRule type="containsText" dxfId="2948" priority="14335" operator="containsText" text="기타">
      <formula>NOT(ISERROR(SEARCH(("기타"),(J368))))</formula>
    </cfRule>
    <cfRule type="containsText" dxfId="2947" priority="14333" operator="containsText" text="프로젝트">
      <formula>NOT(ISERROR(SEARCH(("프로젝트"),(J368))))</formula>
    </cfRule>
    <cfRule type="containsText" dxfId="2946" priority="14334" operator="containsText" text="정규교과">
      <formula>NOT(ISERROR(SEARCH(("정규교과"),(J368))))</formula>
    </cfRule>
  </conditionalFormatting>
  <conditionalFormatting sqref="J372:K372">
    <cfRule type="containsText" dxfId="2945" priority="14346" operator="containsText" text="정규교과">
      <formula>NOT(ISERROR(SEARCH(("정규교과"),(J372))))</formula>
    </cfRule>
    <cfRule type="containsText" dxfId="2944" priority="14345" operator="containsText" text="프로젝트">
      <formula>NOT(ISERROR(SEARCH(("프로젝트"),(J372))))</formula>
    </cfRule>
    <cfRule type="containsText" dxfId="2943" priority="14344" operator="containsText" text="기타">
      <formula>NOT(ISERROR(SEARCH(("기타"),(J372))))</formula>
    </cfRule>
    <cfRule type="containsText" dxfId="2942" priority="14343" operator="containsText" text="정규교과">
      <formula>NOT(ISERROR(SEARCH(("정규교과"),(J372))))</formula>
    </cfRule>
    <cfRule type="containsText" dxfId="2941" priority="14342" operator="containsText" text="프로젝트">
      <formula>NOT(ISERROR(SEARCH(("프로젝트"),(J372))))</formula>
    </cfRule>
    <cfRule type="containsText" dxfId="2940" priority="14341" operator="containsText" text="기타">
      <formula>NOT(ISERROR(SEARCH(("기타"),(J372))))</formula>
    </cfRule>
    <cfRule type="containsText" dxfId="2939" priority="14340" operator="containsText" text="정규교과">
      <formula>NOT(ISERROR(SEARCH(("정규교과"),(J372))))</formula>
    </cfRule>
    <cfRule type="containsText" dxfId="2938" priority="14339" operator="containsText" text="프로젝트">
      <formula>NOT(ISERROR(SEARCH(("프로젝트"),(J372))))</formula>
    </cfRule>
    <cfRule type="containsText" dxfId="2937" priority="14349" operator="containsText" text="정규교과">
      <formula>NOT(ISERROR(SEARCH(("정규교과"),(J372))))</formula>
    </cfRule>
    <cfRule type="containsText" dxfId="2936" priority="14348" operator="containsText" text="프로젝트">
      <formula>NOT(ISERROR(SEARCH(("프로젝트"),(J372))))</formula>
    </cfRule>
    <cfRule type="containsText" dxfId="2935" priority="14347" operator="containsText" text="기타">
      <formula>NOT(ISERROR(SEARCH(("기타"),(J372))))</formula>
    </cfRule>
    <cfRule type="containsText" dxfId="2934" priority="14350" operator="containsText" text="기타">
      <formula>NOT(ISERROR(SEARCH(("기타"),(J372))))</formula>
    </cfRule>
  </conditionalFormatting>
  <conditionalFormatting sqref="J376:K376">
    <cfRule type="containsText" dxfId="2933" priority="14351" operator="containsText" text="프로젝트">
      <formula>NOT(ISERROR(SEARCH(("프로젝트"),(J376))))</formula>
    </cfRule>
    <cfRule type="containsText" dxfId="2932" priority="14352" operator="containsText" text="정규교과">
      <formula>NOT(ISERROR(SEARCH(("정규교과"),(J376))))</formula>
    </cfRule>
    <cfRule type="containsText" dxfId="2931" priority="14353" operator="containsText" text="기타">
      <formula>NOT(ISERROR(SEARCH(("기타"),(J376))))</formula>
    </cfRule>
    <cfRule type="containsText" dxfId="2930" priority="14354" operator="containsText" text="프로젝트">
      <formula>NOT(ISERROR(SEARCH(("프로젝트"),(J376))))</formula>
    </cfRule>
    <cfRule type="containsText" dxfId="2929" priority="14355" operator="containsText" text="정규교과">
      <formula>NOT(ISERROR(SEARCH(("정규교과"),(J376))))</formula>
    </cfRule>
    <cfRule type="containsText" dxfId="2928" priority="14356" operator="containsText" text="기타">
      <formula>NOT(ISERROR(SEARCH(("기타"),(J376))))</formula>
    </cfRule>
    <cfRule type="containsText" dxfId="2927" priority="14360" operator="containsText" text="프로젝트">
      <formula>NOT(ISERROR(SEARCH(("프로젝트"),(J376))))</formula>
    </cfRule>
    <cfRule type="containsText" dxfId="2926" priority="14357" operator="containsText" text="프로젝트">
      <formula>NOT(ISERROR(SEARCH(("프로젝트"),(J376))))</formula>
    </cfRule>
    <cfRule type="containsText" dxfId="2925" priority="14358" operator="containsText" text="정규교과">
      <formula>NOT(ISERROR(SEARCH(("정규교과"),(J376))))</formula>
    </cfRule>
    <cfRule type="containsText" dxfId="2924" priority="14359" operator="containsText" text="기타">
      <formula>NOT(ISERROR(SEARCH(("기타"),(J376))))</formula>
    </cfRule>
    <cfRule type="containsText" dxfId="2923" priority="14361" operator="containsText" text="정규교과">
      <formula>NOT(ISERROR(SEARCH(("정규교과"),(J376))))</formula>
    </cfRule>
    <cfRule type="containsText" dxfId="2922" priority="14362" operator="containsText" text="기타">
      <formula>NOT(ISERROR(SEARCH(("기타"),(J376))))</formula>
    </cfRule>
  </conditionalFormatting>
  <conditionalFormatting sqref="J380:K380">
    <cfRule type="containsText" dxfId="2921" priority="14371" operator="containsText" text="기타">
      <formula>NOT(ISERROR(SEARCH(("기타"),(J380))))</formula>
    </cfRule>
    <cfRule type="containsText" dxfId="2920" priority="14372" operator="containsText" text="프로젝트">
      <formula>NOT(ISERROR(SEARCH(("프로젝트"),(J380))))</formula>
    </cfRule>
    <cfRule type="containsText" dxfId="2919" priority="14373" operator="containsText" text="정규교과">
      <formula>NOT(ISERROR(SEARCH(("정규교과"),(J380))))</formula>
    </cfRule>
    <cfRule type="containsText" dxfId="2918" priority="14374" operator="containsText" text="기타">
      <formula>NOT(ISERROR(SEARCH(("기타"),(J380))))</formula>
    </cfRule>
    <cfRule type="containsText" dxfId="2917" priority="14366" operator="containsText" text="프로젝트">
      <formula>NOT(ISERROR(SEARCH(("프로젝트"),(J380))))</formula>
    </cfRule>
    <cfRule type="containsText" dxfId="2916" priority="14369" operator="containsText" text="프로젝트">
      <formula>NOT(ISERROR(SEARCH(("프로젝트"),(J380))))</formula>
    </cfRule>
    <cfRule type="containsText" dxfId="2915" priority="14363" operator="containsText" text="프로젝트">
      <formula>NOT(ISERROR(SEARCH(("프로젝트"),(J380))))</formula>
    </cfRule>
    <cfRule type="containsText" dxfId="2914" priority="14364" operator="containsText" text="정규교과">
      <formula>NOT(ISERROR(SEARCH(("정규교과"),(J380))))</formula>
    </cfRule>
    <cfRule type="containsText" dxfId="2913" priority="14365" operator="containsText" text="기타">
      <formula>NOT(ISERROR(SEARCH(("기타"),(J380))))</formula>
    </cfRule>
    <cfRule type="containsText" dxfId="2912" priority="14367" operator="containsText" text="정규교과">
      <formula>NOT(ISERROR(SEARCH(("정규교과"),(J380))))</formula>
    </cfRule>
    <cfRule type="containsText" dxfId="2911" priority="14368" operator="containsText" text="기타">
      <formula>NOT(ISERROR(SEARCH(("기타"),(J380))))</formula>
    </cfRule>
    <cfRule type="containsText" dxfId="2910" priority="14370" operator="containsText" text="정규교과">
      <formula>NOT(ISERROR(SEARCH(("정규교과"),(J380))))</formula>
    </cfRule>
  </conditionalFormatting>
  <conditionalFormatting sqref="J384:K384">
    <cfRule type="containsText" dxfId="2909" priority="14375" operator="containsText" text="프로젝트">
      <formula>NOT(ISERROR(SEARCH(("프로젝트"),(J384))))</formula>
    </cfRule>
    <cfRule type="containsText" dxfId="2908" priority="14376" operator="containsText" text="정규교과">
      <formula>NOT(ISERROR(SEARCH(("정규교과"),(J384))))</formula>
    </cfRule>
    <cfRule type="containsText" dxfId="2907" priority="14377" operator="containsText" text="기타">
      <formula>NOT(ISERROR(SEARCH(("기타"),(J384))))</formula>
    </cfRule>
    <cfRule type="containsText" dxfId="2906" priority="14382" operator="containsText" text="정규교과">
      <formula>NOT(ISERROR(SEARCH(("정규교과"),(J384))))</formula>
    </cfRule>
    <cfRule type="containsText" dxfId="2905" priority="14381" operator="containsText" text="프로젝트">
      <formula>NOT(ISERROR(SEARCH(("프로젝트"),(J384))))</formula>
    </cfRule>
    <cfRule type="containsText" dxfId="2904" priority="14386" operator="containsText" text="기타">
      <formula>NOT(ISERROR(SEARCH(("기타"),(J384))))</formula>
    </cfRule>
    <cfRule type="containsText" dxfId="2903" priority="14385" operator="containsText" text="정규교과">
      <formula>NOT(ISERROR(SEARCH(("정규교과"),(J384))))</formula>
    </cfRule>
    <cfRule type="containsText" dxfId="2902" priority="14384" operator="containsText" text="프로젝트">
      <formula>NOT(ISERROR(SEARCH(("프로젝트"),(J384))))</formula>
    </cfRule>
    <cfRule type="containsText" dxfId="2901" priority="14383" operator="containsText" text="기타">
      <formula>NOT(ISERROR(SEARCH(("기타"),(J384))))</formula>
    </cfRule>
    <cfRule type="containsText" dxfId="2900" priority="14380" operator="containsText" text="기타">
      <formula>NOT(ISERROR(SEARCH(("기타"),(J384))))</formula>
    </cfRule>
    <cfRule type="containsText" dxfId="2899" priority="14379" operator="containsText" text="정규교과">
      <formula>NOT(ISERROR(SEARCH(("정규교과"),(J384))))</formula>
    </cfRule>
    <cfRule type="containsText" dxfId="2898" priority="14378" operator="containsText" text="프로젝트">
      <formula>NOT(ISERROR(SEARCH(("프로젝트"),(J384))))</formula>
    </cfRule>
  </conditionalFormatting>
  <conditionalFormatting sqref="J79:L79">
    <cfRule type="containsText" dxfId="2897" priority="9750" operator="containsText" text="정규교과">
      <formula>NOT(ISERROR(SEARCH(("정규교과"),(J79))))</formula>
    </cfRule>
    <cfRule type="containsText" dxfId="2896" priority="9751" operator="containsText" text="기타">
      <formula>NOT(ISERROR(SEARCH(("기타"),(J79))))</formula>
    </cfRule>
    <cfRule type="containsText" dxfId="2895" priority="9752" operator="containsText" text="휴강">
      <formula>NOT(ISERROR(SEARCH(("휴강"),(J79))))</formula>
    </cfRule>
    <cfRule type="containsText" dxfId="2894" priority="9753" operator="containsText" text="프로젝트">
      <formula>NOT(ISERROR(SEARCH(("프로젝트"),(J79))))</formula>
    </cfRule>
    <cfRule type="containsText" dxfId="2893" priority="9754" operator="containsText" text="정규교과">
      <formula>NOT(ISERROR(SEARCH(("정규교과"),(J79))))</formula>
    </cfRule>
    <cfRule type="containsText" dxfId="2892" priority="9755" operator="containsText" text="기타">
      <formula>NOT(ISERROR(SEARCH(("기타"),(J79))))</formula>
    </cfRule>
    <cfRule type="containsText" dxfId="2891" priority="9756" operator="containsText" text="프로젝트">
      <formula>NOT(ISERROR(SEARCH(("프로젝트"),(J79))))</formula>
    </cfRule>
    <cfRule type="containsText" dxfId="2890" priority="9757" operator="containsText" text="정규교과">
      <formula>NOT(ISERROR(SEARCH(("정규교과"),(J79))))</formula>
    </cfRule>
    <cfRule type="containsText" dxfId="2889" priority="9738" operator="containsText" text="정규교과">
      <formula>NOT(ISERROR(SEARCH(("정규교과"),(J79))))</formula>
    </cfRule>
    <cfRule type="containsText" dxfId="2888" priority="9758" operator="containsText" text="기타">
      <formula>NOT(ISERROR(SEARCH(("기타"),(J79))))</formula>
    </cfRule>
    <cfRule type="containsText" dxfId="2887" priority="9760" operator="containsText" text="정규교과">
      <formula>NOT(ISERROR(SEARCH(("정규교과"),(J79))))</formula>
    </cfRule>
    <cfRule type="containsText" dxfId="2886" priority="9761" operator="containsText" text="기타">
      <formula>NOT(ISERROR(SEARCH(("기타"),(J79))))</formula>
    </cfRule>
    <cfRule type="containsText" dxfId="2885" priority="9763" operator="containsText" text="정규교과">
      <formula>NOT(ISERROR(SEARCH(("정규교과"),(J79))))</formula>
    </cfRule>
    <cfRule type="containsText" dxfId="2884" priority="9766" operator="containsText" text="정규교과">
      <formula>NOT(ISERROR(SEARCH(("정규교과"),(J79))))</formula>
    </cfRule>
    <cfRule type="containsText" dxfId="2883" priority="9767" operator="containsText" text="기타">
      <formula>NOT(ISERROR(SEARCH(("기타"),(J79))))</formula>
    </cfRule>
    <cfRule type="containsText" dxfId="2882" priority="9736" operator="containsText" text="기타">
      <formula>NOT(ISERROR(SEARCH(("기타"),(J79))))</formula>
    </cfRule>
    <cfRule type="containsText" dxfId="2881" priority="9762" operator="containsText" text="프로젝트">
      <formula>NOT(ISERROR(SEARCH(("프로젝트"),(J79))))</formula>
    </cfRule>
    <cfRule type="containsText" dxfId="2880" priority="9716" operator="containsText" text="프로젝트">
      <formula>NOT(ISERROR(SEARCH(("프로젝트"),(J79))))</formula>
    </cfRule>
    <cfRule type="containsText" dxfId="2879" priority="9717" operator="containsText" text="정규교과">
      <formula>NOT(ISERROR(SEARCH(("정규교과"),(J79))))</formula>
    </cfRule>
    <cfRule type="containsText" dxfId="2878" priority="9718" operator="containsText" text="기타">
      <formula>NOT(ISERROR(SEARCH(("기타"),(J79))))</formula>
    </cfRule>
    <cfRule type="containsText" dxfId="2877" priority="9719" operator="containsText" text="프로젝트">
      <formula>NOT(ISERROR(SEARCH(("프로젝트"),(J79))))</formula>
    </cfRule>
    <cfRule type="containsText" dxfId="2876" priority="9720" operator="containsText" text="정규교과">
      <formula>NOT(ISERROR(SEARCH(("정규교과"),(J79))))</formula>
    </cfRule>
    <cfRule type="containsText" dxfId="2875" priority="9721" operator="containsText" text="기타">
      <formula>NOT(ISERROR(SEARCH(("기타"),(J79))))</formula>
    </cfRule>
    <cfRule type="containsText" dxfId="2874" priority="9722" operator="containsText" text="프로젝트">
      <formula>NOT(ISERROR(SEARCH(("프로젝트"),(J79))))</formula>
    </cfRule>
    <cfRule type="containsText" dxfId="2873" priority="9723" operator="containsText" text="정규교과">
      <formula>NOT(ISERROR(SEARCH(("정규교과"),(J79))))</formula>
    </cfRule>
    <cfRule type="containsText" dxfId="2872" priority="9724" operator="containsText" text="기타">
      <formula>NOT(ISERROR(SEARCH(("기타"),(J79))))</formula>
    </cfRule>
    <cfRule type="containsText" dxfId="2871" priority="9725" operator="containsText" text="프로젝트">
      <formula>NOT(ISERROR(SEARCH(("프로젝트"),(J79))))</formula>
    </cfRule>
    <cfRule type="containsText" dxfId="2870" priority="9764" operator="containsText" text="기타">
      <formula>NOT(ISERROR(SEARCH(("기타"),(J79))))</formula>
    </cfRule>
    <cfRule type="containsText" dxfId="2869" priority="9739" operator="containsText" text="기타">
      <formula>NOT(ISERROR(SEARCH(("기타"),(J79))))</formula>
    </cfRule>
    <cfRule type="containsText" dxfId="2868" priority="9748" operator="containsText" text="기타">
      <formula>NOT(ISERROR(SEARCH(("기타"),(J79))))</formula>
    </cfRule>
    <cfRule type="containsText" dxfId="2867" priority="9740" operator="containsText" text="프로젝트">
      <formula>NOT(ISERROR(SEARCH(("프로젝트"),(J79))))</formula>
    </cfRule>
    <cfRule type="containsText" dxfId="2866" priority="9741" operator="containsText" text="정규교과">
      <formula>NOT(ISERROR(SEARCH(("정규교과"),(J79))))</formula>
    </cfRule>
    <cfRule type="containsText" dxfId="2865" priority="9749" operator="containsText" text="프로젝트">
      <formula>NOT(ISERROR(SEARCH(("프로젝트"),(J79))))</formula>
    </cfRule>
    <cfRule type="containsText" dxfId="2864" priority="9737" operator="containsText" text="프로젝트">
      <formula>NOT(ISERROR(SEARCH(("프로젝트"),(J79))))</formula>
    </cfRule>
    <cfRule type="containsText" dxfId="2863" priority="9742" operator="containsText" text="기타">
      <formula>NOT(ISERROR(SEARCH(("기타"),(J79))))</formula>
    </cfRule>
    <cfRule type="containsText" dxfId="2862" priority="9743" operator="containsText" text="프로젝트">
      <formula>NOT(ISERROR(SEARCH(("프로젝트"),(J79))))</formula>
    </cfRule>
    <cfRule type="containsText" dxfId="2861" priority="9759" operator="containsText" text="프로젝트">
      <formula>NOT(ISERROR(SEARCH(("프로젝트"),(J79))))</formula>
    </cfRule>
    <cfRule type="containsText" dxfId="2860" priority="9744" operator="containsText" text="정규교과">
      <formula>NOT(ISERROR(SEARCH(("정규교과"),(J79))))</formula>
    </cfRule>
    <cfRule type="containsText" dxfId="2859" priority="9745" operator="containsText" text="기타">
      <formula>NOT(ISERROR(SEARCH(("기타"),(J79))))</formula>
    </cfRule>
    <cfRule type="containsText" dxfId="2858" priority="9746" operator="containsText" text="프로젝트">
      <formula>NOT(ISERROR(SEARCH(("프로젝트"),(J79))))</formula>
    </cfRule>
    <cfRule type="containsText" dxfId="2857" priority="9726" operator="containsText" text="정규교과">
      <formula>NOT(ISERROR(SEARCH(("정규교과"),(J79))))</formula>
    </cfRule>
    <cfRule type="containsText" dxfId="2856" priority="9727" operator="containsText" text="기타">
      <formula>NOT(ISERROR(SEARCH(("기타"),(J79))))</formula>
    </cfRule>
    <cfRule type="containsText" dxfId="2855" priority="9728" operator="containsText" text="프로젝트">
      <formula>NOT(ISERROR(SEARCH(("프로젝트"),(J79))))</formula>
    </cfRule>
    <cfRule type="containsText" dxfId="2854" priority="9729" operator="containsText" text="정규교과">
      <formula>NOT(ISERROR(SEARCH(("정규교과"),(J79))))</formula>
    </cfRule>
    <cfRule type="containsText" dxfId="2853" priority="9730" operator="containsText" text="기타">
      <formula>NOT(ISERROR(SEARCH(("기타"),(J79))))</formula>
    </cfRule>
    <cfRule type="containsText" dxfId="2852" priority="9731" operator="containsText" text="프로젝트">
      <formula>NOT(ISERROR(SEARCH(("프로젝트"),(J79))))</formula>
    </cfRule>
    <cfRule type="containsText" dxfId="2851" priority="9732" operator="containsText" text="정규교과">
      <formula>NOT(ISERROR(SEARCH(("정규교과"),(J79))))</formula>
    </cfRule>
    <cfRule type="containsText" dxfId="2850" priority="9733" operator="containsText" text="기타">
      <formula>NOT(ISERROR(SEARCH(("기타"),(J79))))</formula>
    </cfRule>
    <cfRule type="containsText" dxfId="2849" priority="9734" operator="containsText" text="프로젝트">
      <formula>NOT(ISERROR(SEARCH(("프로젝트"),(J79))))</formula>
    </cfRule>
    <cfRule type="containsText" dxfId="2848" priority="9735" operator="containsText" text="정규교과">
      <formula>NOT(ISERROR(SEARCH(("정규교과"),(J79))))</formula>
    </cfRule>
    <cfRule type="containsText" dxfId="2847" priority="9747" operator="containsText" text="정규교과">
      <formula>NOT(ISERROR(SEARCH(("정규교과"),(J79))))</formula>
    </cfRule>
  </conditionalFormatting>
  <conditionalFormatting sqref="J83:L83">
    <cfRule type="containsText" dxfId="2846" priority="9654" operator="containsText" text="기타">
      <formula>NOT(ISERROR(SEARCH(("기타"),(J83))))</formula>
    </cfRule>
    <cfRule type="containsText" dxfId="2845" priority="9653" operator="containsText" text="정규교과">
      <formula>NOT(ISERROR(SEARCH(("정규교과"),(J83))))</formula>
    </cfRule>
    <cfRule type="containsText" dxfId="2844" priority="9652" operator="containsText" text="프로젝트">
      <formula>NOT(ISERROR(SEARCH(("프로젝트"),(J83))))</formula>
    </cfRule>
    <cfRule type="containsText" dxfId="2843" priority="9651" operator="containsText" text="기타">
      <formula>NOT(ISERROR(SEARCH(("기타"),(J83))))</formula>
    </cfRule>
    <cfRule type="containsText" dxfId="2842" priority="9650" operator="containsText" text="정규교과">
      <formula>NOT(ISERROR(SEARCH(("정규교과"),(J83))))</formula>
    </cfRule>
    <cfRule type="containsText" dxfId="2841" priority="9649" operator="containsText" text="프로젝트">
      <formula>NOT(ISERROR(SEARCH(("프로젝트"),(J83))))</formula>
    </cfRule>
    <cfRule type="containsText" dxfId="2840" priority="9648" operator="containsText" text="휴강">
      <formula>NOT(ISERROR(SEARCH(("휴강"),(J83))))</formula>
    </cfRule>
    <cfRule type="containsText" dxfId="2839" priority="9647" operator="containsText" text="기타">
      <formula>NOT(ISERROR(SEARCH(("기타"),(J83))))</formula>
    </cfRule>
    <cfRule type="containsText" dxfId="2838" priority="9646" operator="containsText" text="정규교과">
      <formula>NOT(ISERROR(SEARCH(("정규교과"),(J83))))</formula>
    </cfRule>
    <cfRule type="containsText" dxfId="2837" priority="9645" operator="containsText" text="프로젝트">
      <formula>NOT(ISERROR(SEARCH(("프로젝트"),(J83))))</formula>
    </cfRule>
    <cfRule type="containsText" dxfId="2836" priority="9644" operator="containsText" text="기타">
      <formula>NOT(ISERROR(SEARCH(("기타"),(J83))))</formula>
    </cfRule>
    <cfRule type="containsText" dxfId="2835" priority="9643" operator="containsText" text="정규교과">
      <formula>NOT(ISERROR(SEARCH(("정규교과"),(J83))))</formula>
    </cfRule>
    <cfRule type="containsText" dxfId="2834" priority="9642" operator="containsText" text="프로젝트">
      <formula>NOT(ISERROR(SEARCH(("프로젝트"),(J83))))</formula>
    </cfRule>
    <cfRule type="containsText" dxfId="2833" priority="9641" operator="containsText" text="기타">
      <formula>NOT(ISERROR(SEARCH(("기타"),(J83))))</formula>
    </cfRule>
    <cfRule type="containsText" dxfId="2832" priority="9640" operator="containsText" text="정규교과">
      <formula>NOT(ISERROR(SEARCH(("정규교과"),(J83))))</formula>
    </cfRule>
    <cfRule type="containsText" dxfId="2831" priority="9639" operator="containsText" text="프로젝트">
      <formula>NOT(ISERROR(SEARCH(("프로젝트"),(J83))))</formula>
    </cfRule>
    <cfRule type="containsText" dxfId="2830" priority="9638" operator="containsText" text="기타">
      <formula>NOT(ISERROR(SEARCH(("기타"),(J83))))</formula>
    </cfRule>
    <cfRule type="containsText" dxfId="2829" priority="9637" operator="containsText" text="정규교과">
      <formula>NOT(ISERROR(SEARCH(("정규교과"),(J83))))</formula>
    </cfRule>
    <cfRule type="containsText" dxfId="2828" priority="9636" operator="containsText" text="프로젝트">
      <formula>NOT(ISERROR(SEARCH(("프로젝트"),(J83))))</formula>
    </cfRule>
    <cfRule type="containsText" dxfId="2827" priority="9635" operator="containsText" text="기타">
      <formula>NOT(ISERROR(SEARCH(("기타"),(J83))))</formula>
    </cfRule>
    <cfRule type="containsText" dxfId="2826" priority="9634" operator="containsText" text="정규교과">
      <formula>NOT(ISERROR(SEARCH(("정규교과"),(J83))))</formula>
    </cfRule>
    <cfRule type="containsText" dxfId="2825" priority="9633" operator="containsText" text="프로젝트">
      <formula>NOT(ISERROR(SEARCH(("프로젝트"),(J83))))</formula>
    </cfRule>
    <cfRule type="containsText" dxfId="2824" priority="9632" operator="containsText" text="기타">
      <formula>NOT(ISERROR(SEARCH(("기타"),(J83))))</formula>
    </cfRule>
    <cfRule type="containsText" dxfId="2823" priority="9631" operator="containsText" text="정규교과">
      <formula>NOT(ISERROR(SEARCH(("정규교과"),(J83))))</formula>
    </cfRule>
    <cfRule type="containsText" dxfId="2822" priority="9630" operator="containsText" text="프로젝트">
      <formula>NOT(ISERROR(SEARCH(("프로젝트"),(J83))))</formula>
    </cfRule>
    <cfRule type="containsText" dxfId="2821" priority="9629" operator="containsText" text="기타">
      <formula>NOT(ISERROR(SEARCH(("기타"),(J83))))</formula>
    </cfRule>
    <cfRule type="containsText" dxfId="2820" priority="9628" operator="containsText" text="정규교과">
      <formula>NOT(ISERROR(SEARCH(("정규교과"),(J83))))</formula>
    </cfRule>
    <cfRule type="containsText" dxfId="2819" priority="9627" operator="containsText" text="프로젝트">
      <formula>NOT(ISERROR(SEARCH(("프로젝트"),(J83))))</formula>
    </cfRule>
    <cfRule type="containsText" dxfId="2818" priority="9626" operator="containsText" text="기타">
      <formula>NOT(ISERROR(SEARCH(("기타"),(J83))))</formula>
    </cfRule>
    <cfRule type="containsText" dxfId="2817" priority="9625" operator="containsText" text="정규교과">
      <formula>NOT(ISERROR(SEARCH(("정규교과"),(J83))))</formula>
    </cfRule>
    <cfRule type="containsText" dxfId="2816" priority="9624" operator="containsText" text="프로젝트">
      <formula>NOT(ISERROR(SEARCH(("프로젝트"),(J83))))</formula>
    </cfRule>
    <cfRule type="containsText" dxfId="2815" priority="9623" operator="containsText" text="기타">
      <formula>NOT(ISERROR(SEARCH(("기타"),(J83))))</formula>
    </cfRule>
    <cfRule type="containsText" dxfId="2814" priority="9622" operator="containsText" text="정규교과">
      <formula>NOT(ISERROR(SEARCH(("정규교과"),(J83))))</formula>
    </cfRule>
    <cfRule type="containsText" dxfId="2813" priority="9621" operator="containsText" text="프로젝트">
      <formula>NOT(ISERROR(SEARCH(("프로젝트"),(J83))))</formula>
    </cfRule>
    <cfRule type="containsText" dxfId="2812" priority="9620" operator="containsText" text="기타">
      <formula>NOT(ISERROR(SEARCH(("기타"),(J83))))</formula>
    </cfRule>
    <cfRule type="containsText" dxfId="2811" priority="9619" operator="containsText" text="정규교과">
      <formula>NOT(ISERROR(SEARCH(("정규교과"),(J83))))</formula>
    </cfRule>
    <cfRule type="containsText" dxfId="2810" priority="9618" operator="containsText" text="프로젝트">
      <formula>NOT(ISERROR(SEARCH(("프로젝트"),(J83))))</formula>
    </cfRule>
    <cfRule type="containsText" dxfId="2809" priority="9617" operator="containsText" text="기타">
      <formula>NOT(ISERROR(SEARCH(("기타"),(J83))))</formula>
    </cfRule>
    <cfRule type="containsText" dxfId="2808" priority="9616" operator="containsText" text="정규교과">
      <formula>NOT(ISERROR(SEARCH(("정규교과"),(J83))))</formula>
    </cfRule>
    <cfRule type="containsText" dxfId="2807" priority="9615" operator="containsText" text="프로젝트">
      <formula>NOT(ISERROR(SEARCH(("프로젝트"),(J83))))</formula>
    </cfRule>
    <cfRule type="containsText" dxfId="2806" priority="9613" operator="containsText" text="정규교과">
      <formula>NOT(ISERROR(SEARCH(("정규교과"),(J83))))</formula>
    </cfRule>
    <cfRule type="containsText" dxfId="2805" priority="9612" operator="containsText" text="프로젝트">
      <formula>NOT(ISERROR(SEARCH(("프로젝트"),(J83))))</formula>
    </cfRule>
    <cfRule type="containsText" dxfId="2804" priority="9614" operator="containsText" text="기타">
      <formula>NOT(ISERROR(SEARCH(("기타"),(J83))))</formula>
    </cfRule>
    <cfRule type="containsText" dxfId="2803" priority="9662" operator="containsText" text="정규교과">
      <formula>NOT(ISERROR(SEARCH(("정규교과"),(J83))))</formula>
    </cfRule>
    <cfRule type="containsText" dxfId="2802" priority="9663" operator="containsText" text="기타">
      <formula>NOT(ISERROR(SEARCH(("기타"),(J83))))</formula>
    </cfRule>
    <cfRule type="containsText" dxfId="2801" priority="9660" operator="containsText" text="기타">
      <formula>NOT(ISERROR(SEARCH(("기타"),(J83))))</formula>
    </cfRule>
    <cfRule type="containsText" dxfId="2800" priority="9659" operator="containsText" text="정규교과">
      <formula>NOT(ISERROR(SEARCH(("정규교과"),(J83))))</formula>
    </cfRule>
    <cfRule type="containsText" dxfId="2799" priority="9658" operator="containsText" text="프로젝트">
      <formula>NOT(ISERROR(SEARCH(("프로젝트"),(J83))))</formula>
    </cfRule>
    <cfRule type="containsText" dxfId="2798" priority="9657" operator="containsText" text="기타">
      <formula>NOT(ISERROR(SEARCH(("기타"),(J83))))</formula>
    </cfRule>
    <cfRule type="containsText" dxfId="2797" priority="9656" operator="containsText" text="정규교과">
      <formula>NOT(ISERROR(SEARCH(("정규교과"),(J83))))</formula>
    </cfRule>
    <cfRule type="containsText" dxfId="2796" priority="9655" operator="containsText" text="프로젝트">
      <formula>NOT(ISERROR(SEARCH(("프로젝트"),(J83))))</formula>
    </cfRule>
  </conditionalFormatting>
  <conditionalFormatting sqref="J88:L88">
    <cfRule type="containsText" dxfId="2795" priority="9513" operator="containsText" text="기타">
      <formula>NOT(ISERROR(SEARCH(("기타"),(J88))))</formula>
    </cfRule>
    <cfRule type="containsText" dxfId="2794" priority="9512" operator="containsText" text="정규교과">
      <formula>NOT(ISERROR(SEARCH(("정규교과"),(J88))))</formula>
    </cfRule>
    <cfRule type="containsText" dxfId="2793" priority="9511" operator="containsText" text="프로젝트">
      <formula>NOT(ISERROR(SEARCH(("프로젝트"),(J88))))</formula>
    </cfRule>
    <cfRule type="containsText" dxfId="2792" priority="9510" operator="containsText" text="기타">
      <formula>NOT(ISERROR(SEARCH(("기타"),(J88))))</formula>
    </cfRule>
    <cfRule type="containsText" dxfId="2791" priority="9509" operator="containsText" text="정규교과">
      <formula>NOT(ISERROR(SEARCH(("정규교과"),(J88))))</formula>
    </cfRule>
    <cfRule type="containsText" dxfId="2790" priority="9508" operator="containsText" text="프로젝트">
      <formula>NOT(ISERROR(SEARCH(("프로젝트"),(J88))))</formula>
    </cfRule>
    <cfRule type="containsText" dxfId="2789" priority="9520" operator="containsText" text="프로젝트">
      <formula>NOT(ISERROR(SEARCH(("프로젝트"),(J88))))</formula>
    </cfRule>
    <cfRule type="containsText" dxfId="2788" priority="9535" operator="containsText" text="프로젝트">
      <formula>NOT(ISERROR(SEARCH(("프로젝트"),(J88))))</formula>
    </cfRule>
    <cfRule type="containsText" dxfId="2787" priority="9534" operator="containsText" text="기타">
      <formula>NOT(ISERROR(SEARCH(("기타"),(J88))))</formula>
    </cfRule>
    <cfRule type="containsText" dxfId="2786" priority="9533" operator="containsText" text="정규교과">
      <formula>NOT(ISERROR(SEARCH(("정규교과"),(J88))))</formula>
    </cfRule>
    <cfRule type="containsText" dxfId="2785" priority="9559" operator="containsText" text="기타">
      <formula>NOT(ISERROR(SEARCH(("기타"),(J88))))</formula>
    </cfRule>
    <cfRule type="containsText" dxfId="2784" priority="9531" operator="containsText" text="기타">
      <formula>NOT(ISERROR(SEARCH(("기타"),(J88))))</formula>
    </cfRule>
    <cfRule type="containsText" dxfId="2783" priority="9530" operator="containsText" text="정규교과">
      <formula>NOT(ISERROR(SEARCH(("정규교과"),(J88))))</formula>
    </cfRule>
    <cfRule type="containsText" dxfId="2782" priority="9529" operator="containsText" text="프로젝트">
      <formula>NOT(ISERROR(SEARCH(("프로젝트"),(J88))))</formula>
    </cfRule>
    <cfRule type="containsText" dxfId="2781" priority="9528" operator="containsText" text="기타">
      <formula>NOT(ISERROR(SEARCH(("기타"),(J88))))</formula>
    </cfRule>
    <cfRule type="containsText" dxfId="2780" priority="9527" operator="containsText" text="정규교과">
      <formula>NOT(ISERROR(SEARCH(("정규교과"),(J88))))</formula>
    </cfRule>
    <cfRule type="containsText" dxfId="2779" priority="9526" operator="containsText" text="프로젝트">
      <formula>NOT(ISERROR(SEARCH(("프로젝트"),(J88))))</formula>
    </cfRule>
    <cfRule type="containsText" dxfId="2778" priority="9556" operator="containsText" text="기타">
      <formula>NOT(ISERROR(SEARCH(("기타"),(J88))))</formula>
    </cfRule>
    <cfRule type="containsText" dxfId="2777" priority="9555" operator="containsText" text="정규교과">
      <formula>NOT(ISERROR(SEARCH(("정규교과"),(J88))))</formula>
    </cfRule>
    <cfRule type="containsText" dxfId="2776" priority="9525" operator="containsText" text="기타">
      <formula>NOT(ISERROR(SEARCH(("기타"),(J88))))</formula>
    </cfRule>
    <cfRule type="containsText" dxfId="2775" priority="9524" operator="containsText" text="정규교과">
      <formula>NOT(ISERROR(SEARCH(("정규교과"),(J88))))</formula>
    </cfRule>
    <cfRule type="containsText" dxfId="2774" priority="9523" operator="containsText" text="프로젝트">
      <formula>NOT(ISERROR(SEARCH(("프로젝트"),(J88))))</formula>
    </cfRule>
    <cfRule type="containsText" dxfId="2773" priority="9522" operator="containsText" text="기타">
      <formula>NOT(ISERROR(SEARCH(("기타"),(J88))))</formula>
    </cfRule>
    <cfRule type="containsText" dxfId="2772" priority="9558" operator="containsText" text="정규교과">
      <formula>NOT(ISERROR(SEARCH(("정규교과"),(J88))))</formula>
    </cfRule>
    <cfRule type="containsText" dxfId="2771" priority="9521" operator="containsText" text="정규교과">
      <formula>NOT(ISERROR(SEARCH(("정규교과"),(J88))))</formula>
    </cfRule>
    <cfRule type="containsText" dxfId="2770" priority="9532" operator="containsText" text="프로젝트">
      <formula>NOT(ISERROR(SEARCH(("프로젝트"),(J88))))</formula>
    </cfRule>
    <cfRule type="containsText" dxfId="2769" priority="9519" operator="containsText" text="기타">
      <formula>NOT(ISERROR(SEARCH(("기타"),(J88))))</formula>
    </cfRule>
    <cfRule type="containsText" dxfId="2768" priority="9554" operator="containsText" text="프로젝트">
      <formula>NOT(ISERROR(SEARCH(("프로젝트"),(J88))))</formula>
    </cfRule>
    <cfRule type="containsText" dxfId="2767" priority="9553" operator="containsText" text="기타">
      <formula>NOT(ISERROR(SEARCH(("기타"),(J88))))</formula>
    </cfRule>
    <cfRule type="containsText" dxfId="2766" priority="9552" operator="containsText" text="정규교과">
      <formula>NOT(ISERROR(SEARCH(("정규교과"),(J88))))</formula>
    </cfRule>
    <cfRule type="containsText" dxfId="2765" priority="9551" operator="containsText" text="프로젝트">
      <formula>NOT(ISERROR(SEARCH(("프로젝트"),(J88))))</formula>
    </cfRule>
    <cfRule type="containsText" dxfId="2764" priority="9550" operator="containsText" text="기타">
      <formula>NOT(ISERROR(SEARCH(("기타"),(J88))))</formula>
    </cfRule>
    <cfRule type="containsText" dxfId="2763" priority="9549" operator="containsText" text="정규교과">
      <formula>NOT(ISERROR(SEARCH(("정규교과"),(J88))))</formula>
    </cfRule>
    <cfRule type="containsText" dxfId="2762" priority="9548" operator="containsText" text="프로젝트">
      <formula>NOT(ISERROR(SEARCH(("프로젝트"),(J88))))</formula>
    </cfRule>
    <cfRule type="containsText" dxfId="2761" priority="9547" operator="containsText" text="기타">
      <formula>NOT(ISERROR(SEARCH(("기타"),(J88))))</formula>
    </cfRule>
    <cfRule type="containsText" dxfId="2760" priority="9546" operator="containsText" text="정규교과">
      <formula>NOT(ISERROR(SEARCH(("정규교과"),(J88))))</formula>
    </cfRule>
    <cfRule type="containsText" dxfId="2759" priority="9545" operator="containsText" text="프로젝트">
      <formula>NOT(ISERROR(SEARCH(("프로젝트"),(J88))))</formula>
    </cfRule>
    <cfRule type="containsText" dxfId="2758" priority="9544" operator="containsText" text="휴강">
      <formula>NOT(ISERROR(SEARCH(("휴강"),(J88))))</formula>
    </cfRule>
    <cfRule type="containsText" dxfId="2757" priority="9543" operator="containsText" text="기타">
      <formula>NOT(ISERROR(SEARCH(("기타"),(J88))))</formula>
    </cfRule>
    <cfRule type="containsText" dxfId="2756" priority="9542" operator="containsText" text="정규교과">
      <formula>NOT(ISERROR(SEARCH(("정규교과"),(J88))))</formula>
    </cfRule>
    <cfRule type="containsText" dxfId="2755" priority="9541" operator="containsText" text="프로젝트">
      <formula>NOT(ISERROR(SEARCH(("프로젝트"),(J88))))</formula>
    </cfRule>
    <cfRule type="containsText" dxfId="2754" priority="9540" operator="containsText" text="기타">
      <formula>NOT(ISERROR(SEARCH(("기타"),(J88))))</formula>
    </cfRule>
    <cfRule type="containsText" dxfId="2753" priority="9539" operator="containsText" text="정규교과">
      <formula>NOT(ISERROR(SEARCH(("정규교과"),(J88))))</formula>
    </cfRule>
    <cfRule type="containsText" dxfId="2752" priority="9518" operator="containsText" text="정규교과">
      <formula>NOT(ISERROR(SEARCH(("정규교과"),(J88))))</formula>
    </cfRule>
    <cfRule type="containsText" dxfId="2751" priority="9538" operator="containsText" text="프로젝트">
      <formula>NOT(ISERROR(SEARCH(("프로젝트"),(J88))))</formula>
    </cfRule>
    <cfRule type="containsText" dxfId="2750" priority="9537" operator="containsText" text="기타">
      <formula>NOT(ISERROR(SEARCH(("기타"),(J88))))</formula>
    </cfRule>
    <cfRule type="containsText" dxfId="2749" priority="9517" operator="containsText" text="프로젝트">
      <formula>NOT(ISERROR(SEARCH(("프로젝트"),(J88))))</formula>
    </cfRule>
    <cfRule type="containsText" dxfId="2748" priority="9516" operator="containsText" text="기타">
      <formula>NOT(ISERROR(SEARCH(("기타"),(J88))))</formula>
    </cfRule>
    <cfRule type="containsText" dxfId="2747" priority="9515" operator="containsText" text="정규교과">
      <formula>NOT(ISERROR(SEARCH(("정규교과"),(J88))))</formula>
    </cfRule>
    <cfRule type="containsText" dxfId="2746" priority="9514" operator="containsText" text="프로젝트">
      <formula>NOT(ISERROR(SEARCH(("프로젝트"),(J88))))</formula>
    </cfRule>
    <cfRule type="containsText" dxfId="2745" priority="9536" operator="containsText" text="정규교과">
      <formula>NOT(ISERROR(SEARCH(("정규교과"),(J88))))</formula>
    </cfRule>
  </conditionalFormatting>
  <conditionalFormatting sqref="J92:L92">
    <cfRule type="containsText" dxfId="2744" priority="9417" operator="containsText" text="정규교과">
      <formula>NOT(ISERROR(SEARCH(("정규교과"),(J92))))</formula>
    </cfRule>
    <cfRule type="containsText" dxfId="2743" priority="9409" operator="containsText" text="기타">
      <formula>NOT(ISERROR(SEARCH(("기타"),(J92))))</formula>
    </cfRule>
    <cfRule type="containsText" dxfId="2742" priority="9424" operator="containsText" text="기타">
      <formula>NOT(ISERROR(SEARCH(("기타"),(J92))))</formula>
    </cfRule>
    <cfRule type="containsText" dxfId="2741" priority="9444" operator="containsText" text="프로젝트">
      <formula>NOT(ISERROR(SEARCH(("프로젝트"),(J92))))</formula>
    </cfRule>
    <cfRule type="containsText" dxfId="2740" priority="9445" operator="containsText" text="정규교과">
      <formula>NOT(ISERROR(SEARCH(("정규교과"),(J92))))</formula>
    </cfRule>
    <cfRule type="containsText" dxfId="2739" priority="9446" operator="containsText" text="기타">
      <formula>NOT(ISERROR(SEARCH(("기타"),(J92))))</formula>
    </cfRule>
    <cfRule type="containsText" dxfId="2738" priority="9447" operator="containsText" text="프로젝트">
      <formula>NOT(ISERROR(SEARCH(("프로젝트"),(J92))))</formula>
    </cfRule>
    <cfRule type="containsText" dxfId="2737" priority="9448" operator="containsText" text="정규교과">
      <formula>NOT(ISERROR(SEARCH(("정규교과"),(J92))))</formula>
    </cfRule>
    <cfRule type="containsText" dxfId="2736" priority="9415" operator="containsText" text="기타">
      <formula>NOT(ISERROR(SEARCH(("기타"),(J92))))</formula>
    </cfRule>
    <cfRule type="containsText" dxfId="2735" priority="9410" operator="containsText" text="프로젝트">
      <formula>NOT(ISERROR(SEARCH(("프로젝트"),(J92))))</formula>
    </cfRule>
    <cfRule type="containsText" dxfId="2734" priority="9450" operator="containsText" text="프로젝트">
      <formula>NOT(ISERROR(SEARCH(("프로젝트"),(J92))))</formula>
    </cfRule>
    <cfRule type="containsText" dxfId="2733" priority="9451" operator="containsText" text="정규교과">
      <formula>NOT(ISERROR(SEARCH(("정규교과"),(J92))))</formula>
    </cfRule>
    <cfRule type="containsText" dxfId="2732" priority="9452" operator="containsText" text="기타">
      <formula>NOT(ISERROR(SEARCH(("기타"),(J92))))</formula>
    </cfRule>
    <cfRule type="containsText" dxfId="2731" priority="9454" operator="containsText" text="정규교과">
      <formula>NOT(ISERROR(SEARCH(("정규교과"),(J92))))</formula>
    </cfRule>
    <cfRule type="containsText" dxfId="2730" priority="9455" operator="containsText" text="기타">
      <formula>NOT(ISERROR(SEARCH(("기타"),(J92))))</formula>
    </cfRule>
    <cfRule type="containsText" dxfId="2729" priority="9449" operator="containsText" text="기타">
      <formula>NOT(ISERROR(SEARCH(("기타"),(J92))))</formula>
    </cfRule>
    <cfRule type="containsText" dxfId="2728" priority="9411" operator="containsText" text="정규교과">
      <formula>NOT(ISERROR(SEARCH(("정규교과"),(J92))))</formula>
    </cfRule>
    <cfRule type="containsText" dxfId="2727" priority="9412" operator="containsText" text="기타">
      <formula>NOT(ISERROR(SEARCH(("기타"),(J92))))</formula>
    </cfRule>
    <cfRule type="containsText" dxfId="2726" priority="9413" operator="containsText" text="프로젝트">
      <formula>NOT(ISERROR(SEARCH(("프로젝트"),(J92))))</formula>
    </cfRule>
    <cfRule type="containsText" dxfId="2725" priority="9414" operator="containsText" text="정규교과">
      <formula>NOT(ISERROR(SEARCH(("정규교과"),(J92))))</formula>
    </cfRule>
    <cfRule type="containsText" dxfId="2724" priority="9416" operator="containsText" text="프로젝트">
      <formula>NOT(ISERROR(SEARCH(("프로젝트"),(J92))))</formula>
    </cfRule>
    <cfRule type="containsText" dxfId="2723" priority="9418" operator="containsText" text="기타">
      <formula>NOT(ISERROR(SEARCH(("기타"),(J92))))</formula>
    </cfRule>
    <cfRule type="containsText" dxfId="2722" priority="9419" operator="containsText" text="프로젝트">
      <formula>NOT(ISERROR(SEARCH(("프로젝트"),(J92))))</formula>
    </cfRule>
    <cfRule type="containsText" dxfId="2721" priority="9420" operator="containsText" text="정규교과">
      <formula>NOT(ISERROR(SEARCH(("정규교과"),(J92))))</formula>
    </cfRule>
    <cfRule type="containsText" dxfId="2720" priority="9421" operator="containsText" text="기타">
      <formula>NOT(ISERROR(SEARCH(("기타"),(J92))))</formula>
    </cfRule>
    <cfRule type="containsText" dxfId="2719" priority="9422" operator="containsText" text="프로젝트">
      <formula>NOT(ISERROR(SEARCH(("프로젝트"),(J92))))</formula>
    </cfRule>
    <cfRule type="containsText" dxfId="2718" priority="9423" operator="containsText" text="정규교과">
      <formula>NOT(ISERROR(SEARCH(("정규교과"),(J92))))</formula>
    </cfRule>
    <cfRule type="containsText" dxfId="2717" priority="9425" operator="containsText" text="프로젝트">
      <formula>NOT(ISERROR(SEARCH(("프로젝트"),(J92))))</formula>
    </cfRule>
    <cfRule type="containsText" dxfId="2716" priority="9426" operator="containsText" text="정규교과">
      <formula>NOT(ISERROR(SEARCH(("정규교과"),(J92))))</formula>
    </cfRule>
    <cfRule type="containsText" dxfId="2715" priority="9427" operator="containsText" text="기타">
      <formula>NOT(ISERROR(SEARCH(("기타"),(J92))))</formula>
    </cfRule>
    <cfRule type="containsText" dxfId="2714" priority="9428" operator="containsText" text="프로젝트">
      <formula>NOT(ISERROR(SEARCH(("프로젝트"),(J92))))</formula>
    </cfRule>
    <cfRule type="containsText" dxfId="2713" priority="9429" operator="containsText" text="정규교과">
      <formula>NOT(ISERROR(SEARCH(("정규교과"),(J92))))</formula>
    </cfRule>
    <cfRule type="containsText" dxfId="2712" priority="9430" operator="containsText" text="기타">
      <formula>NOT(ISERROR(SEARCH(("기타"),(J92))))</formula>
    </cfRule>
    <cfRule type="containsText" dxfId="2711" priority="9431" operator="containsText" text="프로젝트">
      <formula>NOT(ISERROR(SEARCH(("프로젝트"),(J92))))</formula>
    </cfRule>
    <cfRule type="containsText" dxfId="2710" priority="9432" operator="containsText" text="정규교과">
      <formula>NOT(ISERROR(SEARCH(("정규교과"),(J92))))</formula>
    </cfRule>
    <cfRule type="containsText" dxfId="2709" priority="9433" operator="containsText" text="기타">
      <formula>NOT(ISERROR(SEARCH(("기타"),(J92))))</formula>
    </cfRule>
    <cfRule type="containsText" dxfId="2708" priority="9434" operator="containsText" text="프로젝트">
      <formula>NOT(ISERROR(SEARCH(("프로젝트"),(J92))))</formula>
    </cfRule>
    <cfRule type="containsText" dxfId="2707" priority="9435" operator="containsText" text="정규교과">
      <formula>NOT(ISERROR(SEARCH(("정규교과"),(J92))))</formula>
    </cfRule>
    <cfRule type="containsText" dxfId="2706" priority="9436" operator="containsText" text="기타">
      <formula>NOT(ISERROR(SEARCH(("기타"),(J92))))</formula>
    </cfRule>
    <cfRule type="containsText" dxfId="2705" priority="9437" operator="containsText" text="프로젝트">
      <formula>NOT(ISERROR(SEARCH(("프로젝트"),(J92))))</formula>
    </cfRule>
    <cfRule type="containsText" dxfId="2704" priority="9438" operator="containsText" text="정규교과">
      <formula>NOT(ISERROR(SEARCH(("정규교과"),(J92))))</formula>
    </cfRule>
    <cfRule type="containsText" dxfId="2703" priority="9439" operator="containsText" text="기타">
      <formula>NOT(ISERROR(SEARCH(("기타"),(J92))))</formula>
    </cfRule>
    <cfRule type="containsText" dxfId="2702" priority="9440" operator="containsText" text="휴강">
      <formula>NOT(ISERROR(SEARCH(("휴강"),(J92))))</formula>
    </cfRule>
    <cfRule type="containsText" dxfId="2701" priority="9441" operator="containsText" text="프로젝트">
      <formula>NOT(ISERROR(SEARCH(("프로젝트"),(J92))))</formula>
    </cfRule>
    <cfRule type="containsText" dxfId="2700" priority="9442" operator="containsText" text="정규교과">
      <formula>NOT(ISERROR(SEARCH(("정규교과"),(J92))))</formula>
    </cfRule>
    <cfRule type="containsText" dxfId="2699" priority="9443" operator="containsText" text="기타">
      <formula>NOT(ISERROR(SEARCH(("기타"),(J92))))</formula>
    </cfRule>
    <cfRule type="containsText" dxfId="2698" priority="9404" operator="containsText" text="프로젝트">
      <formula>NOT(ISERROR(SEARCH(("프로젝트"),(J92))))</formula>
    </cfRule>
    <cfRule type="containsText" dxfId="2697" priority="9405" operator="containsText" text="정규교과">
      <formula>NOT(ISERROR(SEARCH(("정규교과"),(J92))))</formula>
    </cfRule>
    <cfRule type="containsText" dxfId="2696" priority="9406" operator="containsText" text="기타">
      <formula>NOT(ISERROR(SEARCH(("기타"),(J92))))</formula>
    </cfRule>
    <cfRule type="containsText" dxfId="2695" priority="9407" operator="containsText" text="프로젝트">
      <formula>NOT(ISERROR(SEARCH(("프로젝트"),(J92))))</formula>
    </cfRule>
    <cfRule type="containsText" dxfId="2694" priority="9408" operator="containsText" text="정규교과">
      <formula>NOT(ISERROR(SEARCH(("정규교과"),(J92))))</formula>
    </cfRule>
  </conditionalFormatting>
  <conditionalFormatting sqref="J96:L96">
    <cfRule type="containsText" dxfId="2693" priority="9324" operator="containsText" text="프로젝트">
      <formula>NOT(ISERROR(SEARCH(("프로젝트"),(J96))))</formula>
    </cfRule>
    <cfRule type="containsText" dxfId="2692" priority="9347" operator="containsText" text="정규교과">
      <formula>NOT(ISERROR(SEARCH(("정규교과"),(J96))))</formula>
    </cfRule>
    <cfRule type="containsText" dxfId="2691" priority="9346" operator="containsText" text="프로젝트">
      <formula>NOT(ISERROR(SEARCH(("프로젝트"),(J96))))</formula>
    </cfRule>
    <cfRule type="containsText" dxfId="2690" priority="9345" operator="containsText" text="기타">
      <formula>NOT(ISERROR(SEARCH(("기타"),(J96))))</formula>
    </cfRule>
    <cfRule type="containsText" dxfId="2689" priority="9344" operator="containsText" text="정규교과">
      <formula>NOT(ISERROR(SEARCH(("정규교과"),(J96))))</formula>
    </cfRule>
    <cfRule type="containsText" dxfId="2688" priority="9343" operator="containsText" text="프로젝트">
      <formula>NOT(ISERROR(SEARCH(("프로젝트"),(J96))))</formula>
    </cfRule>
    <cfRule type="containsText" dxfId="2687" priority="9342" operator="containsText" text="기타">
      <formula>NOT(ISERROR(SEARCH(("기타"),(J96))))</formula>
    </cfRule>
    <cfRule type="containsText" dxfId="2686" priority="9341" operator="containsText" text="정규교과">
      <formula>NOT(ISERROR(SEARCH(("정규교과"),(J96))))</formula>
    </cfRule>
    <cfRule type="containsText" dxfId="2685" priority="9319" operator="containsText" text="정규교과">
      <formula>NOT(ISERROR(SEARCH(("정규교과"),(J96))))</formula>
    </cfRule>
    <cfRule type="containsText" dxfId="2684" priority="9320" operator="containsText" text="기타">
      <formula>NOT(ISERROR(SEARCH(("기타"),(J96))))</formula>
    </cfRule>
    <cfRule type="containsText" dxfId="2683" priority="9321" operator="containsText" text="프로젝트">
      <formula>NOT(ISERROR(SEARCH(("프로젝트"),(J96))))</formula>
    </cfRule>
    <cfRule type="containsText" dxfId="2682" priority="9322" operator="containsText" text="정규교과">
      <formula>NOT(ISERROR(SEARCH(("정규교과"),(J96))))</formula>
    </cfRule>
    <cfRule type="containsText" dxfId="2681" priority="9323" operator="containsText" text="기타">
      <formula>NOT(ISERROR(SEARCH(("기타"),(J96))))</formula>
    </cfRule>
    <cfRule type="containsText" dxfId="2680" priority="9348" operator="containsText" text="기타">
      <formula>NOT(ISERROR(SEARCH(("기타"),(J96))))</formula>
    </cfRule>
    <cfRule type="containsText" dxfId="2679" priority="9318" operator="containsText" text="프로젝트">
      <formula>NOT(ISERROR(SEARCH(("프로젝트"),(J96))))</formula>
    </cfRule>
    <cfRule type="containsText" dxfId="2678" priority="9340" operator="containsText" text="프로젝트">
      <formula>NOT(ISERROR(SEARCH(("프로젝트"),(J96))))</formula>
    </cfRule>
    <cfRule type="containsText" dxfId="2677" priority="9339" operator="containsText" text="기타">
      <formula>NOT(ISERROR(SEARCH(("기타"),(J96))))</formula>
    </cfRule>
    <cfRule type="containsText" dxfId="2676" priority="9316" operator="containsText" text="정규교과">
      <formula>NOT(ISERROR(SEARCH(("정규교과"),(J96))))</formula>
    </cfRule>
    <cfRule type="containsText" dxfId="2675" priority="9307" operator="containsText" text="정규교과">
      <formula>NOT(ISERROR(SEARCH(("정규교과"),(J96))))</formula>
    </cfRule>
    <cfRule type="containsText" dxfId="2674" priority="9338" operator="containsText" text="정규교과">
      <formula>NOT(ISERROR(SEARCH(("정규교과"),(J96))))</formula>
    </cfRule>
    <cfRule type="containsText" dxfId="2673" priority="9337" operator="containsText" text="프로젝트">
      <formula>NOT(ISERROR(SEARCH(("프로젝트"),(J96))))</formula>
    </cfRule>
    <cfRule type="containsText" dxfId="2672" priority="9336" operator="containsText" text="휴강">
      <formula>NOT(ISERROR(SEARCH(("휴강"),(J96))))</formula>
    </cfRule>
    <cfRule type="containsText" dxfId="2671" priority="9314" operator="containsText" text="기타">
      <formula>NOT(ISERROR(SEARCH(("기타"),(J96))))</formula>
    </cfRule>
    <cfRule type="containsText" dxfId="2670" priority="9335" operator="containsText" text="기타">
      <formula>NOT(ISERROR(SEARCH(("기타"),(J96))))</formula>
    </cfRule>
    <cfRule type="containsText" dxfId="2669" priority="9315" operator="containsText" text="프로젝트">
      <formula>NOT(ISERROR(SEARCH(("프로젝트"),(J96))))</formula>
    </cfRule>
    <cfRule type="containsText" dxfId="2668" priority="9334" operator="containsText" text="정규교과">
      <formula>NOT(ISERROR(SEARCH(("정규교과"),(J96))))</formula>
    </cfRule>
    <cfRule type="containsText" dxfId="2667" priority="9333" operator="containsText" text="프로젝트">
      <formula>NOT(ISERROR(SEARCH(("프로젝트"),(J96))))</formula>
    </cfRule>
    <cfRule type="containsText" dxfId="2666" priority="9332" operator="containsText" text="기타">
      <formula>NOT(ISERROR(SEARCH(("기타"),(J96))))</formula>
    </cfRule>
    <cfRule type="containsText" dxfId="2665" priority="9331" operator="containsText" text="정규교과">
      <formula>NOT(ISERROR(SEARCH(("정규교과"),(J96))))</formula>
    </cfRule>
    <cfRule type="containsText" dxfId="2664" priority="9330" operator="containsText" text="프로젝트">
      <formula>NOT(ISERROR(SEARCH(("프로젝트"),(J96))))</formula>
    </cfRule>
    <cfRule type="containsText" dxfId="2663" priority="9329" operator="containsText" text="기타">
      <formula>NOT(ISERROR(SEARCH(("기타"),(J96))))</formula>
    </cfRule>
    <cfRule type="containsText" dxfId="2662" priority="9328" operator="containsText" text="정규교과">
      <formula>NOT(ISERROR(SEARCH(("정규교과"),(J96))))</formula>
    </cfRule>
    <cfRule type="containsText" dxfId="2661" priority="9327" operator="containsText" text="프로젝트">
      <formula>NOT(ISERROR(SEARCH(("프로젝트"),(J96))))</formula>
    </cfRule>
    <cfRule type="containsText" dxfId="2660" priority="9326" operator="containsText" text="기타">
      <formula>NOT(ISERROR(SEARCH(("기타"),(J96))))</formula>
    </cfRule>
    <cfRule type="containsText" dxfId="2659" priority="9306" operator="containsText" text="프로젝트">
      <formula>NOT(ISERROR(SEARCH(("프로젝트"),(J96))))</formula>
    </cfRule>
    <cfRule type="containsText" dxfId="2658" priority="9305" operator="containsText" text="기타">
      <formula>NOT(ISERROR(SEARCH(("기타"),(J96))))</formula>
    </cfRule>
    <cfRule type="containsText" dxfId="2657" priority="9304" operator="containsText" text="정규교과">
      <formula>NOT(ISERROR(SEARCH(("정규교과"),(J96))))</formula>
    </cfRule>
    <cfRule type="containsText" dxfId="2656" priority="9303" operator="containsText" text="프로젝트">
      <formula>NOT(ISERROR(SEARCH(("프로젝트"),(J96))))</formula>
    </cfRule>
    <cfRule type="containsText" dxfId="2655" priority="9302" operator="containsText" text="기타">
      <formula>NOT(ISERROR(SEARCH(("기타"),(J96))))</formula>
    </cfRule>
    <cfRule type="containsText" dxfId="2654" priority="9301" operator="containsText" text="정규교과">
      <formula>NOT(ISERROR(SEARCH(("정규교과"),(J96))))</formula>
    </cfRule>
    <cfRule type="containsText" dxfId="2653" priority="9300" operator="containsText" text="프로젝트">
      <formula>NOT(ISERROR(SEARCH(("프로젝트"),(J96))))</formula>
    </cfRule>
    <cfRule type="containsText" dxfId="2652" priority="9325" operator="containsText" text="정규교과">
      <formula>NOT(ISERROR(SEARCH(("정규교과"),(J96))))</formula>
    </cfRule>
    <cfRule type="containsText" dxfId="2651" priority="9313" operator="containsText" text="정규교과">
      <formula>NOT(ISERROR(SEARCH(("정규교과"),(J96))))</formula>
    </cfRule>
    <cfRule type="containsText" dxfId="2650" priority="9317" operator="containsText" text="기타">
      <formula>NOT(ISERROR(SEARCH(("기타"),(J96))))</formula>
    </cfRule>
    <cfRule type="containsText" dxfId="2649" priority="9308" operator="containsText" text="기타">
      <formula>NOT(ISERROR(SEARCH(("기타"),(J96))))</formula>
    </cfRule>
    <cfRule type="containsText" dxfId="2648" priority="9309" operator="containsText" text="프로젝트">
      <formula>NOT(ISERROR(SEARCH(("프로젝트"),(J96))))</formula>
    </cfRule>
    <cfRule type="containsText" dxfId="2647" priority="9310" operator="containsText" text="정규교과">
      <formula>NOT(ISERROR(SEARCH(("정규교과"),(J96))))</formula>
    </cfRule>
    <cfRule type="containsText" dxfId="2646" priority="9311" operator="containsText" text="기타">
      <formula>NOT(ISERROR(SEARCH(("기타"),(J96))))</formula>
    </cfRule>
    <cfRule type="containsText" dxfId="2645" priority="9312" operator="containsText" text="프로젝트">
      <formula>NOT(ISERROR(SEARCH(("프로젝트"),(J96))))</formula>
    </cfRule>
    <cfRule type="containsText" dxfId="2644" priority="9351" operator="containsText" text="기타">
      <formula>NOT(ISERROR(SEARCH(("기타"),(J96))))</formula>
    </cfRule>
    <cfRule type="containsText" dxfId="2643" priority="9350" operator="containsText" text="정규교과">
      <formula>NOT(ISERROR(SEARCH(("정규교과"),(J96))))</formula>
    </cfRule>
    <cfRule type="containsText" dxfId="2642" priority="9349" operator="containsText" text="프로젝트">
      <formula>NOT(ISERROR(SEARCH(("프로젝트"),(J96))))</formula>
    </cfRule>
  </conditionalFormatting>
  <conditionalFormatting sqref="J100:L100">
    <cfRule type="containsText" dxfId="2641" priority="9232" operator="containsText" text="휴강">
      <formula>NOT(ISERROR(SEARCH(("휴강"),(J100))))</formula>
    </cfRule>
    <cfRule type="containsText" dxfId="2640" priority="9231" operator="containsText" text="기타">
      <formula>NOT(ISERROR(SEARCH(("기타"),(J100))))</formula>
    </cfRule>
    <cfRule type="containsText" dxfId="2639" priority="9201" operator="containsText" text="기타">
      <formula>NOT(ISERROR(SEARCH(("기타"),(J100))))</formula>
    </cfRule>
    <cfRule type="containsText" dxfId="2638" priority="9200" operator="containsText" text="정규교과">
      <formula>NOT(ISERROR(SEARCH(("정규교과"),(J100))))</formula>
    </cfRule>
    <cfRule type="containsText" dxfId="2637" priority="9199" operator="containsText" text="프로젝트">
      <formula>NOT(ISERROR(SEARCH(("프로젝트"),(J100))))</formula>
    </cfRule>
    <cfRule type="containsText" dxfId="2636" priority="9198" operator="containsText" text="기타">
      <formula>NOT(ISERROR(SEARCH(("기타"),(J100))))</formula>
    </cfRule>
    <cfRule type="containsText" dxfId="2635" priority="9197" operator="containsText" text="정규교과">
      <formula>NOT(ISERROR(SEARCH(("정규교과"),(J100))))</formula>
    </cfRule>
    <cfRule type="containsText" dxfId="2634" priority="9196" operator="containsText" text="프로젝트">
      <formula>NOT(ISERROR(SEARCH(("프로젝트"),(J100))))</formula>
    </cfRule>
    <cfRule type="containsText" dxfId="2633" priority="9218" operator="containsText" text="정규교과">
      <formula>NOT(ISERROR(SEARCH(("정규교과"),(J100))))</formula>
    </cfRule>
    <cfRule type="containsText" dxfId="2632" priority="9217" operator="containsText" text="프로젝트">
      <formula>NOT(ISERROR(SEARCH(("프로젝트"),(J100))))</formula>
    </cfRule>
    <cfRule type="containsText" dxfId="2631" priority="9216" operator="containsText" text="기타">
      <formula>NOT(ISERROR(SEARCH(("기타"),(J100))))</formula>
    </cfRule>
    <cfRule type="containsText" dxfId="2630" priority="9215" operator="containsText" text="정규교과">
      <formula>NOT(ISERROR(SEARCH(("정규교과"),(J100))))</formula>
    </cfRule>
    <cfRule type="containsText" dxfId="2629" priority="9214" operator="containsText" text="프로젝트">
      <formula>NOT(ISERROR(SEARCH(("프로젝트"),(J100))))</formula>
    </cfRule>
    <cfRule type="containsText" dxfId="2628" priority="9213" operator="containsText" text="기타">
      <formula>NOT(ISERROR(SEARCH(("기타"),(J100))))</formula>
    </cfRule>
    <cfRule type="containsText" dxfId="2627" priority="9212" operator="containsText" text="정규교과">
      <formula>NOT(ISERROR(SEARCH(("정규교과"),(J100))))</formula>
    </cfRule>
    <cfRule type="containsText" dxfId="2626" priority="9211" operator="containsText" text="프로젝트">
      <formula>NOT(ISERROR(SEARCH(("프로젝트"),(J100))))</formula>
    </cfRule>
    <cfRule type="containsText" dxfId="2625" priority="9210" operator="containsText" text="기타">
      <formula>NOT(ISERROR(SEARCH(("기타"),(J100))))</formula>
    </cfRule>
    <cfRule type="containsText" dxfId="2624" priority="9209" operator="containsText" text="정규교과">
      <formula>NOT(ISERROR(SEARCH(("정규교과"),(J100))))</formula>
    </cfRule>
    <cfRule type="containsText" dxfId="2623" priority="9208" operator="containsText" text="프로젝트">
      <formula>NOT(ISERROR(SEARCH(("프로젝트"),(J100))))</formula>
    </cfRule>
    <cfRule type="containsText" dxfId="2622" priority="9207" operator="containsText" text="기타">
      <formula>NOT(ISERROR(SEARCH(("기타"),(J100))))</formula>
    </cfRule>
    <cfRule type="containsText" dxfId="2621" priority="9206" operator="containsText" text="정규교과">
      <formula>NOT(ISERROR(SEARCH(("정규교과"),(J100))))</formula>
    </cfRule>
    <cfRule type="containsText" dxfId="2620" priority="9205" operator="containsText" text="프로젝트">
      <formula>NOT(ISERROR(SEARCH(("프로젝트"),(J100))))</formula>
    </cfRule>
    <cfRule type="containsText" dxfId="2619" priority="9204" operator="containsText" text="기타">
      <formula>NOT(ISERROR(SEARCH(("기타"),(J100))))</formula>
    </cfRule>
    <cfRule type="containsText" dxfId="2618" priority="9203" operator="containsText" text="정규교과">
      <formula>NOT(ISERROR(SEARCH(("정규교과"),(J100))))</formula>
    </cfRule>
    <cfRule type="containsText" dxfId="2617" priority="9202" operator="containsText" text="프로젝트">
      <formula>NOT(ISERROR(SEARCH(("프로젝트"),(J100))))</formula>
    </cfRule>
    <cfRule type="containsText" dxfId="2616" priority="9247" operator="containsText" text="기타">
      <formula>NOT(ISERROR(SEARCH(("기타"),(J100))))</formula>
    </cfRule>
    <cfRule type="containsText" dxfId="2615" priority="9246" operator="containsText" text="정규교과">
      <formula>NOT(ISERROR(SEARCH(("정규교과"),(J100))))</formula>
    </cfRule>
    <cfRule type="containsText" dxfId="2614" priority="9245" operator="containsText" text="프로젝트">
      <formula>NOT(ISERROR(SEARCH(("프로젝트"),(J100))))</formula>
    </cfRule>
    <cfRule type="containsText" dxfId="2613" priority="9242" operator="containsText" text="프로젝트">
      <formula>NOT(ISERROR(SEARCH(("프로젝트"),(J100))))</formula>
    </cfRule>
    <cfRule type="containsText" dxfId="2612" priority="9241" operator="containsText" text="기타">
      <formula>NOT(ISERROR(SEARCH(("기타"),(J100))))</formula>
    </cfRule>
    <cfRule type="containsText" dxfId="2611" priority="9233" operator="containsText" text="프로젝트">
      <formula>NOT(ISERROR(SEARCH(("프로젝트"),(J100))))</formula>
    </cfRule>
    <cfRule type="containsText" dxfId="2610" priority="9240" operator="containsText" text="정규교과">
      <formula>NOT(ISERROR(SEARCH(("정규교과"),(J100))))</formula>
    </cfRule>
    <cfRule type="containsText" dxfId="2609" priority="9239" operator="containsText" text="프로젝트">
      <formula>NOT(ISERROR(SEARCH(("프로젝트"),(J100))))</formula>
    </cfRule>
    <cfRule type="containsText" dxfId="2608" priority="9238" operator="containsText" text="기타">
      <formula>NOT(ISERROR(SEARCH(("기타"),(J100))))</formula>
    </cfRule>
    <cfRule type="containsText" dxfId="2607" priority="9237" operator="containsText" text="정규교과">
      <formula>NOT(ISERROR(SEARCH(("정규교과"),(J100))))</formula>
    </cfRule>
    <cfRule type="containsText" dxfId="2606" priority="9236" operator="containsText" text="프로젝트">
      <formula>NOT(ISERROR(SEARCH(("프로젝트"),(J100))))</formula>
    </cfRule>
    <cfRule type="containsText" dxfId="2605" priority="9235" operator="containsText" text="기타">
      <formula>NOT(ISERROR(SEARCH(("기타"),(J100))))</formula>
    </cfRule>
    <cfRule type="containsText" dxfId="2604" priority="9234" operator="containsText" text="정규교과">
      <formula>NOT(ISERROR(SEARCH(("정규교과"),(J100))))</formula>
    </cfRule>
    <cfRule type="containsText" dxfId="2603" priority="9230" operator="containsText" text="정규교과">
      <formula>NOT(ISERROR(SEARCH(("정규교과"),(J100))))</formula>
    </cfRule>
    <cfRule type="containsText" dxfId="2602" priority="9244" operator="containsText" text="기타">
      <formula>NOT(ISERROR(SEARCH(("기타"),(J100))))</formula>
    </cfRule>
    <cfRule type="containsText" dxfId="2601" priority="9219" operator="containsText" text="기타">
      <formula>NOT(ISERROR(SEARCH(("기타"),(J100))))</formula>
    </cfRule>
    <cfRule type="containsText" dxfId="2600" priority="9220" operator="containsText" text="프로젝트">
      <formula>NOT(ISERROR(SEARCH(("프로젝트"),(J100))))</formula>
    </cfRule>
    <cfRule type="containsText" dxfId="2599" priority="9221" operator="containsText" text="정규교과">
      <formula>NOT(ISERROR(SEARCH(("정규교과"),(J100))))</formula>
    </cfRule>
    <cfRule type="containsText" dxfId="2598" priority="9222" operator="containsText" text="기타">
      <formula>NOT(ISERROR(SEARCH(("기타"),(J100))))</formula>
    </cfRule>
    <cfRule type="containsText" dxfId="2597" priority="9223" operator="containsText" text="프로젝트">
      <formula>NOT(ISERROR(SEARCH(("프로젝트"),(J100))))</formula>
    </cfRule>
    <cfRule type="containsText" dxfId="2596" priority="9224" operator="containsText" text="정규교과">
      <formula>NOT(ISERROR(SEARCH(("정규교과"),(J100))))</formula>
    </cfRule>
    <cfRule type="containsText" dxfId="2595" priority="9225" operator="containsText" text="기타">
      <formula>NOT(ISERROR(SEARCH(("기타"),(J100))))</formula>
    </cfRule>
    <cfRule type="containsText" dxfId="2594" priority="9226" operator="containsText" text="프로젝트">
      <formula>NOT(ISERROR(SEARCH(("프로젝트"),(J100))))</formula>
    </cfRule>
    <cfRule type="containsText" dxfId="2593" priority="9227" operator="containsText" text="정규교과">
      <formula>NOT(ISERROR(SEARCH(("정규교과"),(J100))))</formula>
    </cfRule>
    <cfRule type="containsText" dxfId="2592" priority="9228" operator="containsText" text="기타">
      <formula>NOT(ISERROR(SEARCH(("기타"),(J100))))</formula>
    </cfRule>
    <cfRule type="containsText" dxfId="2591" priority="9229" operator="containsText" text="프로젝트">
      <formula>NOT(ISERROR(SEARCH(("프로젝트"),(J100))))</formula>
    </cfRule>
    <cfRule type="containsText" dxfId="2590" priority="9243" operator="containsText" text="정규교과">
      <formula>NOT(ISERROR(SEARCH(("정규교과"),(J100))))</formula>
    </cfRule>
  </conditionalFormatting>
  <conditionalFormatting sqref="J104:L104">
    <cfRule type="containsText" dxfId="2589" priority="9125" operator="containsText" text="프로젝트">
      <formula>NOT(ISERROR(SEARCH(("프로젝트"),(J104))))</formula>
    </cfRule>
    <cfRule type="containsText" dxfId="2588" priority="9126" operator="containsText" text="정규교과">
      <formula>NOT(ISERROR(SEARCH(("정규교과"),(J104))))</formula>
    </cfRule>
    <cfRule type="containsText" dxfId="2587" priority="9127" operator="containsText" text="기타">
      <formula>NOT(ISERROR(SEARCH(("기타"),(J104))))</formula>
    </cfRule>
    <cfRule type="containsText" dxfId="2586" priority="9128" operator="containsText" text="휴강">
      <formula>NOT(ISERROR(SEARCH(("휴강"),(J104))))</formula>
    </cfRule>
    <cfRule type="containsText" dxfId="2585" priority="9129" operator="containsText" text="프로젝트">
      <formula>NOT(ISERROR(SEARCH(("프로젝트"),(J104))))</formula>
    </cfRule>
    <cfRule type="containsText" dxfId="2584" priority="9130" operator="containsText" text="정규교과">
      <formula>NOT(ISERROR(SEARCH(("정규교과"),(J104))))</formula>
    </cfRule>
    <cfRule type="containsText" dxfId="2583" priority="9131" operator="containsText" text="기타">
      <formula>NOT(ISERROR(SEARCH(("기타"),(J104))))</formula>
    </cfRule>
    <cfRule type="containsText" dxfId="2582" priority="9132" operator="containsText" text="프로젝트">
      <formula>NOT(ISERROR(SEARCH(("프로젝트"),(J104))))</formula>
    </cfRule>
    <cfRule type="containsText" dxfId="2581" priority="9133" operator="containsText" text="정규교과">
      <formula>NOT(ISERROR(SEARCH(("정규교과"),(J104))))</formula>
    </cfRule>
    <cfRule type="containsText" dxfId="2580" priority="9134" operator="containsText" text="기타">
      <formula>NOT(ISERROR(SEARCH(("기타"),(J104))))</formula>
    </cfRule>
    <cfRule type="containsText" dxfId="2579" priority="9135" operator="containsText" text="프로젝트">
      <formula>NOT(ISERROR(SEARCH(("프로젝트"),(J104))))</formula>
    </cfRule>
    <cfRule type="containsText" dxfId="2578" priority="9136" operator="containsText" text="정규교과">
      <formula>NOT(ISERROR(SEARCH(("정규교과"),(J104))))</formula>
    </cfRule>
    <cfRule type="containsText" dxfId="2577" priority="9137" operator="containsText" text="기타">
      <formula>NOT(ISERROR(SEARCH(("기타"),(J104))))</formula>
    </cfRule>
    <cfRule type="containsText" dxfId="2576" priority="9138" operator="containsText" text="프로젝트">
      <formula>NOT(ISERROR(SEARCH(("프로젝트"),(J104))))</formula>
    </cfRule>
    <cfRule type="containsText" dxfId="2575" priority="9139" operator="containsText" text="정규교과">
      <formula>NOT(ISERROR(SEARCH(("정규교과"),(J104))))</formula>
    </cfRule>
    <cfRule type="containsText" dxfId="2574" priority="9140" operator="containsText" text="기타">
      <formula>NOT(ISERROR(SEARCH(("기타"),(J104))))</formula>
    </cfRule>
    <cfRule type="containsText" dxfId="2573" priority="9141" operator="containsText" text="프로젝트">
      <formula>NOT(ISERROR(SEARCH(("프로젝트"),(J104))))</formula>
    </cfRule>
    <cfRule type="containsText" dxfId="2572" priority="9142" operator="containsText" text="정규교과">
      <formula>NOT(ISERROR(SEARCH(("정규교과"),(J104))))</formula>
    </cfRule>
    <cfRule type="containsText" dxfId="2571" priority="9143" operator="containsText" text="기타">
      <formula>NOT(ISERROR(SEARCH(("기타"),(J104))))</formula>
    </cfRule>
    <cfRule type="containsText" dxfId="2570" priority="9111" operator="containsText" text="정규교과">
      <formula>NOT(ISERROR(SEARCH(("정규교과"),(J104))))</formula>
    </cfRule>
    <cfRule type="containsText" dxfId="2569" priority="9099" operator="containsText" text="정규교과">
      <formula>NOT(ISERROR(SEARCH(("정규교과"),(J104))))</formula>
    </cfRule>
    <cfRule type="containsText" dxfId="2568" priority="9098" operator="containsText" text="프로젝트">
      <formula>NOT(ISERROR(SEARCH(("프로젝트"),(J104))))</formula>
    </cfRule>
    <cfRule type="containsText" dxfId="2567" priority="9097" operator="containsText" text="기타">
      <formula>NOT(ISERROR(SEARCH(("기타"),(J104))))</formula>
    </cfRule>
    <cfRule type="containsText" dxfId="2566" priority="9096" operator="containsText" text="정규교과">
      <formula>NOT(ISERROR(SEARCH(("정규교과"),(J104))))</formula>
    </cfRule>
    <cfRule type="containsText" dxfId="2565" priority="9095" operator="containsText" text="프로젝트">
      <formula>NOT(ISERROR(SEARCH(("프로젝트"),(J104))))</formula>
    </cfRule>
    <cfRule type="containsText" dxfId="2564" priority="9094" operator="containsText" text="기타">
      <formula>NOT(ISERROR(SEARCH(("기타"),(J104))))</formula>
    </cfRule>
    <cfRule type="containsText" dxfId="2563" priority="9093" operator="containsText" text="정규교과">
      <formula>NOT(ISERROR(SEARCH(("정규교과"),(J104))))</formula>
    </cfRule>
    <cfRule type="containsText" dxfId="2562" priority="9092" operator="containsText" text="프로젝트">
      <formula>NOT(ISERROR(SEARCH(("프로젝트"),(J104))))</formula>
    </cfRule>
    <cfRule type="containsText" dxfId="2561" priority="9101" operator="containsText" text="프로젝트">
      <formula>NOT(ISERROR(SEARCH(("프로젝트"),(J104))))</formula>
    </cfRule>
    <cfRule type="containsText" dxfId="2560" priority="9102" operator="containsText" text="정규교과">
      <formula>NOT(ISERROR(SEARCH(("정규교과"),(J104))))</formula>
    </cfRule>
    <cfRule type="containsText" dxfId="2559" priority="9103" operator="containsText" text="기타">
      <formula>NOT(ISERROR(SEARCH(("기타"),(J104))))</formula>
    </cfRule>
    <cfRule type="containsText" dxfId="2558" priority="9104" operator="containsText" text="프로젝트">
      <formula>NOT(ISERROR(SEARCH(("프로젝트"),(J104))))</formula>
    </cfRule>
    <cfRule type="containsText" dxfId="2557" priority="9105" operator="containsText" text="정규교과">
      <formula>NOT(ISERROR(SEARCH(("정규교과"),(J104))))</formula>
    </cfRule>
    <cfRule type="containsText" dxfId="2556" priority="9106" operator="containsText" text="기타">
      <formula>NOT(ISERROR(SEARCH(("기타"),(J104))))</formula>
    </cfRule>
    <cfRule type="containsText" dxfId="2555" priority="9107" operator="containsText" text="프로젝트">
      <formula>NOT(ISERROR(SEARCH(("프로젝트"),(J104))))</formula>
    </cfRule>
    <cfRule type="containsText" dxfId="2554" priority="9108" operator="containsText" text="정규교과">
      <formula>NOT(ISERROR(SEARCH(("정규교과"),(J104))))</formula>
    </cfRule>
    <cfRule type="containsText" dxfId="2553" priority="9109" operator="containsText" text="기타">
      <formula>NOT(ISERROR(SEARCH(("기타"),(J104))))</formula>
    </cfRule>
    <cfRule type="containsText" dxfId="2552" priority="9110" operator="containsText" text="프로젝트">
      <formula>NOT(ISERROR(SEARCH(("프로젝트"),(J104))))</formula>
    </cfRule>
    <cfRule type="containsText" dxfId="2551" priority="9112" operator="containsText" text="기타">
      <formula>NOT(ISERROR(SEARCH(("기타"),(J104))))</formula>
    </cfRule>
    <cfRule type="containsText" dxfId="2550" priority="9113" operator="containsText" text="프로젝트">
      <formula>NOT(ISERROR(SEARCH(("프로젝트"),(J104))))</formula>
    </cfRule>
    <cfRule type="containsText" dxfId="2549" priority="9114" operator="containsText" text="정규교과">
      <formula>NOT(ISERROR(SEARCH(("정규교과"),(J104))))</formula>
    </cfRule>
    <cfRule type="containsText" dxfId="2548" priority="9115" operator="containsText" text="기타">
      <formula>NOT(ISERROR(SEARCH(("기타"),(J104))))</formula>
    </cfRule>
    <cfRule type="containsText" dxfId="2547" priority="9116" operator="containsText" text="프로젝트">
      <formula>NOT(ISERROR(SEARCH(("프로젝트"),(J104))))</formula>
    </cfRule>
    <cfRule type="containsText" dxfId="2546" priority="9117" operator="containsText" text="정규교과">
      <formula>NOT(ISERROR(SEARCH(("정규교과"),(J104))))</formula>
    </cfRule>
    <cfRule type="containsText" dxfId="2545" priority="9118" operator="containsText" text="기타">
      <formula>NOT(ISERROR(SEARCH(("기타"),(J104))))</formula>
    </cfRule>
    <cfRule type="containsText" dxfId="2544" priority="9119" operator="containsText" text="프로젝트">
      <formula>NOT(ISERROR(SEARCH(("프로젝트"),(J104))))</formula>
    </cfRule>
    <cfRule type="containsText" dxfId="2543" priority="9120" operator="containsText" text="정규교과">
      <formula>NOT(ISERROR(SEARCH(("정규교과"),(J104))))</formula>
    </cfRule>
    <cfRule type="containsText" dxfId="2542" priority="9100" operator="containsText" text="기타">
      <formula>NOT(ISERROR(SEARCH(("기타"),(J104))))</formula>
    </cfRule>
    <cfRule type="containsText" dxfId="2541" priority="9121" operator="containsText" text="기타">
      <formula>NOT(ISERROR(SEARCH(("기타"),(J104))))</formula>
    </cfRule>
    <cfRule type="containsText" dxfId="2540" priority="9122" operator="containsText" text="프로젝트">
      <formula>NOT(ISERROR(SEARCH(("프로젝트"),(J104))))</formula>
    </cfRule>
    <cfRule type="containsText" dxfId="2539" priority="9123" operator="containsText" text="정규교과">
      <formula>NOT(ISERROR(SEARCH(("정규교과"),(J104))))</formula>
    </cfRule>
    <cfRule type="containsText" dxfId="2538" priority="9124" operator="containsText" text="기타">
      <formula>NOT(ISERROR(SEARCH(("기타"),(J104))))</formula>
    </cfRule>
  </conditionalFormatting>
  <conditionalFormatting sqref="J61:M61">
    <cfRule type="containsText" dxfId="2537" priority="10825" operator="containsText" text="프로젝트">
      <formula>NOT(ISERROR(SEARCH(("프로젝트"),(J61))))</formula>
    </cfRule>
  </conditionalFormatting>
  <conditionalFormatting sqref="J65:M65">
    <cfRule type="containsText" dxfId="2536" priority="10801" operator="containsText" text="프로젝트">
      <formula>NOT(ISERROR(SEARCH(("프로젝트"),(J65))))</formula>
    </cfRule>
  </conditionalFormatting>
  <conditionalFormatting sqref="J69:M69">
    <cfRule type="containsText" dxfId="2535" priority="10777" operator="containsText" text="프로젝트">
      <formula>NOT(ISERROR(SEARCH(("프로젝트"),(J69))))</formula>
    </cfRule>
  </conditionalFormatting>
  <conditionalFormatting sqref="J75:M75">
    <cfRule type="containsText" dxfId="2534" priority="9834" operator="containsText" text="기타">
      <formula>NOT(ISERROR(SEARCH(("기타"),(J75))))</formula>
    </cfRule>
    <cfRule type="containsText" dxfId="2533" priority="9838" operator="containsText" text="프로젝트">
      <formula>NOT(ISERROR(SEARCH(("프로젝트"),(J75))))</formula>
    </cfRule>
    <cfRule type="containsText" dxfId="2532" priority="9839" operator="containsText" text="정규교과">
      <formula>NOT(ISERROR(SEARCH(("정규교과"),(J75))))</formula>
    </cfRule>
    <cfRule type="containsText" dxfId="2531" priority="9840" operator="containsText" text="기타">
      <formula>NOT(ISERROR(SEARCH(("기타"),(J75))))</formula>
    </cfRule>
    <cfRule type="containsText" dxfId="2530" priority="9843" operator="containsText" text="기타">
      <formula>NOT(ISERROR(SEARCH(("기타"),(J75))))</formula>
    </cfRule>
    <cfRule type="containsText" dxfId="2529" priority="9841" operator="containsText" text="프로젝트">
      <formula>NOT(ISERROR(SEARCH(("프로젝트"),(J75))))</formula>
    </cfRule>
    <cfRule type="containsText" dxfId="2528" priority="9842" operator="containsText" text="정규교과">
      <formula>NOT(ISERROR(SEARCH(("정규교과"),(J75))))</formula>
    </cfRule>
    <cfRule type="containsText" dxfId="2527" priority="9846" operator="containsText" text="기타">
      <formula>NOT(ISERROR(SEARCH(("기타"),(J75))))</formula>
    </cfRule>
    <cfRule type="containsText" dxfId="2526" priority="9847" operator="containsText" text="프로젝트">
      <formula>NOT(ISERROR(SEARCH(("프로젝트"),(J75))))</formula>
    </cfRule>
    <cfRule type="containsText" dxfId="2525" priority="9845" operator="containsText" text="정규교과">
      <formula>NOT(ISERROR(SEARCH(("정규교과"),(J75))))</formula>
    </cfRule>
    <cfRule type="containsText" dxfId="2524" priority="9871" operator="containsText" text="기타">
      <formula>NOT(ISERROR(SEARCH(("기타"),(J75))))</formula>
    </cfRule>
    <cfRule type="containsText" dxfId="2523" priority="9870" operator="containsText" text="정규교과">
      <formula>NOT(ISERROR(SEARCH(("정규교과"),(J75))))</formula>
    </cfRule>
    <cfRule type="containsText" dxfId="2522" priority="9868" operator="containsText" text="기타">
      <formula>NOT(ISERROR(SEARCH(("기타"),(J75))))</formula>
    </cfRule>
    <cfRule type="containsText" dxfId="2521" priority="9867" operator="containsText" text="정규교과">
      <formula>NOT(ISERROR(SEARCH(("정규교과"),(J75))))</formula>
    </cfRule>
    <cfRule type="containsText" dxfId="2520" priority="9866" operator="containsText" text="프로젝트">
      <formula>NOT(ISERROR(SEARCH(("프로젝트"),(J75))))</formula>
    </cfRule>
    <cfRule type="containsText" dxfId="2519" priority="9865" operator="containsText" text="기타">
      <formula>NOT(ISERROR(SEARCH(("기타"),(J75))))</formula>
    </cfRule>
    <cfRule type="containsText" dxfId="2518" priority="9864" operator="containsText" text="정규교과">
      <formula>NOT(ISERROR(SEARCH(("정규교과"),(J75))))</formula>
    </cfRule>
    <cfRule type="containsText" dxfId="2517" priority="9863" operator="containsText" text="프로젝트">
      <formula>NOT(ISERROR(SEARCH(("프로젝트"),(J75))))</formula>
    </cfRule>
    <cfRule type="containsText" dxfId="2516" priority="9862" operator="containsText" text="기타">
      <formula>NOT(ISERROR(SEARCH(("기타"),(J75))))</formula>
    </cfRule>
    <cfRule type="containsText" dxfId="2515" priority="9861" operator="containsText" text="정규교과">
      <formula>NOT(ISERROR(SEARCH(("정규교과"),(J75))))</formula>
    </cfRule>
    <cfRule type="containsText" dxfId="2514" priority="9827" operator="containsText" text="정규교과">
      <formula>NOT(ISERROR(SEARCH(("정규교과"),(J75))))</formula>
    </cfRule>
    <cfRule type="containsText" dxfId="2513" priority="9860" operator="containsText" text="프로젝트">
      <formula>NOT(ISERROR(SEARCH(("프로젝트"),(J75))))</formula>
    </cfRule>
    <cfRule type="containsText" dxfId="2512" priority="9859" operator="containsText" text="기타">
      <formula>NOT(ISERROR(SEARCH(("기타"),(J75))))</formula>
    </cfRule>
    <cfRule type="containsText" dxfId="2511" priority="9858" operator="containsText" text="정규교과">
      <formula>NOT(ISERROR(SEARCH(("정규교과"),(J75))))</formula>
    </cfRule>
    <cfRule type="containsText" dxfId="2510" priority="9857" operator="containsText" text="프로젝트">
      <formula>NOT(ISERROR(SEARCH(("프로젝트"),(J75))))</formula>
    </cfRule>
    <cfRule type="containsText" dxfId="2509" priority="9856" operator="containsText" text="휴강">
      <formula>NOT(ISERROR(SEARCH(("휴강"),(J75))))</formula>
    </cfRule>
    <cfRule type="containsText" dxfId="2508" priority="9855" operator="containsText" text="기타">
      <formula>NOT(ISERROR(SEARCH(("기타"),(J75))))</formula>
    </cfRule>
    <cfRule type="containsText" dxfId="2507" priority="9854" operator="containsText" text="정규교과">
      <formula>NOT(ISERROR(SEARCH(("정규교과"),(J75))))</formula>
    </cfRule>
    <cfRule type="containsText" dxfId="2506" priority="9853" operator="containsText" text="프로젝트">
      <formula>NOT(ISERROR(SEARCH(("프로젝트"),(J75))))</formula>
    </cfRule>
    <cfRule type="containsText" dxfId="2505" priority="9852" operator="containsText" text="기타">
      <formula>NOT(ISERROR(SEARCH(("기타"),(J75))))</formula>
    </cfRule>
    <cfRule type="containsText" dxfId="2504" priority="9851" operator="containsText" text="정규교과">
      <formula>NOT(ISERROR(SEARCH(("정규교과"),(J75))))</formula>
    </cfRule>
    <cfRule type="containsText" dxfId="2503" priority="9850" operator="containsText" text="프로젝트">
      <formula>NOT(ISERROR(SEARCH(("프로젝트"),(J75))))</formula>
    </cfRule>
    <cfRule type="containsText" dxfId="2502" priority="9849" operator="containsText" text="기타">
      <formula>NOT(ISERROR(SEARCH(("기타"),(J75))))</formula>
    </cfRule>
    <cfRule type="containsText" dxfId="2501" priority="9844" operator="containsText" text="프로젝트">
      <formula>NOT(ISERROR(SEARCH(("프로젝트"),(J75))))</formula>
    </cfRule>
    <cfRule type="containsText" dxfId="2500" priority="9820" operator="containsText" text="프로젝트">
      <formula>NOT(ISERROR(SEARCH(("프로젝트"),(J75))))</formula>
    </cfRule>
    <cfRule type="containsText" dxfId="2499" priority="9821" operator="containsText" text="정규교과">
      <formula>NOT(ISERROR(SEARCH(("정규교과"),(J75))))</formula>
    </cfRule>
    <cfRule type="containsText" dxfId="2498" priority="9822" operator="containsText" text="기타">
      <formula>NOT(ISERROR(SEARCH(("기타"),(J75))))</formula>
    </cfRule>
    <cfRule type="containsText" dxfId="2497" priority="9823" operator="containsText" text="프로젝트">
      <formula>NOT(ISERROR(SEARCH(("프로젝트"),(J75))))</formula>
    </cfRule>
    <cfRule type="containsText" dxfId="2496" priority="9824" operator="containsText" text="정규교과">
      <formula>NOT(ISERROR(SEARCH(("정규교과"),(J75))))</formula>
    </cfRule>
    <cfRule type="containsText" dxfId="2495" priority="9825" operator="containsText" text="기타">
      <formula>NOT(ISERROR(SEARCH(("기타"),(J75))))</formula>
    </cfRule>
    <cfRule type="containsText" dxfId="2494" priority="9826" operator="containsText" text="프로젝트">
      <formula>NOT(ISERROR(SEARCH(("프로젝트"),(J75))))</formula>
    </cfRule>
    <cfRule type="containsText" dxfId="2493" priority="9848" operator="containsText" text="정규교과">
      <formula>NOT(ISERROR(SEARCH(("정규교과"),(J75))))</formula>
    </cfRule>
    <cfRule type="containsText" dxfId="2492" priority="9828" operator="containsText" text="기타">
      <formula>NOT(ISERROR(SEARCH(("기타"),(J75))))</formula>
    </cfRule>
    <cfRule type="containsText" dxfId="2491" priority="9829" operator="containsText" text="프로젝트">
      <formula>NOT(ISERROR(SEARCH(("프로젝트"),(J75))))</formula>
    </cfRule>
    <cfRule type="containsText" dxfId="2490" priority="9830" operator="containsText" text="정규교과">
      <formula>NOT(ISERROR(SEARCH(("정규교과"),(J75))))</formula>
    </cfRule>
    <cfRule type="containsText" dxfId="2489" priority="9831" operator="containsText" text="기타">
      <formula>NOT(ISERROR(SEARCH(("기타"),(J75))))</formula>
    </cfRule>
    <cfRule type="containsText" dxfId="2488" priority="9832" operator="containsText" text="프로젝트">
      <formula>NOT(ISERROR(SEARCH(("프로젝트"),(J75))))</formula>
    </cfRule>
    <cfRule type="containsText" dxfId="2487" priority="9833" operator="containsText" text="정규교과">
      <formula>NOT(ISERROR(SEARCH(("정규교과"),(J75))))</formula>
    </cfRule>
    <cfRule type="containsText" dxfId="2486" priority="9835" operator="containsText" text="프로젝트">
      <formula>NOT(ISERROR(SEARCH(("프로젝트"),(J75))))</formula>
    </cfRule>
    <cfRule type="containsText" dxfId="2485" priority="9836" operator="containsText" text="정규교과">
      <formula>NOT(ISERROR(SEARCH(("정규교과"),(J75))))</formula>
    </cfRule>
    <cfRule type="containsText" dxfId="2484" priority="9837" operator="containsText" text="기타">
      <formula>NOT(ISERROR(SEARCH(("기타"),(J75))))</formula>
    </cfRule>
  </conditionalFormatting>
  <conditionalFormatting sqref="J285:M285 D286:M288 J289:M289 D290:M292 J293:M293 D294:M297 J298:M298 D299:M301 J302:M302 D303:M305 J306:M306 D307:M309 J310:M310 D311:M313 J314:M314 D315:M317">
    <cfRule type="containsText" dxfId="2483" priority="14554" operator="containsText" text="프로젝트">
      <formula>NOT(ISERROR(SEARCH(("프로젝트"),(D285))))</formula>
    </cfRule>
  </conditionalFormatting>
  <conditionalFormatting sqref="J289:M289">
    <cfRule type="containsText" dxfId="2482" priority="14557" operator="containsText" text="프로젝트">
      <formula>NOT(ISERROR(SEARCH(("프로젝트"),(J289))))</formula>
    </cfRule>
    <cfRule type="containsText" dxfId="2481" priority="14558" operator="containsText" text="정규교과">
      <formula>NOT(ISERROR(SEARCH(("정규교과"),(J289))))</formula>
    </cfRule>
    <cfRule type="containsText" dxfId="2480" priority="14559" operator="containsText" text="기타">
      <formula>NOT(ISERROR(SEARCH(("기타"),(J289))))</formula>
    </cfRule>
  </conditionalFormatting>
  <conditionalFormatting sqref="J293:M293">
    <cfRule type="containsText" dxfId="2479" priority="14560" operator="containsText" text="프로젝트">
      <formula>NOT(ISERROR(SEARCH(("프로젝트"),(J293))))</formula>
    </cfRule>
    <cfRule type="containsText" dxfId="2478" priority="14561" operator="containsText" text="정규교과">
      <formula>NOT(ISERROR(SEARCH(("정규교과"),(J293))))</formula>
    </cfRule>
    <cfRule type="containsText" dxfId="2477" priority="14562" operator="containsText" text="기타">
      <formula>NOT(ISERROR(SEARCH(("기타"),(J293))))</formula>
    </cfRule>
    <cfRule type="containsText" dxfId="2476" priority="14565" operator="containsText" text="기타">
      <formula>NOT(ISERROR(SEARCH(("기타"),(J293))))</formula>
    </cfRule>
    <cfRule type="containsText" dxfId="2475" priority="14564" operator="containsText" text="정규교과">
      <formula>NOT(ISERROR(SEARCH(("정규교과"),(J293))))</formula>
    </cfRule>
    <cfRule type="containsText" dxfId="2474" priority="14563" operator="containsText" text="프로젝트">
      <formula>NOT(ISERROR(SEARCH(("프로젝트"),(J293))))</formula>
    </cfRule>
  </conditionalFormatting>
  <conditionalFormatting sqref="J298:M298">
    <cfRule type="containsText" dxfId="2473" priority="14569" operator="containsText" text="프로젝트">
      <formula>NOT(ISERROR(SEARCH(("프로젝트"),(J298))))</formula>
    </cfRule>
    <cfRule type="containsText" dxfId="2472" priority="14570" operator="containsText" text="정규교과">
      <formula>NOT(ISERROR(SEARCH(("정규교과"),(J298))))</formula>
    </cfRule>
    <cfRule type="containsText" dxfId="2471" priority="14571" operator="containsText" text="기타">
      <formula>NOT(ISERROR(SEARCH(("기타"),(J298))))</formula>
    </cfRule>
    <cfRule type="containsText" dxfId="2470" priority="14572" operator="containsText" text="프로젝트">
      <formula>NOT(ISERROR(SEARCH(("프로젝트"),(J298))))</formula>
    </cfRule>
    <cfRule type="containsText" dxfId="2469" priority="14573" operator="containsText" text="정규교과">
      <formula>NOT(ISERROR(SEARCH(("정규교과"),(J298))))</formula>
    </cfRule>
    <cfRule type="containsText" dxfId="2468" priority="14574" operator="containsText" text="기타">
      <formula>NOT(ISERROR(SEARCH(("기타"),(J298))))</formula>
    </cfRule>
  </conditionalFormatting>
  <conditionalFormatting sqref="J302:M302">
    <cfRule type="containsText" dxfId="2467" priority="14579" operator="containsText" text="정규교과">
      <formula>NOT(ISERROR(SEARCH(("정규교과"),(J302))))</formula>
    </cfRule>
    <cfRule type="containsText" dxfId="2466" priority="14586" operator="containsText" text="기타">
      <formula>NOT(ISERROR(SEARCH(("기타"),(J302))))</formula>
    </cfRule>
    <cfRule type="containsText" dxfId="2465" priority="14585" operator="containsText" text="정규교과">
      <formula>NOT(ISERROR(SEARCH(("정규교과"),(J302))))</formula>
    </cfRule>
    <cfRule type="containsText" dxfId="2464" priority="14584" operator="containsText" text="프로젝트">
      <formula>NOT(ISERROR(SEARCH(("프로젝트"),(J302))))</formula>
    </cfRule>
    <cfRule type="containsText" dxfId="2463" priority="14583" operator="containsText" text="기타">
      <formula>NOT(ISERROR(SEARCH(("기타"),(J302))))</formula>
    </cfRule>
    <cfRule type="containsText" dxfId="2462" priority="14582" operator="containsText" text="정규교과">
      <formula>NOT(ISERROR(SEARCH(("정규교과"),(J302))))</formula>
    </cfRule>
    <cfRule type="containsText" dxfId="2461" priority="14581" operator="containsText" text="프로젝트">
      <formula>NOT(ISERROR(SEARCH(("프로젝트"),(J302))))</formula>
    </cfRule>
    <cfRule type="containsText" dxfId="2460" priority="14580" operator="containsText" text="기타">
      <formula>NOT(ISERROR(SEARCH(("기타"),(J302))))</formula>
    </cfRule>
    <cfRule type="containsText" dxfId="2459" priority="14578" operator="containsText" text="프로젝트">
      <formula>NOT(ISERROR(SEARCH(("프로젝트"),(J302))))</formula>
    </cfRule>
    <cfRule type="containsText" dxfId="2458" priority="14575" operator="containsText" text="프로젝트">
      <formula>NOT(ISERROR(SEARCH(("프로젝트"),(J302))))</formula>
    </cfRule>
    <cfRule type="containsText" dxfId="2457" priority="14576" operator="containsText" text="정규교과">
      <formula>NOT(ISERROR(SEARCH(("정규교과"),(J302))))</formula>
    </cfRule>
    <cfRule type="containsText" dxfId="2456" priority="14577" operator="containsText" text="기타">
      <formula>NOT(ISERROR(SEARCH(("기타"),(J302))))</formula>
    </cfRule>
  </conditionalFormatting>
  <conditionalFormatting sqref="J306:M306">
    <cfRule type="containsText" dxfId="2455" priority="14588" operator="containsText" text="정규교과">
      <formula>NOT(ISERROR(SEARCH(("정규교과"),(J306))))</formula>
    </cfRule>
    <cfRule type="containsText" dxfId="2454" priority="14598" operator="containsText" text="기타">
      <formula>NOT(ISERROR(SEARCH(("기타"),(J306))))</formula>
    </cfRule>
    <cfRule type="containsText" dxfId="2453" priority="14587" operator="containsText" text="프로젝트">
      <formula>NOT(ISERROR(SEARCH(("프로젝트"),(J306))))</formula>
    </cfRule>
    <cfRule type="containsText" dxfId="2452" priority="14597" operator="containsText" text="정규교과">
      <formula>NOT(ISERROR(SEARCH(("정규교과"),(J306))))</formula>
    </cfRule>
    <cfRule type="containsText" dxfId="2451" priority="14596" operator="containsText" text="프로젝트">
      <formula>NOT(ISERROR(SEARCH(("프로젝트"),(J306))))</formula>
    </cfRule>
    <cfRule type="containsText" dxfId="2450" priority="14595" operator="containsText" text="기타">
      <formula>NOT(ISERROR(SEARCH(("기타"),(J306))))</formula>
    </cfRule>
    <cfRule type="containsText" dxfId="2449" priority="14594" operator="containsText" text="정규교과">
      <formula>NOT(ISERROR(SEARCH(("정규교과"),(J306))))</formula>
    </cfRule>
    <cfRule type="containsText" dxfId="2448" priority="14593" operator="containsText" text="프로젝트">
      <formula>NOT(ISERROR(SEARCH(("프로젝트"),(J306))))</formula>
    </cfRule>
    <cfRule type="containsText" dxfId="2447" priority="14592" operator="containsText" text="기타">
      <formula>NOT(ISERROR(SEARCH(("기타"),(J306))))</formula>
    </cfRule>
    <cfRule type="containsText" dxfId="2446" priority="14591" operator="containsText" text="정규교과">
      <formula>NOT(ISERROR(SEARCH(("정규교과"),(J306))))</formula>
    </cfRule>
    <cfRule type="containsText" dxfId="2445" priority="14590" operator="containsText" text="프로젝트">
      <formula>NOT(ISERROR(SEARCH(("프로젝트"),(J306))))</formula>
    </cfRule>
    <cfRule type="containsText" dxfId="2444" priority="14589" operator="containsText" text="기타">
      <formula>NOT(ISERROR(SEARCH(("기타"),(J306))))</formula>
    </cfRule>
  </conditionalFormatting>
  <conditionalFormatting sqref="J310:M310">
    <cfRule type="containsText" dxfId="2443" priority="14602" operator="containsText" text="프로젝트">
      <formula>NOT(ISERROR(SEARCH(("프로젝트"),(J310))))</formula>
    </cfRule>
    <cfRule type="containsText" dxfId="2442" priority="14601" operator="containsText" text="기타">
      <formula>NOT(ISERROR(SEARCH(("기타"),(J310))))</formula>
    </cfRule>
    <cfRule type="containsText" dxfId="2441" priority="14600" operator="containsText" text="정규교과">
      <formula>NOT(ISERROR(SEARCH(("정규교과"),(J310))))</formula>
    </cfRule>
    <cfRule type="containsText" dxfId="2440" priority="14610" operator="containsText" text="기타">
      <formula>NOT(ISERROR(SEARCH(("기타"),(J310))))</formula>
    </cfRule>
    <cfRule type="containsText" dxfId="2439" priority="14609" operator="containsText" text="정규교과">
      <formula>NOT(ISERROR(SEARCH(("정규교과"),(J310))))</formula>
    </cfRule>
    <cfRule type="containsText" dxfId="2438" priority="14608" operator="containsText" text="프로젝트">
      <formula>NOT(ISERROR(SEARCH(("프로젝트"),(J310))))</formula>
    </cfRule>
    <cfRule type="containsText" dxfId="2437" priority="14607" operator="containsText" text="기타">
      <formula>NOT(ISERROR(SEARCH(("기타"),(J310))))</formula>
    </cfRule>
    <cfRule type="containsText" dxfId="2436" priority="14606" operator="containsText" text="정규교과">
      <formula>NOT(ISERROR(SEARCH(("정규교과"),(J310))))</formula>
    </cfRule>
    <cfRule type="containsText" dxfId="2435" priority="14605" operator="containsText" text="프로젝트">
      <formula>NOT(ISERROR(SEARCH(("프로젝트"),(J310))))</formula>
    </cfRule>
    <cfRule type="containsText" dxfId="2434" priority="14599" operator="containsText" text="프로젝트">
      <formula>NOT(ISERROR(SEARCH(("프로젝트"),(J310))))</formula>
    </cfRule>
    <cfRule type="containsText" dxfId="2433" priority="14604" operator="containsText" text="기타">
      <formula>NOT(ISERROR(SEARCH(("기타"),(J310))))</formula>
    </cfRule>
    <cfRule type="containsText" dxfId="2432" priority="14603" operator="containsText" text="정규교과">
      <formula>NOT(ISERROR(SEARCH(("정규교과"),(J310))))</formula>
    </cfRule>
  </conditionalFormatting>
  <conditionalFormatting sqref="J314:M314">
    <cfRule type="containsText" dxfId="2431" priority="14622" operator="containsText" text="기타">
      <formula>NOT(ISERROR(SEARCH(("기타"),(J314))))</formula>
    </cfRule>
    <cfRule type="containsText" dxfId="2430" priority="14613" operator="containsText" text="기타">
      <formula>NOT(ISERROR(SEARCH(("기타"),(J314))))</formula>
    </cfRule>
    <cfRule type="containsText" dxfId="2429" priority="14611" operator="containsText" text="프로젝트">
      <formula>NOT(ISERROR(SEARCH(("프로젝트"),(J314))))</formula>
    </cfRule>
    <cfRule type="containsText" dxfId="2428" priority="14612" operator="containsText" text="정규교과">
      <formula>NOT(ISERROR(SEARCH(("정규교과"),(J314))))</formula>
    </cfRule>
    <cfRule type="containsText" dxfId="2427" priority="14614" operator="containsText" text="프로젝트">
      <formula>NOT(ISERROR(SEARCH(("프로젝트"),(J314))))</formula>
    </cfRule>
    <cfRule type="containsText" dxfId="2426" priority="14615" operator="containsText" text="정규교과">
      <formula>NOT(ISERROR(SEARCH(("정규교과"),(J314))))</formula>
    </cfRule>
    <cfRule type="containsText" dxfId="2425" priority="14616" operator="containsText" text="기타">
      <formula>NOT(ISERROR(SEARCH(("기타"),(J314))))</formula>
    </cfRule>
    <cfRule type="containsText" dxfId="2424" priority="14617" operator="containsText" text="프로젝트">
      <formula>NOT(ISERROR(SEARCH(("프로젝트"),(J314))))</formula>
    </cfRule>
    <cfRule type="containsText" dxfId="2423" priority="14618" operator="containsText" text="정규교과">
      <formula>NOT(ISERROR(SEARCH(("정규교과"),(J314))))</formula>
    </cfRule>
    <cfRule type="containsText" dxfId="2422" priority="14619" operator="containsText" text="기타">
      <formula>NOT(ISERROR(SEARCH(("기타"),(J314))))</formula>
    </cfRule>
    <cfRule type="containsText" dxfId="2421" priority="14620" operator="containsText" text="프로젝트">
      <formula>NOT(ISERROR(SEARCH(("프로젝트"),(J314))))</formula>
    </cfRule>
    <cfRule type="containsText" dxfId="2420" priority="14621" operator="containsText" text="정규교과">
      <formula>NOT(ISERROR(SEARCH(("정규교과"),(J314))))</formula>
    </cfRule>
  </conditionalFormatting>
  <conditionalFormatting sqref="K40">
    <cfRule type="containsText" dxfId="2419" priority="12048" operator="containsText" text="기타">
      <formula>NOT(ISERROR(SEARCH(("기타"),(K40))))</formula>
    </cfRule>
    <cfRule type="containsText" dxfId="2418" priority="12049" operator="containsText" text="프로젝트">
      <formula>NOT(ISERROR(SEARCH(("프로젝트"),(K40))))</formula>
    </cfRule>
    <cfRule type="containsText" dxfId="2417" priority="12050" operator="containsText" text="정규교과">
      <formula>NOT(ISERROR(SEARCH(("정규교과"),(K40))))</formula>
    </cfRule>
    <cfRule type="containsText" dxfId="2416" priority="12051" operator="containsText" text="기타">
      <formula>NOT(ISERROR(SEARCH(("기타"),(K40))))</formula>
    </cfRule>
    <cfRule type="containsText" dxfId="2415" priority="12052" operator="containsText" text="프로젝트">
      <formula>NOT(ISERROR(SEARCH(("프로젝트"),(K40))))</formula>
    </cfRule>
    <cfRule type="containsText" dxfId="2414" priority="12053" operator="containsText" text="정규교과">
      <formula>NOT(ISERROR(SEARCH(("정규교과"),(K40))))</formula>
    </cfRule>
    <cfRule type="containsText" dxfId="2413" priority="12020" operator="containsText" text="정규교과">
      <formula>NOT(ISERROR(SEARCH(("정규교과"),(K40))))</formula>
    </cfRule>
    <cfRule type="containsText" dxfId="2412" priority="12019" operator="containsText" text="프로젝트">
      <formula>NOT(ISERROR(SEARCH(("프로젝트"),(K40))))</formula>
    </cfRule>
    <cfRule type="containsText" dxfId="2411" priority="12018" operator="containsText" text="기타">
      <formula>NOT(ISERROR(SEARCH(("기타"),(K40))))</formula>
    </cfRule>
    <cfRule type="containsText" dxfId="2410" priority="12017" operator="containsText" text="정규교과">
      <formula>NOT(ISERROR(SEARCH(("정규교과"),(K40))))</formula>
    </cfRule>
    <cfRule type="containsText" dxfId="2409" priority="12016" operator="containsText" text="프로젝트">
      <formula>NOT(ISERROR(SEARCH(("프로젝트"),(K40))))</formula>
    </cfRule>
    <cfRule type="containsText" dxfId="2408" priority="12014" operator="containsText" text="정규교과">
      <formula>NOT(ISERROR(SEARCH(("정규교과"),(K40))))</formula>
    </cfRule>
    <cfRule type="containsText" dxfId="2407" priority="12013" operator="containsText" text="프로젝트">
      <formula>NOT(ISERROR(SEARCH(("프로젝트"),(K40))))</formula>
    </cfRule>
    <cfRule type="containsText" dxfId="2406" priority="12054" operator="containsText" text="기타">
      <formula>NOT(ISERROR(SEARCH(("기타"),(K40))))</formula>
    </cfRule>
    <cfRule type="containsText" dxfId="2405" priority="12067" operator="containsText" text="프로젝트">
      <formula>NOT(ISERROR(SEARCH(("프로젝트"),(K40))))</formula>
    </cfRule>
    <cfRule type="containsText" dxfId="2404" priority="12055" operator="containsText" text="프로젝트">
      <formula>NOT(ISERROR(SEARCH(("프로젝트"),(K40))))</formula>
    </cfRule>
    <cfRule type="containsText" dxfId="2403" priority="12056" operator="containsText" text="정규교과">
      <formula>NOT(ISERROR(SEARCH(("정규교과"),(K40))))</formula>
    </cfRule>
    <cfRule type="containsText" dxfId="2402" priority="12057" operator="containsText" text="기타">
      <formula>NOT(ISERROR(SEARCH(("기타"),(K40))))</formula>
    </cfRule>
    <cfRule type="containsText" dxfId="2401" priority="12058" operator="containsText" text="프로젝트">
      <formula>NOT(ISERROR(SEARCH(("프로젝트"),(K40))))</formula>
    </cfRule>
    <cfRule type="containsText" dxfId="2400" priority="12059" operator="containsText" text="정규교과">
      <formula>NOT(ISERROR(SEARCH(("정규교과"),(K40))))</formula>
    </cfRule>
    <cfRule type="containsText" dxfId="2399" priority="12060" operator="containsText" text="기타">
      <formula>NOT(ISERROR(SEARCH(("기타"),(K40))))</formula>
    </cfRule>
    <cfRule type="containsText" dxfId="2398" priority="12061" operator="containsText" text="프로젝트">
      <formula>NOT(ISERROR(SEARCH(("프로젝트"),(K40))))</formula>
    </cfRule>
    <cfRule type="containsText" dxfId="2397" priority="12062" operator="containsText" text="정규교과">
      <formula>NOT(ISERROR(SEARCH(("정규교과"),(K40))))</formula>
    </cfRule>
    <cfRule type="containsText" dxfId="2396" priority="12063" operator="containsText" text="기타">
      <formula>NOT(ISERROR(SEARCH(("기타"),(K40))))</formula>
    </cfRule>
    <cfRule type="containsText" dxfId="2395" priority="12064" operator="containsText" text="프로젝트">
      <formula>NOT(ISERROR(SEARCH(("프로젝트"),(K40))))</formula>
    </cfRule>
    <cfRule type="containsText" dxfId="2394" priority="12065" operator="containsText" text="정규교과">
      <formula>NOT(ISERROR(SEARCH(("정규교과"),(K40))))</formula>
    </cfRule>
    <cfRule type="containsText" dxfId="2393" priority="12045" operator="containsText" text="기타">
      <formula>NOT(ISERROR(SEARCH(("기타"),(K40))))</formula>
    </cfRule>
    <cfRule type="containsText" dxfId="2392" priority="12068" operator="containsText" text="정규교과">
      <formula>NOT(ISERROR(SEARCH(("정규교과"),(K40))))</formula>
    </cfRule>
    <cfRule type="containsText" dxfId="2391" priority="12069" operator="containsText" text="기타">
      <formula>NOT(ISERROR(SEARCH(("기타"),(K40))))</formula>
    </cfRule>
    <cfRule type="containsText" dxfId="2390" priority="12070" operator="containsText" text="프로젝트">
      <formula>NOT(ISERROR(SEARCH(("프로젝트"),(K40))))</formula>
    </cfRule>
    <cfRule type="containsText" dxfId="2389" priority="12071" operator="containsText" text="정규교과">
      <formula>NOT(ISERROR(SEARCH(("정규교과"),(K40))))</formula>
    </cfRule>
    <cfRule type="containsText" dxfId="2388" priority="12072" operator="containsText" text="기타">
      <formula>NOT(ISERROR(SEARCH(("기타"),(K40))))</formula>
    </cfRule>
    <cfRule type="containsText" dxfId="2387" priority="12073" operator="containsText" text="프로젝트">
      <formula>NOT(ISERROR(SEARCH(("프로젝트"),(K40))))</formula>
    </cfRule>
    <cfRule type="containsText" dxfId="2386" priority="12074" operator="containsText" text="정규교과">
      <formula>NOT(ISERROR(SEARCH(("정규교과"),(K40))))</formula>
    </cfRule>
    <cfRule type="containsText" dxfId="2385" priority="12075" operator="containsText" text="기타">
      <formula>NOT(ISERROR(SEARCH(("기타"),(K40))))</formula>
    </cfRule>
    <cfRule type="containsText" dxfId="2384" priority="12077" operator="containsText" text="정규교과">
      <formula>NOT(ISERROR(SEARCH(("정규교과"),(K40))))</formula>
    </cfRule>
    <cfRule type="containsText" dxfId="2383" priority="12078" operator="containsText" text="기타">
      <formula>NOT(ISERROR(SEARCH(("기타"),(K40))))</formula>
    </cfRule>
    <cfRule type="containsText" dxfId="2382" priority="12023" operator="containsText" text="정규교과">
      <formula>NOT(ISERROR(SEARCH(("정규교과"),(K40))))</formula>
    </cfRule>
    <cfRule type="containsText" dxfId="2381" priority="12024" operator="containsText" text="기타">
      <formula>NOT(ISERROR(SEARCH(("기타"),(K40))))</formula>
    </cfRule>
    <cfRule type="containsText" dxfId="2380" priority="12025" operator="containsText" text="프로젝트">
      <formula>NOT(ISERROR(SEARCH(("프로젝트"),(K40))))</formula>
    </cfRule>
    <cfRule type="containsText" dxfId="2379" priority="12026" operator="containsText" text="정규교과">
      <formula>NOT(ISERROR(SEARCH(("정규교과"),(K40))))</formula>
    </cfRule>
    <cfRule type="containsText" dxfId="2378" priority="12027" operator="containsText" text="기타">
      <formula>NOT(ISERROR(SEARCH(("기타"),(K40))))</formula>
    </cfRule>
    <cfRule type="containsText" dxfId="2377" priority="12022" operator="containsText" text="프로젝트">
      <formula>NOT(ISERROR(SEARCH(("프로젝트"),(K40))))</formula>
    </cfRule>
    <cfRule type="containsText" dxfId="2376" priority="12015" operator="containsText" text="기타">
      <formula>NOT(ISERROR(SEARCH(("기타"),(K40))))</formula>
    </cfRule>
    <cfRule type="containsText" dxfId="2375" priority="12028" operator="containsText" text="프로젝트">
      <formula>NOT(ISERROR(SEARCH(("프로젝트"),(K40))))</formula>
    </cfRule>
    <cfRule type="containsText" dxfId="2374" priority="12029" operator="containsText" text="정규교과">
      <formula>NOT(ISERROR(SEARCH(("정규교과"),(K40))))</formula>
    </cfRule>
    <cfRule type="containsText" dxfId="2373" priority="12037" operator="containsText" text="프로젝트">
      <formula>NOT(ISERROR(SEARCH(("프로젝트"),(K40))))</formula>
    </cfRule>
    <cfRule type="containsText" dxfId="2372" priority="12031" operator="containsText" text="프로젝트">
      <formula>NOT(ISERROR(SEARCH(("프로젝트"),(K40))))</formula>
    </cfRule>
    <cfRule type="containsText" dxfId="2371" priority="12032" operator="containsText" text="정규교과">
      <formula>NOT(ISERROR(SEARCH(("정규교과"),(K40))))</formula>
    </cfRule>
    <cfRule type="containsText" dxfId="2370" priority="12033" operator="containsText" text="기타">
      <formula>NOT(ISERROR(SEARCH(("기타"),(K40))))</formula>
    </cfRule>
    <cfRule type="containsText" dxfId="2369" priority="12034" operator="containsText" text="프로젝트">
      <formula>NOT(ISERROR(SEARCH(("프로젝트"),(K40))))</formula>
    </cfRule>
    <cfRule type="containsText" dxfId="2368" priority="12035" operator="containsText" text="정규교과">
      <formula>NOT(ISERROR(SEARCH(("정규교과"),(K40))))</formula>
    </cfRule>
    <cfRule type="containsText" dxfId="2367" priority="12036" operator="containsText" text="기타">
      <formula>NOT(ISERROR(SEARCH(("기타"),(K40))))</formula>
    </cfRule>
    <cfRule type="containsText" dxfId="2366" priority="12038" operator="containsText" text="정규교과">
      <formula>NOT(ISERROR(SEARCH(("정규교과"),(K40))))</formula>
    </cfRule>
    <cfRule type="containsText" dxfId="2365" priority="12039" operator="containsText" text="기타">
      <formula>NOT(ISERROR(SEARCH(("기타"),(K40))))</formula>
    </cfRule>
    <cfRule type="containsText" dxfId="2364" priority="12066" operator="containsText" text="기타">
      <formula>NOT(ISERROR(SEARCH(("기타"),(K40))))</formula>
    </cfRule>
    <cfRule type="containsText" dxfId="2363" priority="12021" operator="containsText" text="기타">
      <formula>NOT(ISERROR(SEARCH(("기타"),(K40))))</formula>
    </cfRule>
    <cfRule type="containsText" dxfId="2362" priority="12040" operator="containsText" text="프로젝트">
      <formula>NOT(ISERROR(SEARCH(("프로젝트"),(K40))))</formula>
    </cfRule>
    <cfRule type="containsText" dxfId="2361" priority="12041" operator="containsText" text="정규교과">
      <formula>NOT(ISERROR(SEARCH(("정규교과"),(K40))))</formula>
    </cfRule>
    <cfRule type="containsText" dxfId="2360" priority="12042" operator="containsText" text="기타">
      <formula>NOT(ISERROR(SEARCH(("기타"),(K40))))</formula>
    </cfRule>
    <cfRule type="containsText" dxfId="2359" priority="12043" operator="containsText" text="프로젝트">
      <formula>NOT(ISERROR(SEARCH(("프로젝트"),(K40))))</formula>
    </cfRule>
    <cfRule type="containsText" dxfId="2358" priority="12044" operator="containsText" text="정규교과">
      <formula>NOT(ISERROR(SEARCH(("정규교과"),(K40))))</formula>
    </cfRule>
    <cfRule type="containsText" dxfId="2357" priority="12046" operator="containsText" text="프로젝트">
      <formula>NOT(ISERROR(SEARCH(("프로젝트"),(K40))))</formula>
    </cfRule>
    <cfRule type="containsText" dxfId="2356" priority="12047" operator="containsText" text="정규교과">
      <formula>NOT(ISERROR(SEARCH(("정규교과"),(K40))))</formula>
    </cfRule>
    <cfRule type="containsText" dxfId="2355" priority="12030" operator="containsText" text="기타">
      <formula>NOT(ISERROR(SEARCH(("기타"),(K40))))</formula>
    </cfRule>
  </conditionalFormatting>
  <conditionalFormatting sqref="K44">
    <cfRule type="containsText" dxfId="2354" priority="11003" operator="containsText" text="정규교과">
      <formula>NOT(ISERROR(SEARCH(("정규교과"),(K44))))</formula>
    </cfRule>
    <cfRule type="containsText" dxfId="2353" priority="11004" operator="containsText" text="기타">
      <formula>NOT(ISERROR(SEARCH(("기타"),(K44))))</formula>
    </cfRule>
    <cfRule type="containsText" dxfId="2352" priority="11005" operator="containsText" text="프로젝트">
      <formula>NOT(ISERROR(SEARCH(("프로젝트"),(K44))))</formula>
    </cfRule>
    <cfRule type="containsText" dxfId="2351" priority="11006" operator="containsText" text="정규교과">
      <formula>NOT(ISERROR(SEARCH(("정규교과"),(K44))))</formula>
    </cfRule>
    <cfRule type="containsText" dxfId="2350" priority="11007" operator="containsText" text="기타">
      <formula>NOT(ISERROR(SEARCH(("기타"),(K44))))</formula>
    </cfRule>
    <cfRule type="containsText" dxfId="2349" priority="11008" operator="containsText" text="프로젝트">
      <formula>NOT(ISERROR(SEARCH(("프로젝트"),(K44))))</formula>
    </cfRule>
    <cfRule type="containsText" dxfId="2348" priority="11009" operator="containsText" text="정규교과">
      <formula>NOT(ISERROR(SEARCH(("정규교과"),(K44))))</formula>
    </cfRule>
    <cfRule type="containsText" dxfId="2347" priority="11010" operator="containsText" text="기타">
      <formula>NOT(ISERROR(SEARCH(("기타"),(K44))))</formula>
    </cfRule>
    <cfRule type="containsText" dxfId="2346" priority="11011" operator="containsText" text="프로젝트">
      <formula>NOT(ISERROR(SEARCH(("프로젝트"),(K44))))</formula>
    </cfRule>
    <cfRule type="containsText" dxfId="2345" priority="11012" operator="containsText" text="정규교과">
      <formula>NOT(ISERROR(SEARCH(("정규교과"),(K44))))</formula>
    </cfRule>
    <cfRule type="containsText" dxfId="2344" priority="11013" operator="containsText" text="기타">
      <formula>NOT(ISERROR(SEARCH(("기타"),(K44))))</formula>
    </cfRule>
    <cfRule type="containsText" dxfId="2343" priority="11014" operator="containsText" text="프로젝트">
      <formula>NOT(ISERROR(SEARCH(("프로젝트"),(K44))))</formula>
    </cfRule>
    <cfRule type="containsText" dxfId="2342" priority="11015" operator="containsText" text="정규교과">
      <formula>NOT(ISERROR(SEARCH(("정규교과"),(K44))))</formula>
    </cfRule>
    <cfRule type="containsText" dxfId="2341" priority="11016" operator="containsText" text="기타">
      <formula>NOT(ISERROR(SEARCH(("기타"),(K44))))</formula>
    </cfRule>
    <cfRule type="containsText" dxfId="2340" priority="11017" operator="containsText" text="프로젝트">
      <formula>NOT(ISERROR(SEARCH(("프로젝트"),(K44))))</formula>
    </cfRule>
    <cfRule type="containsText" dxfId="2339" priority="11018" operator="containsText" text="정규교과">
      <formula>NOT(ISERROR(SEARCH(("정규교과"),(K44))))</formula>
    </cfRule>
    <cfRule type="containsText" dxfId="2338" priority="11019" operator="containsText" text="기타">
      <formula>NOT(ISERROR(SEARCH(("기타"),(K44))))</formula>
    </cfRule>
    <cfRule type="containsText" dxfId="2337" priority="11020" operator="containsText" text="프로젝트">
      <formula>NOT(ISERROR(SEARCH(("프로젝트"),(K44))))</formula>
    </cfRule>
    <cfRule type="containsText" dxfId="2336" priority="11021" operator="containsText" text="정규교과">
      <formula>NOT(ISERROR(SEARCH(("정규교과"),(K44))))</formula>
    </cfRule>
    <cfRule type="containsText" dxfId="2335" priority="11022" operator="containsText" text="기타">
      <formula>NOT(ISERROR(SEARCH(("기타"),(K44))))</formula>
    </cfRule>
    <cfRule type="containsText" dxfId="2334" priority="11024" operator="containsText" text="정규교과">
      <formula>NOT(ISERROR(SEARCH(("정규교과"),(K44))))</formula>
    </cfRule>
    <cfRule type="containsText" dxfId="2333" priority="11025" operator="containsText" text="기타">
      <formula>NOT(ISERROR(SEARCH(("기타"),(K44))))</formula>
    </cfRule>
    <cfRule type="containsText" dxfId="2332" priority="10990" operator="containsText" text="프로젝트">
      <formula>NOT(ISERROR(SEARCH(("프로젝트"),(K44))))</formula>
    </cfRule>
    <cfRule type="containsText" dxfId="2331" priority="10991" operator="containsText" text="정규교과">
      <formula>NOT(ISERROR(SEARCH(("정규교과"),(K44))))</formula>
    </cfRule>
    <cfRule type="containsText" dxfId="2330" priority="10992" operator="containsText" text="기타">
      <formula>NOT(ISERROR(SEARCH(("기타"),(K44))))</formula>
    </cfRule>
    <cfRule type="containsText" dxfId="2329" priority="10993" operator="containsText" text="프로젝트">
      <formula>NOT(ISERROR(SEARCH(("프로젝트"),(K44))))</formula>
    </cfRule>
    <cfRule type="containsText" dxfId="2328" priority="10994" operator="containsText" text="정규교과">
      <formula>NOT(ISERROR(SEARCH(("정규교과"),(K44))))</formula>
    </cfRule>
    <cfRule type="containsText" dxfId="2327" priority="10995" operator="containsText" text="기타">
      <formula>NOT(ISERROR(SEARCH(("기타"),(K44))))</formula>
    </cfRule>
    <cfRule type="containsText" dxfId="2326" priority="10996" operator="containsText" text="프로젝트">
      <formula>NOT(ISERROR(SEARCH(("프로젝트"),(K44))))</formula>
    </cfRule>
    <cfRule type="containsText" dxfId="2325" priority="10997" operator="containsText" text="정규교과">
      <formula>NOT(ISERROR(SEARCH(("정규교과"),(K44))))</formula>
    </cfRule>
    <cfRule type="containsText" dxfId="2324" priority="10998" operator="containsText" text="기타">
      <formula>NOT(ISERROR(SEARCH(("기타"),(K44))))</formula>
    </cfRule>
    <cfRule type="containsText" dxfId="2323" priority="10999" operator="containsText" text="프로젝트">
      <formula>NOT(ISERROR(SEARCH(("프로젝트"),(K44))))</formula>
    </cfRule>
    <cfRule type="containsText" dxfId="2322" priority="11000" operator="containsText" text="정규교과">
      <formula>NOT(ISERROR(SEARCH(("정규교과"),(K44))))</formula>
    </cfRule>
    <cfRule type="containsText" dxfId="2321" priority="11001" operator="containsText" text="기타">
      <formula>NOT(ISERROR(SEARCH(("기타"),(K44))))</formula>
    </cfRule>
    <cfRule type="containsText" dxfId="2320" priority="11002" operator="containsText" text="프로젝트">
      <formula>NOT(ISERROR(SEARCH(("프로젝트"),(K44))))</formula>
    </cfRule>
    <cfRule type="containsText" dxfId="2319" priority="10960" operator="containsText" text="프로젝트">
      <formula>NOT(ISERROR(SEARCH(("프로젝트"),(K44))))</formula>
    </cfRule>
    <cfRule type="containsText" dxfId="2318" priority="10961" operator="containsText" text="정규교과">
      <formula>NOT(ISERROR(SEARCH(("정규교과"),(K44))))</formula>
    </cfRule>
    <cfRule type="containsText" dxfId="2317" priority="10962" operator="containsText" text="기타">
      <formula>NOT(ISERROR(SEARCH(("기타"),(K44))))</formula>
    </cfRule>
    <cfRule type="containsText" dxfId="2316" priority="10963" operator="containsText" text="프로젝트">
      <formula>NOT(ISERROR(SEARCH(("프로젝트"),(K44))))</formula>
    </cfRule>
    <cfRule type="containsText" dxfId="2315" priority="10964" operator="containsText" text="정규교과">
      <formula>NOT(ISERROR(SEARCH(("정규교과"),(K44))))</formula>
    </cfRule>
    <cfRule type="containsText" dxfId="2314" priority="10965" operator="containsText" text="기타">
      <formula>NOT(ISERROR(SEARCH(("기타"),(K44))))</formula>
    </cfRule>
    <cfRule type="containsText" dxfId="2313" priority="10966" operator="containsText" text="프로젝트">
      <formula>NOT(ISERROR(SEARCH(("프로젝트"),(K44))))</formula>
    </cfRule>
    <cfRule type="containsText" dxfId="2312" priority="10967" operator="containsText" text="정규교과">
      <formula>NOT(ISERROR(SEARCH(("정규교과"),(K44))))</formula>
    </cfRule>
    <cfRule type="containsText" dxfId="2311" priority="10968" operator="containsText" text="기타">
      <formula>NOT(ISERROR(SEARCH(("기타"),(K44))))</formula>
    </cfRule>
    <cfRule type="containsText" dxfId="2310" priority="10969" operator="containsText" text="프로젝트">
      <formula>NOT(ISERROR(SEARCH(("프로젝트"),(K44))))</formula>
    </cfRule>
    <cfRule type="containsText" dxfId="2309" priority="10970" operator="containsText" text="정규교과">
      <formula>NOT(ISERROR(SEARCH(("정규교과"),(K44))))</formula>
    </cfRule>
    <cfRule type="containsText" dxfId="2308" priority="10971" operator="containsText" text="기타">
      <formula>NOT(ISERROR(SEARCH(("기타"),(K44))))</formula>
    </cfRule>
    <cfRule type="containsText" dxfId="2307" priority="10972" operator="containsText" text="프로젝트">
      <formula>NOT(ISERROR(SEARCH(("프로젝트"),(K44))))</formula>
    </cfRule>
    <cfRule type="containsText" dxfId="2306" priority="10973" operator="containsText" text="정규교과">
      <formula>NOT(ISERROR(SEARCH(("정규교과"),(K44))))</formula>
    </cfRule>
    <cfRule type="containsText" dxfId="2305" priority="10974" operator="containsText" text="기타">
      <formula>NOT(ISERROR(SEARCH(("기타"),(K44))))</formula>
    </cfRule>
    <cfRule type="containsText" dxfId="2304" priority="10975" operator="containsText" text="프로젝트">
      <formula>NOT(ISERROR(SEARCH(("프로젝트"),(K44))))</formula>
    </cfRule>
    <cfRule type="containsText" dxfId="2303" priority="10976" operator="containsText" text="정규교과">
      <formula>NOT(ISERROR(SEARCH(("정규교과"),(K44))))</formula>
    </cfRule>
    <cfRule type="containsText" dxfId="2302" priority="10977" operator="containsText" text="기타">
      <formula>NOT(ISERROR(SEARCH(("기타"),(K44))))</formula>
    </cfRule>
    <cfRule type="containsText" dxfId="2301" priority="10978" operator="containsText" text="프로젝트">
      <formula>NOT(ISERROR(SEARCH(("프로젝트"),(K44))))</formula>
    </cfRule>
    <cfRule type="containsText" dxfId="2300" priority="10979" operator="containsText" text="정규교과">
      <formula>NOT(ISERROR(SEARCH(("정규교과"),(K44))))</formula>
    </cfRule>
    <cfRule type="containsText" dxfId="2299" priority="10980" operator="containsText" text="기타">
      <formula>NOT(ISERROR(SEARCH(("기타"),(K44))))</formula>
    </cfRule>
    <cfRule type="containsText" dxfId="2298" priority="10981" operator="containsText" text="프로젝트">
      <formula>NOT(ISERROR(SEARCH(("프로젝트"),(K44))))</formula>
    </cfRule>
    <cfRule type="containsText" dxfId="2297" priority="10982" operator="containsText" text="정규교과">
      <formula>NOT(ISERROR(SEARCH(("정규교과"),(K44))))</formula>
    </cfRule>
    <cfRule type="containsText" dxfId="2296" priority="10983" operator="containsText" text="기타">
      <formula>NOT(ISERROR(SEARCH(("기타"),(K44))))</formula>
    </cfRule>
    <cfRule type="containsText" dxfId="2295" priority="10984" operator="containsText" text="프로젝트">
      <formula>NOT(ISERROR(SEARCH(("프로젝트"),(K44))))</formula>
    </cfRule>
    <cfRule type="containsText" dxfId="2294" priority="10985" operator="containsText" text="정규교과">
      <formula>NOT(ISERROR(SEARCH(("정규교과"),(K44))))</formula>
    </cfRule>
    <cfRule type="containsText" dxfId="2293" priority="10986" operator="containsText" text="기타">
      <formula>NOT(ISERROR(SEARCH(("기타"),(K44))))</formula>
    </cfRule>
    <cfRule type="containsText" dxfId="2292" priority="10987" operator="containsText" text="프로젝트">
      <formula>NOT(ISERROR(SEARCH(("프로젝트"),(K44))))</formula>
    </cfRule>
    <cfRule type="containsText" dxfId="2291" priority="10988" operator="containsText" text="정규교과">
      <formula>NOT(ISERROR(SEARCH(("정규교과"),(K44))))</formula>
    </cfRule>
    <cfRule type="containsText" dxfId="2290" priority="10989" operator="containsText" text="기타">
      <formula>NOT(ISERROR(SEARCH(("기타"),(K44))))</formula>
    </cfRule>
  </conditionalFormatting>
  <conditionalFormatting sqref="K48">
    <cfRule type="containsText" dxfId="2289" priority="10929" operator="containsText" text="기타">
      <formula>NOT(ISERROR(SEARCH(("기타"),(K48))))</formula>
    </cfRule>
    <cfRule type="containsText" dxfId="2288" priority="10902" operator="containsText" text="기타">
      <formula>NOT(ISERROR(SEARCH(("기타"),(K48))))</formula>
    </cfRule>
    <cfRule type="containsText" dxfId="2287" priority="10903" operator="containsText" text="프로젝트">
      <formula>NOT(ISERROR(SEARCH(("프로젝트"),(K48))))</formula>
    </cfRule>
    <cfRule type="containsText" dxfId="2286" priority="10939" operator="containsText" text="프로젝트">
      <formula>NOT(ISERROR(SEARCH(("프로젝트"),(K48))))</formula>
    </cfRule>
    <cfRule type="containsText" dxfId="2285" priority="10904" operator="containsText" text="정규교과">
      <formula>NOT(ISERROR(SEARCH(("정규교과"),(K48))))</formula>
    </cfRule>
    <cfRule type="containsText" dxfId="2284" priority="10909" operator="containsText" text="프로젝트">
      <formula>NOT(ISERROR(SEARCH(("프로젝트"),(K48))))</formula>
    </cfRule>
    <cfRule type="containsText" dxfId="2283" priority="10905" operator="containsText" text="기타">
      <formula>NOT(ISERROR(SEARCH(("기타"),(K48))))</formula>
    </cfRule>
    <cfRule type="containsText" dxfId="2282" priority="10906" operator="containsText" text="프로젝트">
      <formula>NOT(ISERROR(SEARCH(("프로젝트"),(K48))))</formula>
    </cfRule>
    <cfRule type="containsText" dxfId="2281" priority="10907" operator="containsText" text="정규교과">
      <formula>NOT(ISERROR(SEARCH(("정규교과"),(K48))))</formula>
    </cfRule>
    <cfRule type="containsText" dxfId="2280" priority="10908" operator="containsText" text="기타">
      <formula>NOT(ISERROR(SEARCH(("기타"),(K48))))</formula>
    </cfRule>
    <cfRule type="containsText" dxfId="2279" priority="10894" operator="containsText" text="프로젝트">
      <formula>NOT(ISERROR(SEARCH(("프로젝트"),(K48))))</formula>
    </cfRule>
    <cfRule type="containsText" dxfId="2278" priority="10895" operator="containsText" text="정규교과">
      <formula>NOT(ISERROR(SEARCH(("정규교과"),(K48))))</formula>
    </cfRule>
    <cfRule type="containsText" dxfId="2277" priority="10896" operator="containsText" text="기타">
      <formula>NOT(ISERROR(SEARCH(("기타"),(K48))))</formula>
    </cfRule>
    <cfRule type="containsText" dxfId="2276" priority="10897" operator="containsText" text="프로젝트">
      <formula>NOT(ISERROR(SEARCH(("프로젝트"),(K48))))</formula>
    </cfRule>
    <cfRule type="containsText" dxfId="2275" priority="10911" operator="containsText" text="기타">
      <formula>NOT(ISERROR(SEARCH(("기타"),(K48))))</formula>
    </cfRule>
    <cfRule type="containsText" dxfId="2274" priority="10910" operator="containsText" text="정규교과">
      <formula>NOT(ISERROR(SEARCH(("정규교과"),(K48))))</formula>
    </cfRule>
    <cfRule type="containsText" dxfId="2273" priority="10898" operator="containsText" text="정규교과">
      <formula>NOT(ISERROR(SEARCH(("정규교과"),(K48))))</formula>
    </cfRule>
    <cfRule type="containsText" dxfId="2272" priority="10899" operator="containsText" text="기타">
      <formula>NOT(ISERROR(SEARCH(("기타"),(K48))))</formula>
    </cfRule>
    <cfRule type="containsText" dxfId="2271" priority="10900" operator="containsText" text="프로젝트">
      <formula>NOT(ISERROR(SEARCH(("프로젝트"),(K48))))</formula>
    </cfRule>
    <cfRule type="containsText" dxfId="2270" priority="10901" operator="containsText" text="정규교과">
      <formula>NOT(ISERROR(SEARCH(("정규교과"),(K48))))</formula>
    </cfRule>
    <cfRule type="containsText" dxfId="2269" priority="10912" operator="containsText" text="프로젝트">
      <formula>NOT(ISERROR(SEARCH(("프로젝트"),(K48))))</formula>
    </cfRule>
    <cfRule type="containsText" dxfId="2268" priority="10913" operator="containsText" text="정규교과">
      <formula>NOT(ISERROR(SEARCH(("정규교과"),(K48))))</formula>
    </cfRule>
    <cfRule type="containsText" dxfId="2267" priority="10914" operator="containsText" text="기타">
      <formula>NOT(ISERROR(SEARCH(("기타"),(K48))))</formula>
    </cfRule>
    <cfRule type="containsText" dxfId="2266" priority="10915" operator="containsText" text="프로젝트">
      <formula>NOT(ISERROR(SEARCH(("프로젝트"),(K48))))</formula>
    </cfRule>
    <cfRule type="containsText" dxfId="2265" priority="10916" operator="containsText" text="정규교과">
      <formula>NOT(ISERROR(SEARCH(("정규교과"),(K48))))</formula>
    </cfRule>
    <cfRule type="containsText" dxfId="2264" priority="10917" operator="containsText" text="기타">
      <formula>NOT(ISERROR(SEARCH(("기타"),(K48))))</formula>
    </cfRule>
    <cfRule type="containsText" dxfId="2263" priority="10918" operator="containsText" text="프로젝트">
      <formula>NOT(ISERROR(SEARCH(("프로젝트"),(K48))))</formula>
    </cfRule>
    <cfRule type="containsText" dxfId="2262" priority="10919" operator="containsText" text="정규교과">
      <formula>NOT(ISERROR(SEARCH(("정규교과"),(K48))))</formula>
    </cfRule>
    <cfRule type="containsText" dxfId="2261" priority="10920" operator="containsText" text="기타">
      <formula>NOT(ISERROR(SEARCH(("기타"),(K48))))</formula>
    </cfRule>
    <cfRule type="containsText" dxfId="2260" priority="10921" operator="containsText" text="프로젝트">
      <formula>NOT(ISERROR(SEARCH(("프로젝트"),(K48))))</formula>
    </cfRule>
    <cfRule type="containsText" dxfId="2259" priority="10922" operator="containsText" text="정규교과">
      <formula>NOT(ISERROR(SEARCH(("정규교과"),(K48))))</formula>
    </cfRule>
    <cfRule type="containsText" dxfId="2258" priority="10923" operator="containsText" text="기타">
      <formula>NOT(ISERROR(SEARCH(("기타"),(K48))))</formula>
    </cfRule>
    <cfRule type="containsText" dxfId="2257" priority="10924" operator="containsText" text="프로젝트">
      <formula>NOT(ISERROR(SEARCH(("프로젝트"),(K48))))</formula>
    </cfRule>
    <cfRule type="containsText" dxfId="2256" priority="10925" operator="containsText" text="정규교과">
      <formula>NOT(ISERROR(SEARCH(("정규교과"),(K48))))</formula>
    </cfRule>
    <cfRule type="containsText" dxfId="2255" priority="10926" operator="containsText" text="기타">
      <formula>NOT(ISERROR(SEARCH(("기타"),(K48))))</formula>
    </cfRule>
    <cfRule type="containsText" dxfId="2254" priority="10927" operator="containsText" text="프로젝트">
      <formula>NOT(ISERROR(SEARCH(("프로젝트"),(K48))))</formula>
    </cfRule>
    <cfRule type="containsText" dxfId="2253" priority="10928" operator="containsText" text="정규교과">
      <formula>NOT(ISERROR(SEARCH(("정규교과"),(K48))))</formula>
    </cfRule>
    <cfRule type="containsText" dxfId="2252" priority="10931" operator="containsText" text="정규교과">
      <formula>NOT(ISERROR(SEARCH(("정규교과"),(K48))))</formula>
    </cfRule>
    <cfRule type="containsText" dxfId="2251" priority="10932" operator="containsText" text="기타">
      <formula>NOT(ISERROR(SEARCH(("기타"),(K48))))</formula>
    </cfRule>
    <cfRule type="containsText" dxfId="2250" priority="10933" operator="containsText" text="프로젝트">
      <formula>NOT(ISERROR(SEARCH(("프로젝트"),(K48))))</formula>
    </cfRule>
    <cfRule type="containsText" dxfId="2249" priority="10934" operator="containsText" text="정규교과">
      <formula>NOT(ISERROR(SEARCH(("정규교과"),(K48))))</formula>
    </cfRule>
    <cfRule type="containsText" dxfId="2248" priority="10935" operator="containsText" text="기타">
      <formula>NOT(ISERROR(SEARCH(("기타"),(K48))))</formula>
    </cfRule>
    <cfRule type="containsText" dxfId="2247" priority="10936" operator="containsText" text="프로젝트">
      <formula>NOT(ISERROR(SEARCH(("프로젝트"),(K48))))</formula>
    </cfRule>
    <cfRule type="containsText" dxfId="2246" priority="10937" operator="containsText" text="정규교과">
      <formula>NOT(ISERROR(SEARCH(("정규교과"),(K48))))</formula>
    </cfRule>
    <cfRule type="containsText" dxfId="2245" priority="10938" operator="containsText" text="기타">
      <formula>NOT(ISERROR(SEARCH(("기타"),(K48))))</formula>
    </cfRule>
    <cfRule type="containsText" dxfId="2244" priority="10940" operator="containsText" text="정규교과">
      <formula>NOT(ISERROR(SEARCH(("정규교과"),(K48))))</formula>
    </cfRule>
    <cfRule type="containsText" dxfId="2243" priority="10941" operator="containsText" text="기타">
      <formula>NOT(ISERROR(SEARCH(("기타"),(K48))))</formula>
    </cfRule>
    <cfRule type="containsText" dxfId="2242" priority="10942" operator="containsText" text="프로젝트">
      <formula>NOT(ISERROR(SEARCH(("프로젝트"),(K48))))</formula>
    </cfRule>
    <cfRule type="containsText" dxfId="2241" priority="10943" operator="containsText" text="정규교과">
      <formula>NOT(ISERROR(SEARCH(("정규교과"),(K48))))</formula>
    </cfRule>
    <cfRule type="containsText" dxfId="2240" priority="10944" operator="containsText" text="기타">
      <formula>NOT(ISERROR(SEARCH(("기타"),(K48))))</formula>
    </cfRule>
    <cfRule type="containsText" dxfId="2239" priority="10945" operator="containsText" text="프로젝트">
      <formula>NOT(ISERROR(SEARCH(("프로젝트"),(K48))))</formula>
    </cfRule>
    <cfRule type="containsText" dxfId="2238" priority="10946" operator="containsText" text="정규교과">
      <formula>NOT(ISERROR(SEARCH(("정규교과"),(K48))))</formula>
    </cfRule>
    <cfRule type="containsText" dxfId="2237" priority="10947" operator="containsText" text="기타">
      <formula>NOT(ISERROR(SEARCH(("기타"),(K48))))</formula>
    </cfRule>
    <cfRule type="containsText" dxfId="2236" priority="10948" operator="containsText" text="프로젝트">
      <formula>NOT(ISERROR(SEARCH(("프로젝트"),(K48))))</formula>
    </cfRule>
    <cfRule type="containsText" dxfId="2235" priority="10949" operator="containsText" text="정규교과">
      <formula>NOT(ISERROR(SEARCH(("정규교과"),(K48))))</formula>
    </cfRule>
    <cfRule type="containsText" dxfId="2234" priority="10930" operator="containsText" text="프로젝트">
      <formula>NOT(ISERROR(SEARCH(("프로젝트"),(K48))))</formula>
    </cfRule>
    <cfRule type="containsText" dxfId="2233" priority="10950" operator="containsText" text="기타">
      <formula>NOT(ISERROR(SEARCH(("기타"),(K48))))</formula>
    </cfRule>
    <cfRule type="containsText" dxfId="2232" priority="10951" operator="containsText" text="프로젝트">
      <formula>NOT(ISERROR(SEARCH(("프로젝트"),(K48))))</formula>
    </cfRule>
    <cfRule type="containsText" dxfId="2231" priority="10952" operator="containsText" text="정규교과">
      <formula>NOT(ISERROR(SEARCH(("정규교과"),(K48))))</formula>
    </cfRule>
    <cfRule type="containsText" dxfId="2230" priority="10953" operator="containsText" text="기타">
      <formula>NOT(ISERROR(SEARCH(("기타"),(K48))))</formula>
    </cfRule>
    <cfRule type="containsText" dxfId="2229" priority="10954" operator="containsText" text="프로젝트">
      <formula>NOT(ISERROR(SEARCH(("프로젝트"),(K48))))</formula>
    </cfRule>
    <cfRule type="containsText" dxfId="2228" priority="10955" operator="containsText" text="정규교과">
      <formula>NOT(ISERROR(SEARCH(("정규교과"),(K48))))</formula>
    </cfRule>
    <cfRule type="containsText" dxfId="2227" priority="10956" operator="containsText" text="기타">
      <formula>NOT(ISERROR(SEARCH(("기타"),(K48))))</formula>
    </cfRule>
    <cfRule type="containsText" dxfId="2226" priority="10958" operator="containsText" text="정규교과">
      <formula>NOT(ISERROR(SEARCH(("정규교과"),(K48))))</formula>
    </cfRule>
    <cfRule type="containsText" dxfId="2225" priority="10959" operator="containsText" text="기타">
      <formula>NOT(ISERROR(SEARCH(("기타"),(K48))))</formula>
    </cfRule>
  </conditionalFormatting>
  <conditionalFormatting sqref="K53">
    <cfRule type="containsText" dxfId="2224" priority="10875" operator="containsText" text="기타">
      <formula>NOT(ISERROR(SEARCH(("기타"),(K53))))</formula>
    </cfRule>
    <cfRule type="containsText" dxfId="2223" priority="10876" operator="containsText" text="프로젝트">
      <formula>NOT(ISERROR(SEARCH(("프로젝트"),(K53))))</formula>
    </cfRule>
    <cfRule type="containsText" dxfId="2222" priority="10877" operator="containsText" text="정규교과">
      <formula>NOT(ISERROR(SEARCH(("정규교과"),(K53))))</formula>
    </cfRule>
    <cfRule type="containsText" dxfId="2221" priority="10878" operator="containsText" text="기타">
      <formula>NOT(ISERROR(SEARCH(("기타"),(K53))))</formula>
    </cfRule>
    <cfRule type="containsText" dxfId="2220" priority="10879" operator="containsText" text="프로젝트">
      <formula>NOT(ISERROR(SEARCH(("프로젝트"),(K53))))</formula>
    </cfRule>
    <cfRule type="containsText" dxfId="2219" priority="10880" operator="containsText" text="정규교과">
      <formula>NOT(ISERROR(SEARCH(("정규교과"),(K53))))</formula>
    </cfRule>
    <cfRule type="containsText" dxfId="2218" priority="10881" operator="containsText" text="기타">
      <formula>NOT(ISERROR(SEARCH(("기타"),(K53))))</formula>
    </cfRule>
    <cfRule type="containsText" dxfId="2217" priority="10882" operator="containsText" text="프로젝트">
      <formula>NOT(ISERROR(SEARCH(("프로젝트"),(K53))))</formula>
    </cfRule>
    <cfRule type="containsText" dxfId="2216" priority="10883" operator="containsText" text="정규교과">
      <formula>NOT(ISERROR(SEARCH(("정규교과"),(K53))))</formula>
    </cfRule>
    <cfRule type="containsText" dxfId="2215" priority="10884" operator="containsText" text="기타">
      <formula>NOT(ISERROR(SEARCH(("기타"),(K53))))</formula>
    </cfRule>
    <cfRule type="containsText" dxfId="2214" priority="10885" operator="containsText" text="프로젝트">
      <formula>NOT(ISERROR(SEARCH(("프로젝트"),(K53))))</formula>
    </cfRule>
    <cfRule type="containsText" dxfId="2213" priority="10887" operator="containsText" text="기타">
      <formula>NOT(ISERROR(SEARCH(("기타"),(K53))))</formula>
    </cfRule>
    <cfRule type="containsText" dxfId="2212" priority="10889" operator="containsText" text="정규교과">
      <formula>NOT(ISERROR(SEARCH(("정규교과"),(K53))))</formula>
    </cfRule>
    <cfRule type="containsText" dxfId="2211" priority="10890" operator="containsText" text="기타">
      <formula>NOT(ISERROR(SEARCH(("기타"),(K53))))</formula>
    </cfRule>
    <cfRule type="containsText" dxfId="2210" priority="10892" operator="containsText" text="정규교과">
      <formula>NOT(ISERROR(SEARCH(("정규교과"),(K53))))</formula>
    </cfRule>
    <cfRule type="containsText" dxfId="2209" priority="10893" operator="containsText" text="기타">
      <formula>NOT(ISERROR(SEARCH(("기타"),(K53))))</formula>
    </cfRule>
    <cfRule type="containsText" dxfId="2208" priority="10860" operator="containsText" text="기타">
      <formula>NOT(ISERROR(SEARCH(("기타"),(K53))))</formula>
    </cfRule>
    <cfRule type="containsText" dxfId="2207" priority="10839" operator="containsText" text="기타">
      <formula>NOT(ISERROR(SEARCH(("기타"),(K53))))</formula>
    </cfRule>
    <cfRule type="containsText" dxfId="2206" priority="10840" operator="containsText" text="프로젝트">
      <formula>NOT(ISERROR(SEARCH(("프로젝트"),(K53))))</formula>
    </cfRule>
    <cfRule type="containsText" dxfId="2205" priority="10841" operator="containsText" text="정규교과">
      <formula>NOT(ISERROR(SEARCH(("정규교과"),(K53))))</formula>
    </cfRule>
    <cfRule type="containsText" dxfId="2204" priority="10842" operator="containsText" text="기타">
      <formula>NOT(ISERROR(SEARCH(("기타"),(K53))))</formula>
    </cfRule>
    <cfRule type="containsText" dxfId="2203" priority="10843" operator="containsText" text="프로젝트">
      <formula>NOT(ISERROR(SEARCH(("프로젝트"),(K53))))</formula>
    </cfRule>
    <cfRule type="containsText" dxfId="2202" priority="10844" operator="containsText" text="정규교과">
      <formula>NOT(ISERROR(SEARCH(("정규교과"),(K53))))</formula>
    </cfRule>
    <cfRule type="containsText" dxfId="2201" priority="10845" operator="containsText" text="기타">
      <formula>NOT(ISERROR(SEARCH(("기타"),(K53))))</formula>
    </cfRule>
    <cfRule type="containsText" dxfId="2200" priority="10846" operator="containsText" text="프로젝트">
      <formula>NOT(ISERROR(SEARCH(("프로젝트"),(K53))))</formula>
    </cfRule>
    <cfRule type="containsText" dxfId="2199" priority="10847" operator="containsText" text="정규교과">
      <formula>NOT(ISERROR(SEARCH(("정규교과"),(K53))))</formula>
    </cfRule>
    <cfRule type="containsText" dxfId="2198" priority="10848" operator="containsText" text="기타">
      <formula>NOT(ISERROR(SEARCH(("기타"),(K53))))</formula>
    </cfRule>
    <cfRule type="containsText" dxfId="2197" priority="10849" operator="containsText" text="프로젝트">
      <formula>NOT(ISERROR(SEARCH(("프로젝트"),(K53))))</formula>
    </cfRule>
    <cfRule type="containsText" dxfId="2196" priority="10850" operator="containsText" text="정규교과">
      <formula>NOT(ISERROR(SEARCH(("정규교과"),(K53))))</formula>
    </cfRule>
    <cfRule type="containsText" dxfId="2195" priority="10851" operator="containsText" text="기타">
      <formula>NOT(ISERROR(SEARCH(("기타"),(K53))))</formula>
    </cfRule>
    <cfRule type="containsText" dxfId="2194" priority="10852" operator="containsText" text="프로젝트">
      <formula>NOT(ISERROR(SEARCH(("프로젝트"),(K53))))</formula>
    </cfRule>
    <cfRule type="containsText" dxfId="2193" priority="10853" operator="containsText" text="정규교과">
      <formula>NOT(ISERROR(SEARCH(("정규교과"),(K53))))</formula>
    </cfRule>
    <cfRule type="containsText" dxfId="2192" priority="10854" operator="containsText" text="기타">
      <formula>NOT(ISERROR(SEARCH(("기타"),(K53))))</formula>
    </cfRule>
    <cfRule type="containsText" dxfId="2191" priority="10855" operator="containsText" text="프로젝트">
      <formula>NOT(ISERROR(SEARCH(("프로젝트"),(K53))))</formula>
    </cfRule>
    <cfRule type="containsText" dxfId="2190" priority="10888" operator="containsText" text="프로젝트">
      <formula>NOT(ISERROR(SEARCH(("프로젝트"),(K53))))</formula>
    </cfRule>
    <cfRule type="containsText" dxfId="2189" priority="10857" operator="containsText" text="기타">
      <formula>NOT(ISERROR(SEARCH(("기타"),(K53))))</formula>
    </cfRule>
    <cfRule type="containsText" dxfId="2188" priority="10858" operator="containsText" text="프로젝트">
      <formula>NOT(ISERROR(SEARCH(("프로젝트"),(K53))))</formula>
    </cfRule>
    <cfRule type="containsText" dxfId="2187" priority="10859" operator="containsText" text="정규교과">
      <formula>NOT(ISERROR(SEARCH(("정규교과"),(K53))))</formula>
    </cfRule>
    <cfRule type="containsText" dxfId="2186" priority="10861" operator="containsText" text="프로젝트">
      <formula>NOT(ISERROR(SEARCH(("프로젝트"),(K53))))</formula>
    </cfRule>
    <cfRule type="containsText" dxfId="2185" priority="10862" operator="containsText" text="정규교과">
      <formula>NOT(ISERROR(SEARCH(("정규교과"),(K53))))</formula>
    </cfRule>
    <cfRule type="containsText" dxfId="2184" priority="10856" operator="containsText" text="정규교과">
      <formula>NOT(ISERROR(SEARCH(("정규교과"),(K53))))</formula>
    </cfRule>
    <cfRule type="containsText" dxfId="2183" priority="10828" operator="containsText" text="프로젝트">
      <formula>NOT(ISERROR(SEARCH(("프로젝트"),(K53))))</formula>
    </cfRule>
    <cfRule type="containsText" dxfId="2182" priority="10829" operator="containsText" text="정규교과">
      <formula>NOT(ISERROR(SEARCH(("정규교과"),(K53))))</formula>
    </cfRule>
    <cfRule type="containsText" dxfId="2181" priority="10886" operator="containsText" text="정규교과">
      <formula>NOT(ISERROR(SEARCH(("정규교과"),(K53))))</formula>
    </cfRule>
    <cfRule type="containsText" dxfId="2180" priority="10830" operator="containsText" text="기타">
      <formula>NOT(ISERROR(SEARCH(("기타"),(K53))))</formula>
    </cfRule>
    <cfRule type="containsText" dxfId="2179" priority="10831" operator="containsText" text="프로젝트">
      <formula>NOT(ISERROR(SEARCH(("프로젝트"),(K53))))</formula>
    </cfRule>
    <cfRule type="containsText" dxfId="2178" priority="10832" operator="containsText" text="정규교과">
      <formula>NOT(ISERROR(SEARCH(("정규교과"),(K53))))</formula>
    </cfRule>
    <cfRule type="containsText" dxfId="2177" priority="10833" operator="containsText" text="기타">
      <formula>NOT(ISERROR(SEARCH(("기타"),(K53))))</formula>
    </cfRule>
    <cfRule type="containsText" dxfId="2176" priority="10834" operator="containsText" text="프로젝트">
      <formula>NOT(ISERROR(SEARCH(("프로젝트"),(K53))))</formula>
    </cfRule>
    <cfRule type="containsText" dxfId="2175" priority="10835" operator="containsText" text="정규교과">
      <formula>NOT(ISERROR(SEARCH(("정규교과"),(K53))))</formula>
    </cfRule>
    <cfRule type="containsText" dxfId="2174" priority="10836" operator="containsText" text="기타">
      <formula>NOT(ISERROR(SEARCH(("기타"),(K53))))</formula>
    </cfRule>
    <cfRule type="containsText" dxfId="2173" priority="10837" operator="containsText" text="프로젝트">
      <formula>NOT(ISERROR(SEARCH(("프로젝트"),(K53))))</formula>
    </cfRule>
    <cfRule type="containsText" dxfId="2172" priority="10863" operator="containsText" text="기타">
      <formula>NOT(ISERROR(SEARCH(("기타"),(K53))))</formula>
    </cfRule>
    <cfRule type="containsText" dxfId="2171" priority="10864" operator="containsText" text="프로젝트">
      <formula>NOT(ISERROR(SEARCH(("프로젝트"),(K53))))</formula>
    </cfRule>
    <cfRule type="containsText" dxfId="2170" priority="10865" operator="containsText" text="정규교과">
      <formula>NOT(ISERROR(SEARCH(("정규교과"),(K53))))</formula>
    </cfRule>
    <cfRule type="containsText" dxfId="2169" priority="10866" operator="containsText" text="기타">
      <formula>NOT(ISERROR(SEARCH(("기타"),(K53))))</formula>
    </cfRule>
    <cfRule type="containsText" dxfId="2168" priority="10867" operator="containsText" text="프로젝트">
      <formula>NOT(ISERROR(SEARCH(("프로젝트"),(K53))))</formula>
    </cfRule>
    <cfRule type="containsText" dxfId="2167" priority="10868" operator="containsText" text="정규교과">
      <formula>NOT(ISERROR(SEARCH(("정규교과"),(K53))))</formula>
    </cfRule>
    <cfRule type="containsText" dxfId="2166" priority="10869" operator="containsText" text="기타">
      <formula>NOT(ISERROR(SEARCH(("기타"),(K53))))</formula>
    </cfRule>
    <cfRule type="containsText" dxfId="2165" priority="10870" operator="containsText" text="프로젝트">
      <formula>NOT(ISERROR(SEARCH(("프로젝트"),(K53))))</formula>
    </cfRule>
    <cfRule type="containsText" dxfId="2164" priority="10871" operator="containsText" text="정규교과">
      <formula>NOT(ISERROR(SEARCH(("정규교과"),(K53))))</formula>
    </cfRule>
    <cfRule type="containsText" dxfId="2163" priority="10872" operator="containsText" text="기타">
      <formula>NOT(ISERROR(SEARCH(("기타"),(K53))))</formula>
    </cfRule>
    <cfRule type="containsText" dxfId="2162" priority="10873" operator="containsText" text="프로젝트">
      <formula>NOT(ISERROR(SEARCH(("프로젝트"),(K53))))</formula>
    </cfRule>
    <cfRule type="containsText" dxfId="2161" priority="10874" operator="containsText" text="정규교과">
      <formula>NOT(ISERROR(SEARCH(("정규교과"),(K53))))</formula>
    </cfRule>
    <cfRule type="containsText" dxfId="2160" priority="10838" operator="containsText" text="정규교과">
      <formula>NOT(ISERROR(SEARCH(("정규교과"),(K53))))</formula>
    </cfRule>
  </conditionalFormatting>
  <conditionalFormatting sqref="K110">
    <cfRule type="containsText" dxfId="2159" priority="7954" operator="containsText" text="정규교과">
      <formula>NOT(ISERROR(SEARCH(("정규교과"),(K110))))</formula>
    </cfRule>
    <cfRule type="containsText" dxfId="2158" priority="7955" operator="containsText" text="기타">
      <formula>NOT(ISERROR(SEARCH(("기타"),(K110))))</formula>
    </cfRule>
    <cfRule type="containsText" dxfId="2157" priority="7952" operator="containsText" text="기타">
      <formula>NOT(ISERROR(SEARCH(("기타"),(K110))))</formula>
    </cfRule>
    <cfRule type="containsText" dxfId="2156" priority="7951" operator="containsText" text="정규교과">
      <formula>NOT(ISERROR(SEARCH(("정규교과"),(K110))))</formula>
    </cfRule>
    <cfRule type="containsText" dxfId="2155" priority="7950" operator="containsText" text="프로젝트">
      <formula>NOT(ISERROR(SEARCH(("프로젝트"),(K110))))</formula>
    </cfRule>
    <cfRule type="containsText" dxfId="2154" priority="7949" operator="containsText" text="기타">
      <formula>NOT(ISERROR(SEARCH(("기타"),(K110))))</formula>
    </cfRule>
    <cfRule type="containsText" dxfId="2153" priority="7948" operator="containsText" text="정규교과">
      <formula>NOT(ISERROR(SEARCH(("정규교과"),(K110))))</formula>
    </cfRule>
    <cfRule type="containsText" dxfId="2152" priority="7947" operator="containsText" text="프로젝트">
      <formula>NOT(ISERROR(SEARCH(("프로젝트"),(K110))))</formula>
    </cfRule>
    <cfRule type="containsText" dxfId="2151" priority="7946" operator="containsText" text="기타">
      <formula>NOT(ISERROR(SEARCH(("기타"),(K110))))</formula>
    </cfRule>
    <cfRule type="containsText" dxfId="2150" priority="7945" operator="containsText" text="정규교과">
      <formula>NOT(ISERROR(SEARCH(("정규교과"),(K110))))</formula>
    </cfRule>
    <cfRule type="containsText" dxfId="2149" priority="7944" operator="containsText" text="프로젝트">
      <formula>NOT(ISERROR(SEARCH(("프로젝트"),(K110))))</formula>
    </cfRule>
    <cfRule type="containsText" dxfId="2148" priority="7943" operator="containsText" text="기타">
      <formula>NOT(ISERROR(SEARCH(("기타"),(K110))))</formula>
    </cfRule>
    <cfRule type="containsText" dxfId="2147" priority="7942" operator="containsText" text="정규교과">
      <formula>NOT(ISERROR(SEARCH(("정규교과"),(K110))))</formula>
    </cfRule>
    <cfRule type="containsText" dxfId="2146" priority="7941" operator="containsText" text="프로젝트">
      <formula>NOT(ISERROR(SEARCH(("프로젝트"),(K110))))</formula>
    </cfRule>
    <cfRule type="containsText" dxfId="2145" priority="7940" operator="containsText" text="휴강">
      <formula>NOT(ISERROR(SEARCH(("휴강"),(K110))))</formula>
    </cfRule>
    <cfRule type="containsText" dxfId="2144" priority="7953" operator="containsText" text="프로젝트">
      <formula>NOT(ISERROR(SEARCH(("프로젝트"),(K110))))</formula>
    </cfRule>
  </conditionalFormatting>
  <conditionalFormatting sqref="K114">
    <cfRule type="containsText" dxfId="2143" priority="7939" operator="containsText" text="기타">
      <formula>NOT(ISERROR(SEARCH(("기타"),(K114))))</formula>
    </cfRule>
    <cfRule type="containsText" dxfId="2142" priority="7938" operator="containsText" text="정규교과">
      <formula>NOT(ISERROR(SEARCH(("정규교과"),(K114))))</formula>
    </cfRule>
    <cfRule type="containsText" dxfId="2141" priority="7937" operator="containsText" text="프로젝트">
      <formula>NOT(ISERROR(SEARCH(("프로젝트"),(K114))))</formula>
    </cfRule>
    <cfRule type="containsText" dxfId="2140" priority="7936" operator="containsText" text="기타">
      <formula>NOT(ISERROR(SEARCH(("기타"),(K114))))</formula>
    </cfRule>
    <cfRule type="containsText" dxfId="2139" priority="7935" operator="containsText" text="정규교과">
      <formula>NOT(ISERROR(SEARCH(("정규교과"),(K114))))</formula>
    </cfRule>
    <cfRule type="containsText" dxfId="2138" priority="7934" operator="containsText" text="프로젝트">
      <formula>NOT(ISERROR(SEARCH(("프로젝트"),(K114))))</formula>
    </cfRule>
    <cfRule type="containsText" dxfId="2137" priority="7933" operator="containsText" text="기타">
      <formula>NOT(ISERROR(SEARCH(("기타"),(K114))))</formula>
    </cfRule>
    <cfRule type="containsText" dxfId="2136" priority="7932" operator="containsText" text="정규교과">
      <formula>NOT(ISERROR(SEARCH(("정규교과"),(K114))))</formula>
    </cfRule>
    <cfRule type="containsText" dxfId="2135" priority="7931" operator="containsText" text="프로젝트">
      <formula>NOT(ISERROR(SEARCH(("프로젝트"),(K114))))</formula>
    </cfRule>
    <cfRule type="containsText" dxfId="2134" priority="7930" operator="containsText" text="기타">
      <formula>NOT(ISERROR(SEARCH(("기타"),(K114))))</formula>
    </cfRule>
    <cfRule type="containsText" dxfId="2133" priority="7929" operator="containsText" text="정규교과">
      <formula>NOT(ISERROR(SEARCH(("정규교과"),(K114))))</formula>
    </cfRule>
    <cfRule type="containsText" dxfId="2132" priority="7928" operator="containsText" text="프로젝트">
      <formula>NOT(ISERROR(SEARCH(("프로젝트"),(K114))))</formula>
    </cfRule>
    <cfRule type="containsText" dxfId="2131" priority="7927" operator="containsText" text="기타">
      <formula>NOT(ISERROR(SEARCH(("기타"),(K114))))</formula>
    </cfRule>
    <cfRule type="containsText" dxfId="2130" priority="7926" operator="containsText" text="정규교과">
      <formula>NOT(ISERROR(SEARCH(("정규교과"),(K114))))</formula>
    </cfRule>
    <cfRule type="containsText" dxfId="2129" priority="7925" operator="containsText" text="프로젝트">
      <formula>NOT(ISERROR(SEARCH(("프로젝트"),(K114))))</formula>
    </cfRule>
    <cfRule type="containsText" dxfId="2128" priority="7924" operator="containsText" text="휴강">
      <formula>NOT(ISERROR(SEARCH(("휴강"),(K114))))</formula>
    </cfRule>
  </conditionalFormatting>
  <conditionalFormatting sqref="K118">
    <cfRule type="containsText" dxfId="2127" priority="7909" operator="containsText" text="프로젝트">
      <formula>NOT(ISERROR(SEARCH(("프로젝트"),(K118))))</formula>
    </cfRule>
    <cfRule type="containsText" dxfId="2126" priority="7910" operator="containsText" text="정규교과">
      <formula>NOT(ISERROR(SEARCH(("정규교과"),(K118))))</formula>
    </cfRule>
    <cfRule type="containsText" dxfId="2125" priority="7911" operator="containsText" text="기타">
      <formula>NOT(ISERROR(SEARCH(("기타"),(K118))))</formula>
    </cfRule>
    <cfRule type="containsText" dxfId="2124" priority="7912" operator="containsText" text="프로젝트">
      <formula>NOT(ISERROR(SEARCH(("프로젝트"),(K118))))</formula>
    </cfRule>
    <cfRule type="containsText" dxfId="2123" priority="7913" operator="containsText" text="정규교과">
      <formula>NOT(ISERROR(SEARCH(("정규교과"),(K118))))</formula>
    </cfRule>
    <cfRule type="containsText" dxfId="2122" priority="7914" operator="containsText" text="기타">
      <formula>NOT(ISERROR(SEARCH(("기타"),(K118))))</formula>
    </cfRule>
    <cfRule type="containsText" dxfId="2121" priority="7915" operator="containsText" text="프로젝트">
      <formula>NOT(ISERROR(SEARCH(("프로젝트"),(K118))))</formula>
    </cfRule>
    <cfRule type="containsText" dxfId="2120" priority="7916" operator="containsText" text="정규교과">
      <formula>NOT(ISERROR(SEARCH(("정규교과"),(K118))))</formula>
    </cfRule>
    <cfRule type="containsText" dxfId="2119" priority="7917" operator="containsText" text="기타">
      <formula>NOT(ISERROR(SEARCH(("기타"),(K118))))</formula>
    </cfRule>
    <cfRule type="containsText" dxfId="2118" priority="7918" operator="containsText" text="프로젝트">
      <formula>NOT(ISERROR(SEARCH(("프로젝트"),(K118))))</formula>
    </cfRule>
    <cfRule type="containsText" dxfId="2117" priority="7919" operator="containsText" text="정규교과">
      <formula>NOT(ISERROR(SEARCH(("정규교과"),(K118))))</formula>
    </cfRule>
    <cfRule type="containsText" dxfId="2116" priority="7920" operator="containsText" text="기타">
      <formula>NOT(ISERROR(SEARCH(("기타"),(K118))))</formula>
    </cfRule>
    <cfRule type="containsText" dxfId="2115" priority="7921" operator="containsText" text="프로젝트">
      <formula>NOT(ISERROR(SEARCH(("프로젝트"),(K118))))</formula>
    </cfRule>
    <cfRule type="containsText" dxfId="2114" priority="7922" operator="containsText" text="정규교과">
      <formula>NOT(ISERROR(SEARCH(("정규교과"),(K118))))</formula>
    </cfRule>
    <cfRule type="containsText" dxfId="2113" priority="7923" operator="containsText" text="기타">
      <formula>NOT(ISERROR(SEARCH(("기타"),(K118))))</formula>
    </cfRule>
    <cfRule type="containsText" dxfId="2112" priority="7908" operator="containsText" text="휴강">
      <formula>NOT(ISERROR(SEARCH(("휴강"),(K118))))</formula>
    </cfRule>
  </conditionalFormatting>
  <conditionalFormatting sqref="K131">
    <cfRule type="containsText" dxfId="2111" priority="6998" operator="containsText" text="기타">
      <formula>NOT(ISERROR(SEARCH(("기타"),(K131))))</formula>
    </cfRule>
    <cfRule type="containsText" dxfId="2110" priority="6997" operator="containsText" text="정규교과">
      <formula>NOT(ISERROR(SEARCH(("정규교과"),(K131))))</formula>
    </cfRule>
    <cfRule type="containsText" dxfId="2109" priority="6996" operator="containsText" text="프로젝트">
      <formula>NOT(ISERROR(SEARCH(("프로젝트"),(K131))))</formula>
    </cfRule>
    <cfRule type="containsText" dxfId="2108" priority="6994" operator="containsText" text="정규교과">
      <formula>NOT(ISERROR(SEARCH(("정규교과"),(K131))))</formula>
    </cfRule>
    <cfRule type="containsText" dxfId="2107" priority="6993" operator="containsText" text="프로젝트">
      <formula>NOT(ISERROR(SEARCH(("프로젝트"),(K131))))</formula>
    </cfRule>
    <cfRule type="containsText" dxfId="2106" priority="7007" operator="containsText" text="기타">
      <formula>NOT(ISERROR(SEARCH(("기타"),(K131))))</formula>
    </cfRule>
    <cfRule type="containsText" dxfId="2105" priority="7006" operator="containsText" text="정규교과">
      <formula>NOT(ISERROR(SEARCH(("정규교과"),(K131))))</formula>
    </cfRule>
    <cfRule type="containsText" dxfId="2104" priority="7005" operator="containsText" text="프로젝트">
      <formula>NOT(ISERROR(SEARCH(("프로젝트"),(K131))))</formula>
    </cfRule>
    <cfRule type="containsText" dxfId="2103" priority="7004" operator="containsText" text="기타">
      <formula>NOT(ISERROR(SEARCH(("기타"),(K131))))</formula>
    </cfRule>
    <cfRule type="containsText" dxfId="2102" priority="7003" operator="containsText" text="정규교과">
      <formula>NOT(ISERROR(SEARCH(("정규교과"),(K131))))</formula>
    </cfRule>
    <cfRule type="containsText" dxfId="2101" priority="6992" operator="containsText" text="휴강">
      <formula>NOT(ISERROR(SEARCH(("휴강"),(K131))))</formula>
    </cfRule>
    <cfRule type="containsText" dxfId="2100" priority="7001" operator="containsText" text="기타">
      <formula>NOT(ISERROR(SEARCH(("기타"),(K131))))</formula>
    </cfRule>
    <cfRule type="containsText" dxfId="2099" priority="6995" operator="containsText" text="기타">
      <formula>NOT(ISERROR(SEARCH(("기타"),(K131))))</formula>
    </cfRule>
    <cfRule type="containsText" dxfId="2098" priority="7000" operator="containsText" text="정규교과">
      <formula>NOT(ISERROR(SEARCH(("정규교과"),(K131))))</formula>
    </cfRule>
    <cfRule type="containsText" dxfId="2097" priority="7002" operator="containsText" text="프로젝트">
      <formula>NOT(ISERROR(SEARCH(("프로젝트"),(K131))))</formula>
    </cfRule>
    <cfRule type="containsText" dxfId="2096" priority="6999" operator="containsText" text="프로젝트">
      <formula>NOT(ISERROR(SEARCH(("프로젝트"),(K131))))</formula>
    </cfRule>
  </conditionalFormatting>
  <conditionalFormatting sqref="K135">
    <cfRule type="containsText" dxfId="2095" priority="6990" operator="containsText" text="정규교과">
      <formula>NOT(ISERROR(SEARCH(("정규교과"),(K135))))</formula>
    </cfRule>
    <cfRule type="containsText" dxfId="2094" priority="6984" operator="containsText" text="정규교과">
      <formula>NOT(ISERROR(SEARCH(("정규교과"),(K135))))</formula>
    </cfRule>
    <cfRule type="containsText" dxfId="2093" priority="6983" operator="containsText" text="프로젝트">
      <formula>NOT(ISERROR(SEARCH(("프로젝트"),(K135))))</formula>
    </cfRule>
    <cfRule type="containsText" dxfId="2092" priority="6982" operator="containsText" text="기타">
      <formula>NOT(ISERROR(SEARCH(("기타"),(K135))))</formula>
    </cfRule>
    <cfRule type="containsText" dxfId="2091" priority="6981" operator="containsText" text="정규교과">
      <formula>NOT(ISERROR(SEARCH(("정규교과"),(K135))))</formula>
    </cfRule>
    <cfRule type="containsText" dxfId="2090" priority="6980" operator="containsText" text="프로젝트">
      <formula>NOT(ISERROR(SEARCH(("프로젝트"),(K135))))</formula>
    </cfRule>
    <cfRule type="containsText" dxfId="2089" priority="6979" operator="containsText" text="기타">
      <formula>NOT(ISERROR(SEARCH(("기타"),(K135))))</formula>
    </cfRule>
    <cfRule type="containsText" dxfId="2088" priority="6978" operator="containsText" text="정규교과">
      <formula>NOT(ISERROR(SEARCH(("정규교과"),(K135))))</formula>
    </cfRule>
    <cfRule type="containsText" dxfId="2087" priority="6977" operator="containsText" text="프로젝트">
      <formula>NOT(ISERROR(SEARCH(("프로젝트"),(K135))))</formula>
    </cfRule>
    <cfRule type="containsText" dxfId="2086" priority="6976" operator="containsText" text="휴강">
      <formula>NOT(ISERROR(SEARCH(("휴강"),(K135))))</formula>
    </cfRule>
    <cfRule type="containsText" dxfId="2085" priority="6988" operator="containsText" text="기타">
      <formula>NOT(ISERROR(SEARCH(("기타"),(K135))))</formula>
    </cfRule>
    <cfRule type="containsText" dxfId="2084" priority="6989" operator="containsText" text="프로젝트">
      <formula>NOT(ISERROR(SEARCH(("프로젝트"),(K135))))</formula>
    </cfRule>
    <cfRule type="containsText" dxfId="2083" priority="6985" operator="containsText" text="기타">
      <formula>NOT(ISERROR(SEARCH(("기타"),(K135))))</formula>
    </cfRule>
    <cfRule type="containsText" dxfId="2082" priority="6987" operator="containsText" text="정규교과">
      <formula>NOT(ISERROR(SEARCH(("정규교과"),(K135))))</formula>
    </cfRule>
    <cfRule type="containsText" dxfId="2081" priority="6986" operator="containsText" text="프로젝트">
      <formula>NOT(ISERROR(SEARCH(("프로젝트"),(K135))))</formula>
    </cfRule>
    <cfRule type="containsText" dxfId="2080" priority="6991" operator="containsText" text="기타">
      <formula>NOT(ISERROR(SEARCH(("기타"),(K135))))</formula>
    </cfRule>
  </conditionalFormatting>
  <conditionalFormatting sqref="K139">
    <cfRule type="containsText" dxfId="2079" priority="6975" operator="containsText" text="기타">
      <formula>NOT(ISERROR(SEARCH(("기타"),(K139))))</formula>
    </cfRule>
    <cfRule type="containsText" dxfId="2078" priority="6974" operator="containsText" text="정규교과">
      <formula>NOT(ISERROR(SEARCH(("정규교과"),(K139))))</formula>
    </cfRule>
    <cfRule type="containsText" dxfId="2077" priority="6960" operator="containsText" text="휴강">
      <formula>NOT(ISERROR(SEARCH(("휴강"),(K139))))</formula>
    </cfRule>
    <cfRule type="containsText" dxfId="2076" priority="6961" operator="containsText" text="프로젝트">
      <formula>NOT(ISERROR(SEARCH(("프로젝트"),(K139))))</formula>
    </cfRule>
    <cfRule type="containsText" dxfId="2075" priority="6973" operator="containsText" text="프로젝트">
      <formula>NOT(ISERROR(SEARCH(("프로젝트"),(K139))))</formula>
    </cfRule>
    <cfRule type="containsText" dxfId="2074" priority="6964" operator="containsText" text="프로젝트">
      <formula>NOT(ISERROR(SEARCH(("프로젝트"),(K139))))</formula>
    </cfRule>
    <cfRule type="containsText" dxfId="2073" priority="6971" operator="containsText" text="정규교과">
      <formula>NOT(ISERROR(SEARCH(("정규교과"),(K139))))</formula>
    </cfRule>
    <cfRule type="containsText" dxfId="2072" priority="6965" operator="containsText" text="정규교과">
      <formula>NOT(ISERROR(SEARCH(("정규교과"),(K139))))</formula>
    </cfRule>
    <cfRule type="containsText" dxfId="2071" priority="6972" operator="containsText" text="기타">
      <formula>NOT(ISERROR(SEARCH(("기타"),(K139))))</formula>
    </cfRule>
    <cfRule type="containsText" dxfId="2070" priority="6966" operator="containsText" text="기타">
      <formula>NOT(ISERROR(SEARCH(("기타"),(K139))))</formula>
    </cfRule>
    <cfRule type="containsText" dxfId="2069" priority="6967" operator="containsText" text="프로젝트">
      <formula>NOT(ISERROR(SEARCH(("프로젝트"),(K139))))</formula>
    </cfRule>
    <cfRule type="containsText" dxfId="2068" priority="6968" operator="containsText" text="정규교과">
      <formula>NOT(ISERROR(SEARCH(("정규교과"),(K139))))</formula>
    </cfRule>
    <cfRule type="containsText" dxfId="2067" priority="6969" operator="containsText" text="기타">
      <formula>NOT(ISERROR(SEARCH(("기타"),(K139))))</formula>
    </cfRule>
    <cfRule type="containsText" dxfId="2066" priority="6962" operator="containsText" text="정규교과">
      <formula>NOT(ISERROR(SEARCH(("정규교과"),(K139))))</formula>
    </cfRule>
    <cfRule type="containsText" dxfId="2065" priority="6963" operator="containsText" text="기타">
      <formula>NOT(ISERROR(SEARCH(("기타"),(K139))))</formula>
    </cfRule>
    <cfRule type="containsText" dxfId="2064" priority="6970" operator="containsText" text="프로젝트">
      <formula>NOT(ISERROR(SEARCH(("프로젝트"),(K139))))</formula>
    </cfRule>
  </conditionalFormatting>
  <conditionalFormatting sqref="K145">
    <cfRule type="containsText" dxfId="2063" priority="6218" operator="containsText" text="프로젝트">
      <formula>NOT(ISERROR(SEARCH(("프로젝트"),(K145))))</formula>
    </cfRule>
    <cfRule type="containsText" dxfId="2062" priority="6220" operator="containsText" text="기타">
      <formula>NOT(ISERROR(SEARCH(("기타"),(K145))))</formula>
    </cfRule>
    <cfRule type="containsText" dxfId="2061" priority="6222" operator="containsText" text="정규교과">
      <formula>NOT(ISERROR(SEARCH(("정규교과"),(K145))))</formula>
    </cfRule>
    <cfRule type="containsText" dxfId="2060" priority="6223" operator="containsText" text="기타">
      <formula>NOT(ISERROR(SEARCH(("기타"),(K145))))</formula>
    </cfRule>
    <cfRule type="containsText" dxfId="2059" priority="6210" operator="containsText" text="정규교과">
      <formula>NOT(ISERROR(SEARCH(("정규교과"),(K145))))</formula>
    </cfRule>
    <cfRule type="containsText" dxfId="2058" priority="6209" operator="containsText" text="프로젝트">
      <formula>NOT(ISERROR(SEARCH(("프로젝트"),(K145))))</formula>
    </cfRule>
    <cfRule type="containsText" dxfId="2057" priority="6208" operator="containsText" text="휴강">
      <formula>NOT(ISERROR(SEARCH(("휴강"),(K145))))</formula>
    </cfRule>
    <cfRule type="containsText" dxfId="2056" priority="6217" operator="containsText" text="기타">
      <formula>NOT(ISERROR(SEARCH(("기타"),(K145))))</formula>
    </cfRule>
    <cfRule type="containsText" dxfId="2055" priority="6219" operator="containsText" text="정규교과">
      <formula>NOT(ISERROR(SEARCH(("정규교과"),(K145))))</formula>
    </cfRule>
    <cfRule type="containsText" dxfId="2054" priority="6211" operator="containsText" text="기타">
      <formula>NOT(ISERROR(SEARCH(("기타"),(K145))))</formula>
    </cfRule>
    <cfRule type="containsText" dxfId="2053" priority="6215" operator="containsText" text="프로젝트">
      <formula>NOT(ISERROR(SEARCH(("프로젝트"),(K145))))</formula>
    </cfRule>
    <cfRule type="containsText" dxfId="2052" priority="6221" operator="containsText" text="프로젝트">
      <formula>NOT(ISERROR(SEARCH(("프로젝트"),(K145))))</formula>
    </cfRule>
    <cfRule type="containsText" dxfId="2051" priority="6212" operator="containsText" text="프로젝트">
      <formula>NOT(ISERROR(SEARCH(("프로젝트"),(K145))))</formula>
    </cfRule>
    <cfRule type="containsText" dxfId="2050" priority="6213" operator="containsText" text="정규교과">
      <formula>NOT(ISERROR(SEARCH(("정규교과"),(K145))))</formula>
    </cfRule>
    <cfRule type="containsText" dxfId="2049" priority="6214" operator="containsText" text="기타">
      <formula>NOT(ISERROR(SEARCH(("기타"),(K145))))</formula>
    </cfRule>
    <cfRule type="containsText" dxfId="2048" priority="6216" operator="containsText" text="정규교과">
      <formula>NOT(ISERROR(SEARCH(("정규교과"),(K145))))</formula>
    </cfRule>
  </conditionalFormatting>
  <conditionalFormatting sqref="K149">
    <cfRule type="containsText" dxfId="2047" priority="6170" operator="containsText" text="프로젝트">
      <formula>NOT(ISERROR(SEARCH(("프로젝트"),(K149))))</formula>
    </cfRule>
    <cfRule type="containsText" dxfId="2046" priority="6169" operator="containsText" text="기타">
      <formula>NOT(ISERROR(SEARCH(("기타"),(K149))))</formula>
    </cfRule>
    <cfRule type="containsText" dxfId="2045" priority="6168" operator="containsText" text="정규교과">
      <formula>NOT(ISERROR(SEARCH(("정규교과"),(K149))))</formula>
    </cfRule>
    <cfRule type="containsText" dxfId="2044" priority="6174" operator="containsText" text="정규교과">
      <formula>NOT(ISERROR(SEARCH(("정규교과"),(K149))))</formula>
    </cfRule>
    <cfRule type="containsText" dxfId="2043" priority="6166" operator="containsText" text="기타">
      <formula>NOT(ISERROR(SEARCH(("기타"),(K149))))</formula>
    </cfRule>
    <cfRule type="containsText" dxfId="2042" priority="6175" operator="containsText" text="기타">
      <formula>NOT(ISERROR(SEARCH(("기타"),(K149))))</formula>
    </cfRule>
    <cfRule type="containsText" dxfId="2041" priority="6165" operator="containsText" text="정규교과">
      <formula>NOT(ISERROR(SEARCH(("정규교과"),(K149))))</formula>
    </cfRule>
    <cfRule type="containsText" dxfId="2040" priority="6173" operator="containsText" text="프로젝트">
      <formula>NOT(ISERROR(SEARCH(("프로젝트"),(K149))))</formula>
    </cfRule>
    <cfRule type="containsText" dxfId="2039" priority="6172" operator="containsText" text="기타">
      <formula>NOT(ISERROR(SEARCH(("기타"),(K149))))</formula>
    </cfRule>
    <cfRule type="containsText" dxfId="2038" priority="6167" operator="containsText" text="프로젝트">
      <formula>NOT(ISERROR(SEARCH(("프로젝트"),(K149))))</formula>
    </cfRule>
    <cfRule type="containsText" dxfId="2037" priority="6171" operator="containsText" text="정규교과">
      <formula>NOT(ISERROR(SEARCH(("정규교과"),(K149))))</formula>
    </cfRule>
    <cfRule type="containsText" dxfId="2036" priority="6160" operator="containsText" text="휴강">
      <formula>NOT(ISERROR(SEARCH(("휴강"),(K149))))</formula>
    </cfRule>
    <cfRule type="containsText" dxfId="2035" priority="6161" operator="containsText" text="프로젝트">
      <formula>NOT(ISERROR(SEARCH(("프로젝트"),(K149))))</formula>
    </cfRule>
    <cfRule type="containsText" dxfId="2034" priority="6162" operator="containsText" text="정규교과">
      <formula>NOT(ISERROR(SEARCH(("정규교과"),(K149))))</formula>
    </cfRule>
    <cfRule type="containsText" dxfId="2033" priority="6163" operator="containsText" text="기타">
      <formula>NOT(ISERROR(SEARCH(("기타"),(K149))))</formula>
    </cfRule>
    <cfRule type="containsText" dxfId="2032" priority="6164" operator="containsText" text="프로젝트">
      <formula>NOT(ISERROR(SEARCH(("프로젝트"),(K149))))</formula>
    </cfRule>
  </conditionalFormatting>
  <conditionalFormatting sqref="K153">
    <cfRule type="containsText" dxfId="2031" priority="6115" operator="containsText" text="기타">
      <formula>NOT(ISERROR(SEARCH(("기타"),(K153))))</formula>
    </cfRule>
    <cfRule type="containsText" dxfId="2030" priority="6114" operator="containsText" text="정규교과">
      <formula>NOT(ISERROR(SEARCH(("정규교과"),(K153))))</formula>
    </cfRule>
    <cfRule type="containsText" dxfId="2029" priority="6113" operator="containsText" text="프로젝트">
      <formula>NOT(ISERROR(SEARCH(("프로젝트"),(K153))))</formula>
    </cfRule>
    <cfRule type="containsText" dxfId="2028" priority="6112" operator="containsText" text="휴강">
      <formula>NOT(ISERROR(SEARCH(("휴강"),(K153))))</formula>
    </cfRule>
    <cfRule type="containsText" dxfId="2027" priority="6126" operator="containsText" text="정규교과">
      <formula>NOT(ISERROR(SEARCH(("정규교과"),(K153))))</formula>
    </cfRule>
    <cfRule type="containsText" dxfId="2026" priority="6127" operator="containsText" text="기타">
      <formula>NOT(ISERROR(SEARCH(("기타"),(K153))))</formula>
    </cfRule>
    <cfRule type="containsText" dxfId="2025" priority="6121" operator="containsText" text="기타">
      <formula>NOT(ISERROR(SEARCH(("기타"),(K153))))</formula>
    </cfRule>
    <cfRule type="containsText" dxfId="2024" priority="6116" operator="containsText" text="프로젝트">
      <formula>NOT(ISERROR(SEARCH(("프로젝트"),(K153))))</formula>
    </cfRule>
    <cfRule type="containsText" dxfId="2023" priority="6122" operator="containsText" text="프로젝트">
      <formula>NOT(ISERROR(SEARCH(("프로젝트"),(K153))))</formula>
    </cfRule>
    <cfRule type="containsText" dxfId="2022" priority="6123" operator="containsText" text="정규교과">
      <formula>NOT(ISERROR(SEARCH(("정규교과"),(K153))))</formula>
    </cfRule>
    <cfRule type="containsText" dxfId="2021" priority="6120" operator="containsText" text="정규교과">
      <formula>NOT(ISERROR(SEARCH(("정규교과"),(K153))))</formula>
    </cfRule>
    <cfRule type="containsText" dxfId="2020" priority="6119" operator="containsText" text="프로젝트">
      <formula>NOT(ISERROR(SEARCH(("프로젝트"),(K153))))</formula>
    </cfRule>
    <cfRule type="containsText" dxfId="2019" priority="6124" operator="containsText" text="기타">
      <formula>NOT(ISERROR(SEARCH(("기타"),(K153))))</formula>
    </cfRule>
    <cfRule type="containsText" dxfId="2018" priority="6125" operator="containsText" text="프로젝트">
      <formula>NOT(ISERROR(SEARCH(("프로젝트"),(K153))))</formula>
    </cfRule>
    <cfRule type="containsText" dxfId="2017" priority="6118" operator="containsText" text="기타">
      <formula>NOT(ISERROR(SEARCH(("기타"),(K153))))</formula>
    </cfRule>
    <cfRule type="containsText" dxfId="2016" priority="6117" operator="containsText" text="정규교과">
      <formula>NOT(ISERROR(SEARCH(("정규교과"),(K153))))</formula>
    </cfRule>
  </conditionalFormatting>
  <conditionalFormatting sqref="K158">
    <cfRule type="containsText" dxfId="2015" priority="6068" operator="containsText" text="프로젝트">
      <formula>NOT(ISERROR(SEARCH(("프로젝트"),(K158))))</formula>
    </cfRule>
    <cfRule type="containsText" dxfId="2014" priority="6072" operator="containsText" text="정규교과">
      <formula>NOT(ISERROR(SEARCH(("정규교과"),(K158))))</formula>
    </cfRule>
    <cfRule type="containsText" dxfId="2013" priority="6073" operator="containsText" text="기타">
      <formula>NOT(ISERROR(SEARCH(("기타"),(K158))))</formula>
    </cfRule>
    <cfRule type="containsText" dxfId="2012" priority="6074" operator="containsText" text="프로젝트">
      <formula>NOT(ISERROR(SEARCH(("프로젝트"),(K158))))</formula>
    </cfRule>
    <cfRule type="containsText" dxfId="2011" priority="6075" operator="containsText" text="정규교과">
      <formula>NOT(ISERROR(SEARCH(("정규교과"),(K158))))</formula>
    </cfRule>
    <cfRule type="containsText" dxfId="2010" priority="6077" operator="containsText" text="프로젝트">
      <formula>NOT(ISERROR(SEARCH(("프로젝트"),(K158))))</formula>
    </cfRule>
    <cfRule type="containsText" dxfId="2009" priority="6078" operator="containsText" text="정규교과">
      <formula>NOT(ISERROR(SEARCH(("정규교과"),(K158))))</formula>
    </cfRule>
    <cfRule type="containsText" dxfId="2008" priority="6076" operator="containsText" text="기타">
      <formula>NOT(ISERROR(SEARCH(("기타"),(K158))))</formula>
    </cfRule>
    <cfRule type="containsText" dxfId="2007" priority="6064" operator="containsText" text="휴강">
      <formula>NOT(ISERROR(SEARCH(("휴강"),(K158))))</formula>
    </cfRule>
    <cfRule type="containsText" dxfId="2006" priority="6065" operator="containsText" text="프로젝트">
      <formula>NOT(ISERROR(SEARCH(("프로젝트"),(K158))))</formula>
    </cfRule>
    <cfRule type="containsText" dxfId="2005" priority="6066" operator="containsText" text="정규교과">
      <formula>NOT(ISERROR(SEARCH(("정규교과"),(K158))))</formula>
    </cfRule>
    <cfRule type="containsText" dxfId="2004" priority="6067" operator="containsText" text="기타">
      <formula>NOT(ISERROR(SEARCH(("기타"),(K158))))</formula>
    </cfRule>
    <cfRule type="containsText" dxfId="2003" priority="6079" operator="containsText" text="기타">
      <formula>NOT(ISERROR(SEARCH(("기타"),(K158))))</formula>
    </cfRule>
    <cfRule type="containsText" dxfId="2002" priority="6069" operator="containsText" text="정규교과">
      <formula>NOT(ISERROR(SEARCH(("정규교과"),(K158))))</formula>
    </cfRule>
    <cfRule type="containsText" dxfId="2001" priority="6070" operator="containsText" text="기타">
      <formula>NOT(ISERROR(SEARCH(("기타"),(K158))))</formula>
    </cfRule>
    <cfRule type="containsText" dxfId="2000" priority="6071" operator="containsText" text="프로젝트">
      <formula>NOT(ISERROR(SEARCH(("프로젝트"),(K158))))</formula>
    </cfRule>
  </conditionalFormatting>
  <conditionalFormatting sqref="K162">
    <cfRule type="containsText" dxfId="1999" priority="6025" operator="containsText" text="기타">
      <formula>NOT(ISERROR(SEARCH(("기타"),(K162))))</formula>
    </cfRule>
    <cfRule type="containsText" dxfId="1998" priority="6026" operator="containsText" text="프로젝트">
      <formula>NOT(ISERROR(SEARCH(("프로젝트"),(K162))))</formula>
    </cfRule>
    <cfRule type="containsText" dxfId="1997" priority="6028" operator="containsText" text="기타">
      <formula>NOT(ISERROR(SEARCH(("기타"),(K162))))</formula>
    </cfRule>
    <cfRule type="containsText" dxfId="1996" priority="6029" operator="containsText" text="프로젝트">
      <formula>NOT(ISERROR(SEARCH(("프로젝트"),(K162))))</formula>
    </cfRule>
    <cfRule type="containsText" dxfId="1995" priority="6030" operator="containsText" text="정규교과">
      <formula>NOT(ISERROR(SEARCH(("정규교과"),(K162))))</formula>
    </cfRule>
    <cfRule type="containsText" dxfId="1994" priority="6031" operator="containsText" text="기타">
      <formula>NOT(ISERROR(SEARCH(("기타"),(K162))))</formula>
    </cfRule>
    <cfRule type="containsText" dxfId="1993" priority="6016" operator="containsText" text="휴강">
      <formula>NOT(ISERROR(SEARCH(("휴강"),(K162))))</formula>
    </cfRule>
    <cfRule type="containsText" dxfId="1992" priority="6018" operator="containsText" text="정규교과">
      <formula>NOT(ISERROR(SEARCH(("정규교과"),(K162))))</formula>
    </cfRule>
    <cfRule type="containsText" dxfId="1991" priority="6027" operator="containsText" text="정규교과">
      <formula>NOT(ISERROR(SEARCH(("정규교과"),(K162))))</formula>
    </cfRule>
    <cfRule type="containsText" dxfId="1990" priority="6019" operator="containsText" text="기타">
      <formula>NOT(ISERROR(SEARCH(("기타"),(K162))))</formula>
    </cfRule>
    <cfRule type="containsText" dxfId="1989" priority="6020" operator="containsText" text="프로젝트">
      <formula>NOT(ISERROR(SEARCH(("프로젝트"),(K162))))</formula>
    </cfRule>
    <cfRule type="containsText" dxfId="1988" priority="6021" operator="containsText" text="정규교과">
      <formula>NOT(ISERROR(SEARCH(("정규교과"),(K162))))</formula>
    </cfRule>
    <cfRule type="containsText" dxfId="1987" priority="6017" operator="containsText" text="프로젝트">
      <formula>NOT(ISERROR(SEARCH(("프로젝트"),(K162))))</formula>
    </cfRule>
    <cfRule type="containsText" dxfId="1986" priority="6022" operator="containsText" text="기타">
      <formula>NOT(ISERROR(SEARCH(("기타"),(K162))))</formula>
    </cfRule>
    <cfRule type="containsText" dxfId="1985" priority="6023" operator="containsText" text="프로젝트">
      <formula>NOT(ISERROR(SEARCH(("프로젝트"),(K162))))</formula>
    </cfRule>
    <cfRule type="containsText" dxfId="1984" priority="6024" operator="containsText" text="정규교과">
      <formula>NOT(ISERROR(SEARCH(("정규교과"),(K162))))</formula>
    </cfRule>
  </conditionalFormatting>
  <conditionalFormatting sqref="K166">
    <cfRule type="containsText" dxfId="1983" priority="5976" operator="containsText" text="정규교과">
      <formula>NOT(ISERROR(SEARCH(("정규교과"),(K166))))</formula>
    </cfRule>
    <cfRule type="containsText" dxfId="1982" priority="5975" operator="containsText" text="프로젝트">
      <formula>NOT(ISERROR(SEARCH(("프로젝트"),(K166))))</formula>
    </cfRule>
    <cfRule type="containsText" dxfId="1981" priority="5974" operator="containsText" text="기타">
      <formula>NOT(ISERROR(SEARCH(("기타"),(K166))))</formula>
    </cfRule>
    <cfRule type="containsText" dxfId="1980" priority="5973" operator="containsText" text="정규교과">
      <formula>NOT(ISERROR(SEARCH(("정규교과"),(K166))))</formula>
    </cfRule>
    <cfRule type="containsText" dxfId="1979" priority="5972" operator="containsText" text="프로젝트">
      <formula>NOT(ISERROR(SEARCH(("프로젝트"),(K166))))</formula>
    </cfRule>
    <cfRule type="containsText" dxfId="1978" priority="5970" operator="containsText" text="정규교과">
      <formula>NOT(ISERROR(SEARCH(("정규교과"),(K166))))</formula>
    </cfRule>
    <cfRule type="containsText" dxfId="1977" priority="5971" operator="containsText" text="기타">
      <formula>NOT(ISERROR(SEARCH(("기타"),(K166))))</formula>
    </cfRule>
    <cfRule type="containsText" dxfId="1976" priority="5968" operator="containsText" text="휴강">
      <formula>NOT(ISERROR(SEARCH(("휴강"),(K166))))</formula>
    </cfRule>
    <cfRule type="containsText" dxfId="1975" priority="5969" operator="containsText" text="프로젝트">
      <formula>NOT(ISERROR(SEARCH(("프로젝트"),(K166))))</formula>
    </cfRule>
    <cfRule type="containsText" dxfId="1974" priority="5977" operator="containsText" text="기타">
      <formula>NOT(ISERROR(SEARCH(("기타"),(K166))))</formula>
    </cfRule>
    <cfRule type="containsText" dxfId="1973" priority="5983" operator="containsText" text="기타">
      <formula>NOT(ISERROR(SEARCH(("기타"),(K166))))</formula>
    </cfRule>
    <cfRule type="containsText" dxfId="1972" priority="5982" operator="containsText" text="정규교과">
      <formula>NOT(ISERROR(SEARCH(("정규교과"),(K166))))</formula>
    </cfRule>
    <cfRule type="containsText" dxfId="1971" priority="5981" operator="containsText" text="프로젝트">
      <formula>NOT(ISERROR(SEARCH(("프로젝트"),(K166))))</formula>
    </cfRule>
    <cfRule type="containsText" dxfId="1970" priority="5980" operator="containsText" text="기타">
      <formula>NOT(ISERROR(SEARCH(("기타"),(K166))))</formula>
    </cfRule>
    <cfRule type="containsText" dxfId="1969" priority="5979" operator="containsText" text="정규교과">
      <formula>NOT(ISERROR(SEARCH(("정규교과"),(K166))))</formula>
    </cfRule>
    <cfRule type="containsText" dxfId="1968" priority="5978" operator="containsText" text="프로젝트">
      <formula>NOT(ISERROR(SEARCH(("프로젝트"),(K166))))</formula>
    </cfRule>
  </conditionalFormatting>
  <conditionalFormatting sqref="K170">
    <cfRule type="containsText" dxfId="1967" priority="5932" operator="containsText" text="기타">
      <formula>NOT(ISERROR(SEARCH(("기타"),(K170))))</formula>
    </cfRule>
    <cfRule type="containsText" dxfId="1966" priority="5935" operator="containsText" text="기타">
      <formula>NOT(ISERROR(SEARCH(("기타"),(K170))))</formula>
    </cfRule>
    <cfRule type="containsText" dxfId="1965" priority="5934" operator="containsText" text="정규교과">
      <formula>NOT(ISERROR(SEARCH(("정규교과"),(K170))))</formula>
    </cfRule>
    <cfRule type="containsText" dxfId="1964" priority="5933" operator="containsText" text="프로젝트">
      <formula>NOT(ISERROR(SEARCH(("프로젝트"),(K170))))</formula>
    </cfRule>
    <cfRule type="containsText" dxfId="1963" priority="5931" operator="containsText" text="정규교과">
      <formula>NOT(ISERROR(SEARCH(("정규교과"),(K170))))</formula>
    </cfRule>
    <cfRule type="containsText" dxfId="1962" priority="5930" operator="containsText" text="프로젝트">
      <formula>NOT(ISERROR(SEARCH(("프로젝트"),(K170))))</formula>
    </cfRule>
    <cfRule type="containsText" dxfId="1961" priority="5929" operator="containsText" text="기타">
      <formula>NOT(ISERROR(SEARCH(("기타"),(K170))))</formula>
    </cfRule>
    <cfRule type="containsText" dxfId="1960" priority="5928" operator="containsText" text="정규교과">
      <formula>NOT(ISERROR(SEARCH(("정규교과"),(K170))))</formula>
    </cfRule>
    <cfRule type="containsText" dxfId="1959" priority="5927" operator="containsText" text="프로젝트">
      <formula>NOT(ISERROR(SEARCH(("프로젝트"),(K170))))</formula>
    </cfRule>
    <cfRule type="containsText" dxfId="1958" priority="5926" operator="containsText" text="기타">
      <formula>NOT(ISERROR(SEARCH(("기타"),(K170))))</formula>
    </cfRule>
    <cfRule type="containsText" dxfId="1957" priority="5925" operator="containsText" text="정규교과">
      <formula>NOT(ISERROR(SEARCH(("정규교과"),(K170))))</formula>
    </cfRule>
    <cfRule type="containsText" dxfId="1956" priority="5924" operator="containsText" text="프로젝트">
      <formula>NOT(ISERROR(SEARCH(("프로젝트"),(K170))))</formula>
    </cfRule>
    <cfRule type="containsText" dxfId="1955" priority="5923" operator="containsText" text="기타">
      <formula>NOT(ISERROR(SEARCH(("기타"),(K170))))</formula>
    </cfRule>
    <cfRule type="containsText" dxfId="1954" priority="5922" operator="containsText" text="정규교과">
      <formula>NOT(ISERROR(SEARCH(("정규교과"),(K170))))</formula>
    </cfRule>
    <cfRule type="containsText" dxfId="1953" priority="5921" operator="containsText" text="프로젝트">
      <formula>NOT(ISERROR(SEARCH(("프로젝트"),(K170))))</formula>
    </cfRule>
    <cfRule type="containsText" dxfId="1952" priority="5920" operator="containsText" text="휴강">
      <formula>NOT(ISERROR(SEARCH(("휴강"),(K170))))</formula>
    </cfRule>
  </conditionalFormatting>
  <conditionalFormatting sqref="K174">
    <cfRule type="containsText" dxfId="1951" priority="5878" operator="containsText" text="기타">
      <formula>NOT(ISERROR(SEARCH(("기타"),(K174))))</formula>
    </cfRule>
    <cfRule type="containsText" dxfId="1950" priority="5872" operator="containsText" text="휴강">
      <formula>NOT(ISERROR(SEARCH(("휴강"),(K174))))</formula>
    </cfRule>
    <cfRule type="containsText" dxfId="1949" priority="5873" operator="containsText" text="프로젝트">
      <formula>NOT(ISERROR(SEARCH(("프로젝트"),(K174))))</formula>
    </cfRule>
    <cfRule type="containsText" dxfId="1948" priority="5874" operator="containsText" text="정규교과">
      <formula>NOT(ISERROR(SEARCH(("정규교과"),(K174))))</formula>
    </cfRule>
    <cfRule type="containsText" dxfId="1947" priority="5875" operator="containsText" text="기타">
      <formula>NOT(ISERROR(SEARCH(("기타"),(K174))))</formula>
    </cfRule>
    <cfRule type="containsText" dxfId="1946" priority="5876" operator="containsText" text="프로젝트">
      <formula>NOT(ISERROR(SEARCH(("프로젝트"),(K174))))</formula>
    </cfRule>
    <cfRule type="containsText" dxfId="1945" priority="5879" operator="containsText" text="프로젝트">
      <formula>NOT(ISERROR(SEARCH(("프로젝트"),(K174))))</formula>
    </cfRule>
    <cfRule type="containsText" dxfId="1944" priority="5887" operator="containsText" text="기타">
      <formula>NOT(ISERROR(SEARCH(("기타"),(K174))))</formula>
    </cfRule>
    <cfRule type="containsText" dxfId="1943" priority="5886" operator="containsText" text="정규교과">
      <formula>NOT(ISERROR(SEARCH(("정규교과"),(K174))))</formula>
    </cfRule>
    <cfRule type="containsText" dxfId="1942" priority="5885" operator="containsText" text="프로젝트">
      <formula>NOT(ISERROR(SEARCH(("프로젝트"),(K174))))</formula>
    </cfRule>
    <cfRule type="containsText" dxfId="1941" priority="5884" operator="containsText" text="기타">
      <formula>NOT(ISERROR(SEARCH(("기타"),(K174))))</formula>
    </cfRule>
    <cfRule type="containsText" dxfId="1940" priority="5883" operator="containsText" text="정규교과">
      <formula>NOT(ISERROR(SEARCH(("정규교과"),(K174))))</formula>
    </cfRule>
    <cfRule type="containsText" dxfId="1939" priority="5882" operator="containsText" text="프로젝트">
      <formula>NOT(ISERROR(SEARCH(("프로젝트"),(K174))))</formula>
    </cfRule>
    <cfRule type="containsText" dxfId="1938" priority="5881" operator="containsText" text="기타">
      <formula>NOT(ISERROR(SEARCH(("기타"),(K174))))</formula>
    </cfRule>
    <cfRule type="containsText" dxfId="1937" priority="5877" operator="containsText" text="정규교과">
      <formula>NOT(ISERROR(SEARCH(("정규교과"),(K174))))</formula>
    </cfRule>
    <cfRule type="containsText" dxfId="1936" priority="5880" operator="containsText" text="정규교과">
      <formula>NOT(ISERROR(SEARCH(("정규교과"),(K174))))</formula>
    </cfRule>
  </conditionalFormatting>
  <conditionalFormatting sqref="K184">
    <cfRule type="containsText" dxfId="1935" priority="5107" operator="containsText" text="기타">
      <formula>NOT(ISERROR(SEARCH(("기타"),(K184))))</formula>
    </cfRule>
    <cfRule type="containsText" dxfId="1934" priority="5115" operator="containsText" text="정규교과">
      <formula>NOT(ISERROR(SEARCH(("정규교과"),(K184))))</formula>
    </cfRule>
    <cfRule type="containsText" dxfId="1933" priority="5117" operator="containsText" text="프로젝트">
      <formula>NOT(ISERROR(SEARCH(("프로젝트"),(K184))))</formula>
    </cfRule>
    <cfRule type="containsText" dxfId="1932" priority="5118" operator="containsText" text="정규교과">
      <formula>NOT(ISERROR(SEARCH(("정규교과"),(K184))))</formula>
    </cfRule>
    <cfRule type="containsText" dxfId="1931" priority="5106" operator="containsText" text="정규교과">
      <formula>NOT(ISERROR(SEARCH(("정규교과"),(K184))))</formula>
    </cfRule>
    <cfRule type="containsText" dxfId="1930" priority="5119" operator="containsText" text="기타">
      <formula>NOT(ISERROR(SEARCH(("기타"),(K184))))</formula>
    </cfRule>
    <cfRule type="containsText" dxfId="1929" priority="5105" operator="containsText" text="프로젝트">
      <formula>NOT(ISERROR(SEARCH(("프로젝트"),(K184))))</formula>
    </cfRule>
    <cfRule type="containsText" dxfId="1928" priority="5104" operator="containsText" text="휴강">
      <formula>NOT(ISERROR(SEARCH(("휴강"),(K184))))</formula>
    </cfRule>
    <cfRule type="containsText" dxfId="1927" priority="5116" operator="containsText" text="기타">
      <formula>NOT(ISERROR(SEARCH(("기타"),(K184))))</formula>
    </cfRule>
    <cfRule type="containsText" dxfId="1926" priority="5108" operator="containsText" text="프로젝트">
      <formula>NOT(ISERROR(SEARCH(("프로젝트"),(K184))))</formula>
    </cfRule>
    <cfRule type="containsText" dxfId="1925" priority="5109" operator="containsText" text="정규교과">
      <formula>NOT(ISERROR(SEARCH(("정규교과"),(K184))))</formula>
    </cfRule>
    <cfRule type="containsText" dxfId="1924" priority="5110" operator="containsText" text="기타">
      <formula>NOT(ISERROR(SEARCH(("기타"),(K184))))</formula>
    </cfRule>
    <cfRule type="containsText" dxfId="1923" priority="5111" operator="containsText" text="프로젝트">
      <formula>NOT(ISERROR(SEARCH(("프로젝트"),(K184))))</formula>
    </cfRule>
    <cfRule type="containsText" dxfId="1922" priority="5112" operator="containsText" text="정규교과">
      <formula>NOT(ISERROR(SEARCH(("정규교과"),(K184))))</formula>
    </cfRule>
    <cfRule type="containsText" dxfId="1921" priority="5113" operator="containsText" text="기타">
      <formula>NOT(ISERROR(SEARCH(("기타"),(K184))))</formula>
    </cfRule>
    <cfRule type="containsText" dxfId="1920" priority="5114" operator="containsText" text="프로젝트">
      <formula>NOT(ISERROR(SEARCH(("프로젝트"),(K184))))</formula>
    </cfRule>
  </conditionalFormatting>
  <conditionalFormatting sqref="K188">
    <cfRule type="containsText" dxfId="1919" priority="5090" operator="containsText" text="정규교과">
      <formula>NOT(ISERROR(SEARCH(("정규교과"),(K188))))</formula>
    </cfRule>
    <cfRule type="containsText" dxfId="1918" priority="5091" operator="containsText" text="기타">
      <formula>NOT(ISERROR(SEARCH(("기타"),(K188))))</formula>
    </cfRule>
    <cfRule type="containsText" dxfId="1917" priority="5092" operator="containsText" text="프로젝트">
      <formula>NOT(ISERROR(SEARCH(("프로젝트"),(K188))))</formula>
    </cfRule>
    <cfRule type="containsText" dxfId="1916" priority="5093" operator="containsText" text="정규교과">
      <formula>NOT(ISERROR(SEARCH(("정규교과"),(K188))))</formula>
    </cfRule>
    <cfRule type="containsText" dxfId="1915" priority="5101" operator="containsText" text="프로젝트">
      <formula>NOT(ISERROR(SEARCH(("프로젝트"),(K188))))</formula>
    </cfRule>
    <cfRule type="containsText" dxfId="1914" priority="5100" operator="containsText" text="기타">
      <formula>NOT(ISERROR(SEARCH(("기타"),(K188))))</formula>
    </cfRule>
    <cfRule type="containsText" dxfId="1913" priority="5099" operator="containsText" text="정규교과">
      <formula>NOT(ISERROR(SEARCH(("정규교과"),(K188))))</formula>
    </cfRule>
    <cfRule type="containsText" dxfId="1912" priority="5098" operator="containsText" text="프로젝트">
      <formula>NOT(ISERROR(SEARCH(("프로젝트"),(K188))))</formula>
    </cfRule>
    <cfRule type="containsText" dxfId="1911" priority="5095" operator="containsText" text="프로젝트">
      <formula>NOT(ISERROR(SEARCH(("프로젝트"),(K188))))</formula>
    </cfRule>
    <cfRule type="containsText" dxfId="1910" priority="5094" operator="containsText" text="기타">
      <formula>NOT(ISERROR(SEARCH(("기타"),(K188))))</formula>
    </cfRule>
    <cfRule type="containsText" dxfId="1909" priority="5097" operator="containsText" text="기타">
      <formula>NOT(ISERROR(SEARCH(("기타"),(K188))))</formula>
    </cfRule>
    <cfRule type="containsText" dxfId="1908" priority="5103" operator="containsText" text="기타">
      <formula>NOT(ISERROR(SEARCH(("기타"),(K188))))</formula>
    </cfRule>
    <cfRule type="containsText" dxfId="1907" priority="5088" operator="containsText" text="휴강">
      <formula>NOT(ISERROR(SEARCH(("휴강"),(K188))))</formula>
    </cfRule>
    <cfRule type="containsText" dxfId="1906" priority="5102" operator="containsText" text="정규교과">
      <formula>NOT(ISERROR(SEARCH(("정규교과"),(K188))))</formula>
    </cfRule>
    <cfRule type="containsText" dxfId="1905" priority="5096" operator="containsText" text="정규교과">
      <formula>NOT(ISERROR(SEARCH(("정규교과"),(K188))))</formula>
    </cfRule>
    <cfRule type="containsText" dxfId="1904" priority="5089" operator="containsText" text="프로젝트">
      <formula>NOT(ISERROR(SEARCH(("프로젝트"),(K188))))</formula>
    </cfRule>
  </conditionalFormatting>
  <conditionalFormatting sqref="K193">
    <cfRule type="containsText" dxfId="1903" priority="5077" operator="containsText" text="정규교과">
      <formula>NOT(ISERROR(SEARCH(("정규교과"),(K193))))</formula>
    </cfRule>
    <cfRule type="containsText" dxfId="1902" priority="5087" operator="containsText" text="기타">
      <formula>NOT(ISERROR(SEARCH(("기타"),(K193))))</formula>
    </cfRule>
    <cfRule type="containsText" dxfId="1901" priority="5086" operator="containsText" text="정규교과">
      <formula>NOT(ISERROR(SEARCH(("정규교과"),(K193))))</formula>
    </cfRule>
    <cfRule type="containsText" dxfId="1900" priority="5085" operator="containsText" text="프로젝트">
      <formula>NOT(ISERROR(SEARCH(("프로젝트"),(K193))))</formula>
    </cfRule>
    <cfRule type="containsText" dxfId="1899" priority="5084" operator="containsText" text="기타">
      <formula>NOT(ISERROR(SEARCH(("기타"),(K193))))</formula>
    </cfRule>
    <cfRule type="containsText" dxfId="1898" priority="5083" operator="containsText" text="정규교과">
      <formula>NOT(ISERROR(SEARCH(("정규교과"),(K193))))</formula>
    </cfRule>
    <cfRule type="containsText" dxfId="1897" priority="5082" operator="containsText" text="프로젝트">
      <formula>NOT(ISERROR(SEARCH(("프로젝트"),(K193))))</formula>
    </cfRule>
    <cfRule type="containsText" dxfId="1896" priority="5081" operator="containsText" text="기타">
      <formula>NOT(ISERROR(SEARCH(("기타"),(K193))))</formula>
    </cfRule>
    <cfRule type="containsText" dxfId="1895" priority="5080" operator="containsText" text="정규교과">
      <formula>NOT(ISERROR(SEARCH(("정규교과"),(K193))))</formula>
    </cfRule>
    <cfRule type="containsText" dxfId="1894" priority="5079" operator="containsText" text="프로젝트">
      <formula>NOT(ISERROR(SEARCH(("프로젝트"),(K193))))</formula>
    </cfRule>
    <cfRule type="containsText" dxfId="1893" priority="5078" operator="containsText" text="기타">
      <formula>NOT(ISERROR(SEARCH(("기타"),(K193))))</formula>
    </cfRule>
    <cfRule type="containsText" dxfId="1892" priority="5076" operator="containsText" text="프로젝트">
      <formula>NOT(ISERROR(SEARCH(("프로젝트"),(K193))))</formula>
    </cfRule>
    <cfRule type="containsText" dxfId="1891" priority="5075" operator="containsText" text="기타">
      <formula>NOT(ISERROR(SEARCH(("기타"),(K193))))</formula>
    </cfRule>
    <cfRule type="containsText" dxfId="1890" priority="5074" operator="containsText" text="정규교과">
      <formula>NOT(ISERROR(SEARCH(("정규교과"),(K193))))</formula>
    </cfRule>
    <cfRule type="containsText" dxfId="1889" priority="5073" operator="containsText" text="프로젝트">
      <formula>NOT(ISERROR(SEARCH(("프로젝트"),(K193))))</formula>
    </cfRule>
    <cfRule type="containsText" dxfId="1888" priority="5072" operator="containsText" text="휴강">
      <formula>NOT(ISERROR(SEARCH(("휴강"),(K193))))</formula>
    </cfRule>
  </conditionalFormatting>
  <conditionalFormatting sqref="K197">
    <cfRule type="containsText" dxfId="1887" priority="5068" operator="containsText" text="기타">
      <formula>NOT(ISERROR(SEARCH(("기타"),(K197))))</formula>
    </cfRule>
    <cfRule type="containsText" dxfId="1886" priority="5067" operator="containsText" text="정규교과">
      <formula>NOT(ISERROR(SEARCH(("정규교과"),(K197))))</formula>
    </cfRule>
    <cfRule type="containsText" dxfId="1885" priority="5066" operator="containsText" text="프로젝트">
      <formula>NOT(ISERROR(SEARCH(("프로젝트"),(K197))))</formula>
    </cfRule>
    <cfRule type="containsText" dxfId="1884" priority="5065" operator="containsText" text="기타">
      <formula>NOT(ISERROR(SEARCH(("기타"),(K197))))</formula>
    </cfRule>
    <cfRule type="containsText" dxfId="1883" priority="5064" operator="containsText" text="정규교과">
      <formula>NOT(ISERROR(SEARCH(("정규교과"),(K197))))</formula>
    </cfRule>
    <cfRule type="containsText" dxfId="1882" priority="5063" operator="containsText" text="프로젝트">
      <formula>NOT(ISERROR(SEARCH(("프로젝트"),(K197))))</formula>
    </cfRule>
    <cfRule type="containsText" dxfId="1881" priority="5062" operator="containsText" text="기타">
      <formula>NOT(ISERROR(SEARCH(("기타"),(K197))))</formula>
    </cfRule>
    <cfRule type="containsText" dxfId="1880" priority="5061" operator="containsText" text="정규교과">
      <formula>NOT(ISERROR(SEARCH(("정규교과"),(K197))))</formula>
    </cfRule>
    <cfRule type="containsText" dxfId="1879" priority="5060" operator="containsText" text="프로젝트">
      <formula>NOT(ISERROR(SEARCH(("프로젝트"),(K197))))</formula>
    </cfRule>
    <cfRule type="containsText" dxfId="1878" priority="5059" operator="containsText" text="기타">
      <formula>NOT(ISERROR(SEARCH(("기타"),(K197))))</formula>
    </cfRule>
    <cfRule type="containsText" dxfId="1877" priority="5058" operator="containsText" text="정규교과">
      <formula>NOT(ISERROR(SEARCH(("정규교과"),(K197))))</formula>
    </cfRule>
    <cfRule type="containsText" dxfId="1876" priority="5057" operator="containsText" text="프로젝트">
      <formula>NOT(ISERROR(SEARCH(("프로젝트"),(K197))))</formula>
    </cfRule>
    <cfRule type="containsText" dxfId="1875" priority="5056" operator="containsText" text="휴강">
      <formula>NOT(ISERROR(SEARCH(("휴강"),(K197))))</formula>
    </cfRule>
    <cfRule type="containsText" dxfId="1874" priority="5069" operator="containsText" text="프로젝트">
      <formula>NOT(ISERROR(SEARCH(("프로젝트"),(K197))))</formula>
    </cfRule>
    <cfRule type="containsText" dxfId="1873" priority="5071" operator="containsText" text="기타">
      <formula>NOT(ISERROR(SEARCH(("기타"),(K197))))</formula>
    </cfRule>
    <cfRule type="containsText" dxfId="1872" priority="5070" operator="containsText" text="정규교과">
      <formula>NOT(ISERROR(SEARCH(("정규교과"),(K197))))</formula>
    </cfRule>
  </conditionalFormatting>
  <conditionalFormatting sqref="K201">
    <cfRule type="containsText" dxfId="1871" priority="5055" operator="containsText" text="기타">
      <formula>NOT(ISERROR(SEARCH(("기타"),(K201))))</formula>
    </cfRule>
    <cfRule type="containsText" dxfId="1870" priority="5054" operator="containsText" text="정규교과">
      <formula>NOT(ISERROR(SEARCH(("정규교과"),(K201))))</formula>
    </cfRule>
    <cfRule type="containsText" dxfId="1869" priority="5053" operator="containsText" text="프로젝트">
      <formula>NOT(ISERROR(SEARCH(("프로젝트"),(K201))))</formula>
    </cfRule>
    <cfRule type="containsText" dxfId="1868" priority="5050" operator="containsText" text="프로젝트">
      <formula>NOT(ISERROR(SEARCH(("프로젝트"),(K201))))</formula>
    </cfRule>
    <cfRule type="containsText" dxfId="1867" priority="5040" operator="containsText" text="휴강">
      <formula>NOT(ISERROR(SEARCH(("휴강"),(K201))))</formula>
    </cfRule>
    <cfRule type="containsText" dxfId="1866" priority="5041" operator="containsText" text="프로젝트">
      <formula>NOT(ISERROR(SEARCH(("프로젝트"),(K201))))</formula>
    </cfRule>
    <cfRule type="containsText" dxfId="1865" priority="5042" operator="containsText" text="정규교과">
      <formula>NOT(ISERROR(SEARCH(("정규교과"),(K201))))</formula>
    </cfRule>
    <cfRule type="containsText" dxfId="1864" priority="5052" operator="containsText" text="기타">
      <formula>NOT(ISERROR(SEARCH(("기타"),(K201))))</formula>
    </cfRule>
    <cfRule type="containsText" dxfId="1863" priority="5043" operator="containsText" text="기타">
      <formula>NOT(ISERROR(SEARCH(("기타"),(K201))))</formula>
    </cfRule>
    <cfRule type="containsText" dxfId="1862" priority="5044" operator="containsText" text="프로젝트">
      <formula>NOT(ISERROR(SEARCH(("프로젝트"),(K201))))</formula>
    </cfRule>
    <cfRule type="containsText" dxfId="1861" priority="5045" operator="containsText" text="정규교과">
      <formula>NOT(ISERROR(SEARCH(("정규교과"),(K201))))</formula>
    </cfRule>
    <cfRule type="containsText" dxfId="1860" priority="5046" operator="containsText" text="기타">
      <formula>NOT(ISERROR(SEARCH(("기타"),(K201))))</formula>
    </cfRule>
    <cfRule type="containsText" dxfId="1859" priority="5047" operator="containsText" text="프로젝트">
      <formula>NOT(ISERROR(SEARCH(("프로젝트"),(K201))))</formula>
    </cfRule>
    <cfRule type="containsText" dxfId="1858" priority="5048" operator="containsText" text="정규교과">
      <formula>NOT(ISERROR(SEARCH(("정규교과"),(K201))))</formula>
    </cfRule>
    <cfRule type="containsText" dxfId="1857" priority="5049" operator="containsText" text="기타">
      <formula>NOT(ISERROR(SEARCH(("기타"),(K201))))</formula>
    </cfRule>
    <cfRule type="containsText" dxfId="1856" priority="5051" operator="containsText" text="정규교과">
      <formula>NOT(ISERROR(SEARCH(("정규교과"),(K201))))</formula>
    </cfRule>
  </conditionalFormatting>
  <conditionalFormatting sqref="K205">
    <cfRule type="containsText" dxfId="1855" priority="5024" operator="containsText" text="휴강">
      <formula>NOT(ISERROR(SEARCH(("휴강"),(K205))))</formula>
    </cfRule>
    <cfRule type="containsText" dxfId="1854" priority="5025" operator="containsText" text="프로젝트">
      <formula>NOT(ISERROR(SEARCH(("프로젝트"),(K205))))</formula>
    </cfRule>
    <cfRule type="containsText" dxfId="1853" priority="5026" operator="containsText" text="정규교과">
      <formula>NOT(ISERROR(SEARCH(("정규교과"),(K205))))</formula>
    </cfRule>
    <cfRule type="containsText" dxfId="1852" priority="5031" operator="containsText" text="프로젝트">
      <formula>NOT(ISERROR(SEARCH(("프로젝트"),(K205))))</formula>
    </cfRule>
    <cfRule type="containsText" dxfId="1851" priority="5032" operator="containsText" text="정규교과">
      <formula>NOT(ISERROR(SEARCH(("정규교과"),(K205))))</formula>
    </cfRule>
    <cfRule type="containsText" dxfId="1850" priority="5033" operator="containsText" text="기타">
      <formula>NOT(ISERROR(SEARCH(("기타"),(K205))))</formula>
    </cfRule>
    <cfRule type="containsText" dxfId="1849" priority="5034" operator="containsText" text="프로젝트">
      <formula>NOT(ISERROR(SEARCH(("프로젝트"),(K205))))</formula>
    </cfRule>
    <cfRule type="containsText" dxfId="1848" priority="5035" operator="containsText" text="정규교과">
      <formula>NOT(ISERROR(SEARCH(("정규교과"),(K205))))</formula>
    </cfRule>
    <cfRule type="containsText" dxfId="1847" priority="5028" operator="containsText" text="프로젝트">
      <formula>NOT(ISERROR(SEARCH(("프로젝트"),(K205))))</formula>
    </cfRule>
    <cfRule type="containsText" dxfId="1846" priority="5036" operator="containsText" text="기타">
      <formula>NOT(ISERROR(SEARCH(("기타"),(K205))))</formula>
    </cfRule>
    <cfRule type="containsText" dxfId="1845" priority="5037" operator="containsText" text="프로젝트">
      <formula>NOT(ISERROR(SEARCH(("프로젝트"),(K205))))</formula>
    </cfRule>
    <cfRule type="containsText" dxfId="1844" priority="5038" operator="containsText" text="정규교과">
      <formula>NOT(ISERROR(SEARCH(("정규교과"),(K205))))</formula>
    </cfRule>
    <cfRule type="containsText" dxfId="1843" priority="5039" operator="containsText" text="기타">
      <formula>NOT(ISERROR(SEARCH(("기타"),(K205))))</formula>
    </cfRule>
    <cfRule type="containsText" dxfId="1842" priority="5029" operator="containsText" text="정규교과">
      <formula>NOT(ISERROR(SEARCH(("정규교과"),(K205))))</formula>
    </cfRule>
    <cfRule type="containsText" dxfId="1841" priority="5030" operator="containsText" text="기타">
      <formula>NOT(ISERROR(SEARCH(("기타"),(K205))))</formula>
    </cfRule>
    <cfRule type="containsText" dxfId="1840" priority="5027" operator="containsText" text="기타">
      <formula>NOT(ISERROR(SEARCH(("기타"),(K205))))</formula>
    </cfRule>
  </conditionalFormatting>
  <conditionalFormatting sqref="K209">
    <cfRule type="containsText" dxfId="1839" priority="5010" operator="containsText" text="정규교과">
      <formula>NOT(ISERROR(SEARCH(("정규교과"),(K209))))</formula>
    </cfRule>
    <cfRule type="containsText" dxfId="1838" priority="5011" operator="containsText" text="기타">
      <formula>NOT(ISERROR(SEARCH(("기타"),(K209))))</formula>
    </cfRule>
    <cfRule type="containsText" dxfId="1837" priority="5012" operator="containsText" text="프로젝트">
      <formula>NOT(ISERROR(SEARCH(("프로젝트"),(K209))))</formula>
    </cfRule>
    <cfRule type="containsText" dxfId="1836" priority="5013" operator="containsText" text="정규교과">
      <formula>NOT(ISERROR(SEARCH(("정규교과"),(K209))))</formula>
    </cfRule>
    <cfRule type="containsText" dxfId="1835" priority="5015" operator="containsText" text="프로젝트">
      <formula>NOT(ISERROR(SEARCH(("프로젝트"),(K209))))</formula>
    </cfRule>
    <cfRule type="containsText" dxfId="1834" priority="5016" operator="containsText" text="정규교과">
      <formula>NOT(ISERROR(SEARCH(("정규교과"),(K209))))</formula>
    </cfRule>
    <cfRule type="containsText" dxfId="1833" priority="5018" operator="containsText" text="프로젝트">
      <formula>NOT(ISERROR(SEARCH(("프로젝트"),(K209))))</formula>
    </cfRule>
    <cfRule type="containsText" dxfId="1832" priority="5019" operator="containsText" text="정규교과">
      <formula>NOT(ISERROR(SEARCH(("정규교과"),(K209))))</formula>
    </cfRule>
    <cfRule type="containsText" dxfId="1831" priority="5022" operator="containsText" text="정규교과">
      <formula>NOT(ISERROR(SEARCH(("정규교과"),(K209))))</formula>
    </cfRule>
    <cfRule type="containsText" dxfId="1830" priority="5023" operator="containsText" text="기타">
      <formula>NOT(ISERROR(SEARCH(("기타"),(K209))))</formula>
    </cfRule>
    <cfRule type="containsText" dxfId="1829" priority="5020" operator="containsText" text="기타">
      <formula>NOT(ISERROR(SEARCH(("기타"),(K209))))</formula>
    </cfRule>
    <cfRule type="containsText" dxfId="1828" priority="5021" operator="containsText" text="프로젝트">
      <formula>NOT(ISERROR(SEARCH(("프로젝트"),(K209))))</formula>
    </cfRule>
    <cfRule type="containsText" dxfId="1827" priority="5008" operator="containsText" text="휴강">
      <formula>NOT(ISERROR(SEARCH(("휴강"),(K209))))</formula>
    </cfRule>
    <cfRule type="containsText" dxfId="1826" priority="5017" operator="containsText" text="기타">
      <formula>NOT(ISERROR(SEARCH(("기타"),(K209))))</formula>
    </cfRule>
    <cfRule type="containsText" dxfId="1825" priority="5009" operator="containsText" text="프로젝트">
      <formula>NOT(ISERROR(SEARCH(("프로젝트"),(K209))))</formula>
    </cfRule>
    <cfRule type="containsText" dxfId="1824" priority="5014" operator="containsText" text="기타">
      <formula>NOT(ISERROR(SEARCH(("기타"),(K209))))</formula>
    </cfRule>
  </conditionalFormatting>
  <conditionalFormatting sqref="K250">
    <cfRule type="containsText" dxfId="1823" priority="3006" operator="containsText" text="기타">
      <formula>NOT(ISERROR(SEARCH(("기타"),(K250))))</formula>
    </cfRule>
    <cfRule type="containsText" dxfId="1822" priority="3007" operator="containsText" text="프로젝트">
      <formula>NOT(ISERROR(SEARCH(("프로젝트"),(K250))))</formula>
    </cfRule>
    <cfRule type="containsText" dxfId="1821" priority="3008" operator="containsText" text="정규교과">
      <formula>NOT(ISERROR(SEARCH(("정규교과"),(K250))))</formula>
    </cfRule>
    <cfRule type="containsText" dxfId="1820" priority="3009" operator="containsText" text="기타">
      <formula>NOT(ISERROR(SEARCH(("기타"),(K250))))</formula>
    </cfRule>
    <cfRule type="containsText" dxfId="1819" priority="3000" operator="containsText" text="기타">
      <formula>NOT(ISERROR(SEARCH(("기타"),(K250))))</formula>
    </cfRule>
    <cfRule type="containsText" dxfId="1818" priority="2998" operator="containsText" text="프로젝트">
      <formula>NOT(ISERROR(SEARCH(("프로젝트"),(K250))))</formula>
    </cfRule>
    <cfRule type="containsText" dxfId="1817" priority="2999" operator="containsText" text="정규교과">
      <formula>NOT(ISERROR(SEARCH(("정규교과"),(K250))))</formula>
    </cfRule>
    <cfRule type="containsText" dxfId="1816" priority="3001" operator="containsText" text="프로젝트">
      <formula>NOT(ISERROR(SEARCH(("프로젝트"),(K250))))</formula>
    </cfRule>
    <cfRule type="containsText" dxfId="1815" priority="3002" operator="containsText" text="정규교과">
      <formula>NOT(ISERROR(SEARCH(("정규교과"),(K250))))</formula>
    </cfRule>
    <cfRule type="containsText" dxfId="1814" priority="3003" operator="containsText" text="기타">
      <formula>NOT(ISERROR(SEARCH(("기타"),(K250))))</formula>
    </cfRule>
    <cfRule type="containsText" dxfId="1813" priority="3004" operator="containsText" text="프로젝트">
      <formula>NOT(ISERROR(SEARCH(("프로젝트"),(K250))))</formula>
    </cfRule>
    <cfRule type="containsText" dxfId="1812" priority="3005" operator="containsText" text="정규교과">
      <formula>NOT(ISERROR(SEARCH(("정규교과"),(K250))))</formula>
    </cfRule>
  </conditionalFormatting>
  <conditionalFormatting sqref="K254">
    <cfRule type="containsText" dxfId="1811" priority="2963" operator="containsText" text="기타">
      <formula>NOT(ISERROR(SEARCH(("기타"),(K254))))</formula>
    </cfRule>
    <cfRule type="containsText" dxfId="1810" priority="2968" operator="containsText" text="정규교과">
      <formula>NOT(ISERROR(SEARCH(("정규교과"),(K254))))</formula>
    </cfRule>
    <cfRule type="containsText" dxfId="1809" priority="2969" operator="containsText" text="기타">
      <formula>NOT(ISERROR(SEARCH(("기타"),(K254))))</formula>
    </cfRule>
    <cfRule type="containsText" dxfId="1808" priority="2971" operator="containsText" text="정규교과">
      <formula>NOT(ISERROR(SEARCH(("정규교과"),(K254))))</formula>
    </cfRule>
    <cfRule type="containsText" dxfId="1807" priority="2972" operator="containsText" text="기타">
      <formula>NOT(ISERROR(SEARCH(("기타"),(K254))))</formula>
    </cfRule>
    <cfRule type="containsText" dxfId="1806" priority="2964" operator="containsText" text="프로젝트">
      <formula>NOT(ISERROR(SEARCH(("프로젝트"),(K254))))</formula>
    </cfRule>
    <cfRule type="containsText" dxfId="1805" priority="2965" operator="containsText" text="정규교과">
      <formula>NOT(ISERROR(SEARCH(("정규교과"),(K254))))</formula>
    </cfRule>
    <cfRule type="containsText" dxfId="1804" priority="2966" operator="containsText" text="기타">
      <formula>NOT(ISERROR(SEARCH(("기타"),(K254))))</formula>
    </cfRule>
    <cfRule type="containsText" dxfId="1803" priority="2967" operator="containsText" text="프로젝트">
      <formula>NOT(ISERROR(SEARCH(("프로젝트"),(K254))))</formula>
    </cfRule>
    <cfRule type="containsText" dxfId="1802" priority="2970" operator="containsText" text="프로젝트">
      <formula>NOT(ISERROR(SEARCH(("프로젝트"),(K254))))</formula>
    </cfRule>
    <cfRule type="containsText" dxfId="1801" priority="2962" operator="containsText" text="정규교과">
      <formula>NOT(ISERROR(SEARCH(("정규교과"),(K254))))</formula>
    </cfRule>
    <cfRule type="containsText" dxfId="1800" priority="2961" operator="containsText" text="프로젝트">
      <formula>NOT(ISERROR(SEARCH(("프로젝트"),(K254))))</formula>
    </cfRule>
  </conditionalFormatting>
  <conditionalFormatting sqref="K258">
    <cfRule type="containsText" dxfId="1799" priority="2928" operator="containsText" text="정규교과">
      <formula>NOT(ISERROR(SEARCH(("정규교과"),(K258))))</formula>
    </cfRule>
    <cfRule type="containsText" dxfId="1798" priority="2933" operator="containsText" text="프로젝트">
      <formula>NOT(ISERROR(SEARCH(("프로젝트"),(K258))))</formula>
    </cfRule>
    <cfRule type="containsText" dxfId="1797" priority="2934" operator="containsText" text="정규교과">
      <formula>NOT(ISERROR(SEARCH(("정규교과"),(K258))))</formula>
    </cfRule>
    <cfRule type="containsText" dxfId="1796" priority="2932" operator="containsText" text="기타">
      <formula>NOT(ISERROR(SEARCH(("기타"),(K258))))</formula>
    </cfRule>
    <cfRule type="containsText" dxfId="1795" priority="2931" operator="containsText" text="정규교과">
      <formula>NOT(ISERROR(SEARCH(("정규교과"),(K258))))</formula>
    </cfRule>
    <cfRule type="containsText" dxfId="1794" priority="2930" operator="containsText" text="프로젝트">
      <formula>NOT(ISERROR(SEARCH(("프로젝트"),(K258))))</formula>
    </cfRule>
    <cfRule type="containsText" dxfId="1793" priority="2929" operator="containsText" text="기타">
      <formula>NOT(ISERROR(SEARCH(("기타"),(K258))))</formula>
    </cfRule>
    <cfRule type="containsText" dxfId="1792" priority="2927" operator="containsText" text="프로젝트">
      <formula>NOT(ISERROR(SEARCH(("프로젝트"),(K258))))</formula>
    </cfRule>
    <cfRule type="containsText" dxfId="1791" priority="2926" operator="containsText" text="기타">
      <formula>NOT(ISERROR(SEARCH(("기타"),(K258))))</formula>
    </cfRule>
    <cfRule type="containsText" dxfId="1790" priority="2935" operator="containsText" text="기타">
      <formula>NOT(ISERROR(SEARCH(("기타"),(K258))))</formula>
    </cfRule>
    <cfRule type="containsText" dxfId="1789" priority="2924" operator="containsText" text="프로젝트">
      <formula>NOT(ISERROR(SEARCH(("프로젝트"),(K258))))</formula>
    </cfRule>
    <cfRule type="containsText" dxfId="1788" priority="2925" operator="containsText" text="정규교과">
      <formula>NOT(ISERROR(SEARCH(("정규교과"),(K258))))</formula>
    </cfRule>
  </conditionalFormatting>
  <conditionalFormatting sqref="K263">
    <cfRule type="containsText" dxfId="1787" priority="2890" operator="containsText" text="프로젝트">
      <formula>NOT(ISERROR(SEARCH(("프로젝트"),(K263))))</formula>
    </cfRule>
    <cfRule type="containsText" dxfId="1786" priority="2892" operator="containsText" text="기타">
      <formula>NOT(ISERROR(SEARCH(("기타"),(K263))))</formula>
    </cfRule>
    <cfRule type="containsText" dxfId="1785" priority="2887" operator="containsText" text="프로젝트">
      <formula>NOT(ISERROR(SEARCH(("프로젝트"),(K263))))</formula>
    </cfRule>
    <cfRule type="containsText" dxfId="1784" priority="2888" operator="containsText" text="정규교과">
      <formula>NOT(ISERROR(SEARCH(("정규교과"),(K263))))</formula>
    </cfRule>
    <cfRule type="containsText" dxfId="1783" priority="2889" operator="containsText" text="기타">
      <formula>NOT(ISERROR(SEARCH(("기타"),(K263))))</formula>
    </cfRule>
    <cfRule type="containsText" dxfId="1782" priority="2894" operator="containsText" text="정규교과">
      <formula>NOT(ISERROR(SEARCH(("정규교과"),(K263))))</formula>
    </cfRule>
    <cfRule type="containsText" dxfId="1781" priority="2896" operator="containsText" text="프로젝트">
      <formula>NOT(ISERROR(SEARCH(("프로젝트"),(K263))))</formula>
    </cfRule>
    <cfRule type="containsText" dxfId="1780" priority="2897" operator="containsText" text="정규교과">
      <formula>NOT(ISERROR(SEARCH(("정규교과"),(K263))))</formula>
    </cfRule>
    <cfRule type="containsText" dxfId="1779" priority="2898" operator="containsText" text="기타">
      <formula>NOT(ISERROR(SEARCH(("기타"),(K263))))</formula>
    </cfRule>
    <cfRule type="containsText" dxfId="1778" priority="2891" operator="containsText" text="정규교과">
      <formula>NOT(ISERROR(SEARCH(("정규교과"),(K263))))</formula>
    </cfRule>
    <cfRule type="containsText" dxfId="1777" priority="2893" operator="containsText" text="프로젝트">
      <formula>NOT(ISERROR(SEARCH(("프로젝트"),(K263))))</formula>
    </cfRule>
    <cfRule type="containsText" dxfId="1776" priority="2895" operator="containsText" text="기타">
      <formula>NOT(ISERROR(SEARCH(("기타"),(K263))))</formula>
    </cfRule>
  </conditionalFormatting>
  <conditionalFormatting sqref="K267">
    <cfRule type="containsText" dxfId="1775" priority="2852" operator="containsText" text="기타">
      <formula>NOT(ISERROR(SEARCH(("기타"),(K267))))</formula>
    </cfRule>
    <cfRule type="containsText" dxfId="1774" priority="2851" operator="containsText" text="정규교과">
      <formula>NOT(ISERROR(SEARCH(("정규교과"),(K267))))</formula>
    </cfRule>
    <cfRule type="containsText" dxfId="1773" priority="2857" operator="containsText" text="정규교과">
      <formula>NOT(ISERROR(SEARCH(("정규교과"),(K267))))</formula>
    </cfRule>
    <cfRule type="containsText" dxfId="1772" priority="2854" operator="containsText" text="정규교과">
      <formula>NOT(ISERROR(SEARCH(("정규교과"),(K267))))</formula>
    </cfRule>
    <cfRule type="containsText" dxfId="1771" priority="2860" operator="containsText" text="정규교과">
      <formula>NOT(ISERROR(SEARCH(("정규교과"),(K267))))</formula>
    </cfRule>
    <cfRule type="containsText" dxfId="1770" priority="2853" operator="containsText" text="프로젝트">
      <formula>NOT(ISERROR(SEARCH(("프로젝트"),(K267))))</formula>
    </cfRule>
    <cfRule type="containsText" dxfId="1769" priority="2859" operator="containsText" text="프로젝트">
      <formula>NOT(ISERROR(SEARCH(("프로젝트"),(K267))))</formula>
    </cfRule>
    <cfRule type="containsText" dxfId="1768" priority="2858" operator="containsText" text="기타">
      <formula>NOT(ISERROR(SEARCH(("기타"),(K267))))</formula>
    </cfRule>
    <cfRule type="containsText" dxfId="1767" priority="2855" operator="containsText" text="기타">
      <formula>NOT(ISERROR(SEARCH(("기타"),(K267))))</formula>
    </cfRule>
    <cfRule type="containsText" dxfId="1766" priority="2856" operator="containsText" text="프로젝트">
      <formula>NOT(ISERROR(SEARCH(("프로젝트"),(K267))))</formula>
    </cfRule>
    <cfRule type="containsText" dxfId="1765" priority="2850" operator="containsText" text="프로젝트">
      <formula>NOT(ISERROR(SEARCH(("프로젝트"),(K267))))</formula>
    </cfRule>
    <cfRule type="containsText" dxfId="1764" priority="2861" operator="containsText" text="기타">
      <formula>NOT(ISERROR(SEARCH(("기타"),(K267))))</formula>
    </cfRule>
  </conditionalFormatting>
  <conditionalFormatting sqref="K271">
    <cfRule type="containsText" dxfId="1763" priority="2820" operator="containsText" text="정규교과">
      <formula>NOT(ISERROR(SEARCH(("정규교과"),(K271))))</formula>
    </cfRule>
    <cfRule type="containsText" dxfId="1762" priority="2819" operator="containsText" text="프로젝트">
      <formula>NOT(ISERROR(SEARCH(("프로젝트"),(K271))))</formula>
    </cfRule>
    <cfRule type="containsText" dxfId="1761" priority="2818" operator="containsText" text="기타">
      <formula>NOT(ISERROR(SEARCH(("기타"),(K271))))</formula>
    </cfRule>
    <cfRule type="containsText" dxfId="1760" priority="2817" operator="containsText" text="정규교과">
      <formula>NOT(ISERROR(SEARCH(("정규교과"),(K271))))</formula>
    </cfRule>
    <cfRule type="containsText" dxfId="1759" priority="2816" operator="containsText" text="프로젝트">
      <formula>NOT(ISERROR(SEARCH(("프로젝트"),(K271))))</formula>
    </cfRule>
    <cfRule type="containsText" dxfId="1758" priority="2815" operator="containsText" text="기타">
      <formula>NOT(ISERROR(SEARCH(("기타"),(K271))))</formula>
    </cfRule>
    <cfRule type="containsText" dxfId="1757" priority="2813" operator="containsText" text="프로젝트">
      <formula>NOT(ISERROR(SEARCH(("프로젝트"),(K271))))</formula>
    </cfRule>
    <cfRule type="containsText" dxfId="1756" priority="2814" operator="containsText" text="정규교과">
      <formula>NOT(ISERROR(SEARCH(("정규교과"),(K271))))</formula>
    </cfRule>
    <cfRule type="containsText" dxfId="1755" priority="2824" operator="containsText" text="기타">
      <formula>NOT(ISERROR(SEARCH(("기타"),(K271))))</formula>
    </cfRule>
    <cfRule type="containsText" dxfId="1754" priority="2823" operator="containsText" text="정규교과">
      <formula>NOT(ISERROR(SEARCH(("정규교과"),(K271))))</formula>
    </cfRule>
    <cfRule type="containsText" dxfId="1753" priority="2822" operator="containsText" text="프로젝트">
      <formula>NOT(ISERROR(SEARCH(("프로젝트"),(K271))))</formula>
    </cfRule>
    <cfRule type="containsText" dxfId="1752" priority="2821" operator="containsText" text="기타">
      <formula>NOT(ISERROR(SEARCH(("기타"),(K271))))</formula>
    </cfRule>
  </conditionalFormatting>
  <conditionalFormatting sqref="K275">
    <cfRule type="containsText" dxfId="1751" priority="2779" operator="containsText" text="프로젝트">
      <formula>NOT(ISERROR(SEARCH(("프로젝트"),(K275))))</formula>
    </cfRule>
    <cfRule type="containsText" dxfId="1750" priority="2783" operator="containsText" text="정규교과">
      <formula>NOT(ISERROR(SEARCH(("정규교과"),(K275))))</formula>
    </cfRule>
    <cfRule type="containsText" dxfId="1749" priority="2781" operator="containsText" text="기타">
      <formula>NOT(ISERROR(SEARCH(("기타"),(K275))))</formula>
    </cfRule>
    <cfRule type="containsText" dxfId="1748" priority="2784" operator="containsText" text="기타">
      <formula>NOT(ISERROR(SEARCH(("기타"),(K275))))</formula>
    </cfRule>
    <cfRule type="containsText" dxfId="1747" priority="2787" operator="containsText" text="기타">
      <formula>NOT(ISERROR(SEARCH(("기타"),(K275))))</formula>
    </cfRule>
    <cfRule type="containsText" dxfId="1746" priority="2785" operator="containsText" text="프로젝트">
      <formula>NOT(ISERROR(SEARCH(("프로젝트"),(K275))))</formula>
    </cfRule>
    <cfRule type="containsText" dxfId="1745" priority="2786" operator="containsText" text="정규교과">
      <formula>NOT(ISERROR(SEARCH(("정규교과"),(K275))))</formula>
    </cfRule>
    <cfRule type="containsText" dxfId="1744" priority="2776" operator="containsText" text="프로젝트">
      <formula>NOT(ISERROR(SEARCH(("프로젝트"),(K275))))</formula>
    </cfRule>
    <cfRule type="containsText" dxfId="1743" priority="2777" operator="containsText" text="정규교과">
      <formula>NOT(ISERROR(SEARCH(("정규교과"),(K275))))</formula>
    </cfRule>
    <cfRule type="containsText" dxfId="1742" priority="2778" operator="containsText" text="기타">
      <formula>NOT(ISERROR(SEARCH(("기타"),(K275))))</formula>
    </cfRule>
    <cfRule type="containsText" dxfId="1741" priority="2782" operator="containsText" text="프로젝트">
      <formula>NOT(ISERROR(SEARCH(("프로젝트"),(K275))))</formula>
    </cfRule>
    <cfRule type="containsText" dxfId="1740" priority="2780" operator="containsText" text="정규교과">
      <formula>NOT(ISERROR(SEARCH(("정규교과"),(K275))))</formula>
    </cfRule>
  </conditionalFormatting>
  <conditionalFormatting sqref="K279">
    <cfRule type="containsText" dxfId="1739" priority="2747" operator="containsText" text="기타">
      <formula>NOT(ISERROR(SEARCH(("기타"),(K279))))</formula>
    </cfRule>
    <cfRule type="containsText" dxfId="1738" priority="2750" operator="containsText" text="기타">
      <formula>NOT(ISERROR(SEARCH(("기타"),(K279))))</formula>
    </cfRule>
    <cfRule type="containsText" dxfId="1737" priority="2749" operator="containsText" text="정규교과">
      <formula>NOT(ISERROR(SEARCH(("정규교과"),(K279))))</formula>
    </cfRule>
    <cfRule type="containsText" dxfId="1736" priority="2746" operator="containsText" text="정규교과">
      <formula>NOT(ISERROR(SEARCH(("정규교과"),(K279))))</formula>
    </cfRule>
    <cfRule type="containsText" dxfId="1735" priority="2748" operator="containsText" text="프로젝트">
      <formula>NOT(ISERROR(SEARCH(("프로젝트"),(K279))))</formula>
    </cfRule>
    <cfRule type="containsText" dxfId="1734" priority="2745" operator="containsText" text="프로젝트">
      <formula>NOT(ISERROR(SEARCH(("프로젝트"),(K279))))</formula>
    </cfRule>
    <cfRule type="containsText" dxfId="1733" priority="2739" operator="containsText" text="프로젝트">
      <formula>NOT(ISERROR(SEARCH(("프로젝트"),(K279))))</formula>
    </cfRule>
    <cfRule type="containsText" dxfId="1732" priority="2744" operator="containsText" text="기타">
      <formula>NOT(ISERROR(SEARCH(("기타"),(K279))))</formula>
    </cfRule>
    <cfRule type="containsText" dxfId="1731" priority="2743" operator="containsText" text="정규교과">
      <formula>NOT(ISERROR(SEARCH(("정규교과"),(K279))))</formula>
    </cfRule>
    <cfRule type="containsText" dxfId="1730" priority="2740" operator="containsText" text="정규교과">
      <formula>NOT(ISERROR(SEARCH(("정규교과"),(K279))))</formula>
    </cfRule>
    <cfRule type="containsText" dxfId="1729" priority="2742" operator="containsText" text="프로젝트">
      <formula>NOT(ISERROR(SEARCH(("프로젝트"),(K279))))</formula>
    </cfRule>
    <cfRule type="containsText" dxfId="1728" priority="2741" operator="containsText" text="기타">
      <formula>NOT(ISERROR(SEARCH(("기타"),(K279))))</formula>
    </cfRule>
  </conditionalFormatting>
  <conditionalFormatting sqref="K320">
    <cfRule type="containsText" dxfId="1727" priority="2458" operator="containsText" text="정규교과">
      <formula>NOT(ISERROR(SEARCH(("정규교과"),(K320))))</formula>
    </cfRule>
    <cfRule type="containsText" dxfId="1726" priority="2459" operator="containsText" text="기타">
      <formula>NOT(ISERROR(SEARCH(("기타"),(K320))))</formula>
    </cfRule>
    <cfRule type="containsText" dxfId="1725" priority="2460" operator="containsText" text="프로젝트">
      <formula>NOT(ISERROR(SEARCH(("프로젝트"),(K320))))</formula>
    </cfRule>
    <cfRule type="containsText" dxfId="1724" priority="2461" operator="containsText" text="정규교과">
      <formula>NOT(ISERROR(SEARCH(("정규교과"),(K320))))</formula>
    </cfRule>
    <cfRule type="containsText" dxfId="1723" priority="2455" operator="containsText" text="정규교과">
      <formula>NOT(ISERROR(SEARCH(("정규교과"),(K320))))</formula>
    </cfRule>
    <cfRule type="containsText" dxfId="1722" priority="2452" operator="containsText" text="정규교과">
      <formula>NOT(ISERROR(SEARCH(("정규교과"),(K320))))</formula>
    </cfRule>
    <cfRule type="containsText" dxfId="1721" priority="2462" operator="containsText" text="기타">
      <formula>NOT(ISERROR(SEARCH(("기타"),(K320))))</formula>
    </cfRule>
    <cfRule type="containsText" dxfId="1720" priority="2457" operator="containsText" text="프로젝트">
      <formula>NOT(ISERROR(SEARCH(("프로젝트"),(K320))))</formula>
    </cfRule>
    <cfRule type="containsText" dxfId="1719" priority="2456" operator="containsText" text="기타">
      <formula>NOT(ISERROR(SEARCH(("기타"),(K320))))</formula>
    </cfRule>
    <cfRule type="containsText" dxfId="1718" priority="2454" operator="containsText" text="프로젝트">
      <formula>NOT(ISERROR(SEARCH(("프로젝트"),(K320))))</formula>
    </cfRule>
    <cfRule type="containsText" dxfId="1717" priority="2453" operator="containsText" text="기타">
      <formula>NOT(ISERROR(SEARCH(("기타"),(K320))))</formula>
    </cfRule>
    <cfRule type="containsText" dxfId="1716" priority="2451" operator="containsText" text="프로젝트">
      <formula>NOT(ISERROR(SEARCH(("프로젝트"),(K320))))</formula>
    </cfRule>
    <cfRule type="containsText" dxfId="1715" priority="2450" operator="containsText" text="기타">
      <formula>NOT(ISERROR(SEARCH(("기타"),(K320))))</formula>
    </cfRule>
    <cfRule type="containsText" dxfId="1714" priority="2449" operator="containsText" text="정규교과">
      <formula>NOT(ISERROR(SEARCH(("정규교과"),(K320))))</formula>
    </cfRule>
    <cfRule type="containsText" dxfId="1713" priority="2448" operator="containsText" text="프로젝트">
      <formula>NOT(ISERROR(SEARCH(("프로젝트"),(K320))))</formula>
    </cfRule>
    <cfRule type="containsText" dxfId="1712" priority="2447" operator="containsText" text="기타">
      <formula>NOT(ISERROR(SEARCH(("기타"),(K320))))</formula>
    </cfRule>
    <cfRule type="containsText" dxfId="1711" priority="2446" operator="containsText" text="정규교과">
      <formula>NOT(ISERROR(SEARCH(("정규교과"),(K320))))</formula>
    </cfRule>
    <cfRule type="containsText" dxfId="1710" priority="2445" operator="containsText" text="프로젝트">
      <formula>NOT(ISERROR(SEARCH(("프로젝트"),(K320))))</formula>
    </cfRule>
    <cfRule type="containsText" dxfId="1709" priority="2444" operator="containsText" text="기타">
      <formula>NOT(ISERROR(SEARCH(("기타"),(K320))))</formula>
    </cfRule>
    <cfRule type="containsText" dxfId="1708" priority="2443" operator="containsText" text="정규교과">
      <formula>NOT(ISERROR(SEARCH(("정규교과"),(K320))))</formula>
    </cfRule>
    <cfRule type="containsText" dxfId="1707" priority="2442" operator="containsText" text="프로젝트">
      <formula>NOT(ISERROR(SEARCH(("프로젝트"),(K320))))</formula>
    </cfRule>
  </conditionalFormatting>
  <conditionalFormatting sqref="K324">
    <cfRule type="containsText" dxfId="1706" priority="2298" operator="containsText" text="프로젝트">
      <formula>NOT(ISERROR(SEARCH(("프로젝트"),(K324))))</formula>
    </cfRule>
    <cfRule type="containsText" dxfId="1705" priority="2299" operator="containsText" text="정규교과">
      <formula>NOT(ISERROR(SEARCH(("정규교과"),(K324))))</formula>
    </cfRule>
    <cfRule type="containsText" dxfId="1704" priority="2300" operator="containsText" text="기타">
      <formula>NOT(ISERROR(SEARCH(("기타"),(K324))))</formula>
    </cfRule>
    <cfRule type="containsText" dxfId="1703" priority="2301" operator="containsText" text="프로젝트">
      <formula>NOT(ISERROR(SEARCH(("프로젝트"),(K324))))</formula>
    </cfRule>
    <cfRule type="containsText" dxfId="1702" priority="2295" operator="containsText" text="프로젝트">
      <formula>NOT(ISERROR(SEARCH(("프로젝트"),(K324))))</formula>
    </cfRule>
    <cfRule type="containsText" dxfId="1701" priority="2303" operator="containsText" text="기타">
      <formula>NOT(ISERROR(SEARCH(("기타"),(K324))))</formula>
    </cfRule>
    <cfRule type="containsText" dxfId="1700" priority="2296" operator="containsText" text="정규교과">
      <formula>NOT(ISERROR(SEARCH(("정규교과"),(K324))))</formula>
    </cfRule>
    <cfRule type="containsText" dxfId="1699" priority="2307" operator="containsText" text="프로젝트">
      <formula>NOT(ISERROR(SEARCH(("프로젝트"),(K324))))</formula>
    </cfRule>
    <cfRule type="containsText" dxfId="1698" priority="2302" operator="containsText" text="정규교과">
      <formula>NOT(ISERROR(SEARCH(("정규교과"),(K324))))</formula>
    </cfRule>
    <cfRule type="containsText" dxfId="1697" priority="2297" operator="containsText" text="기타">
      <formula>NOT(ISERROR(SEARCH(("기타"),(K324))))</formula>
    </cfRule>
    <cfRule type="containsText" dxfId="1696" priority="2308" operator="containsText" text="정규교과">
      <formula>NOT(ISERROR(SEARCH(("정규교과"),(K324))))</formula>
    </cfRule>
    <cfRule type="containsText" dxfId="1695" priority="2310" operator="containsText" text="프로젝트">
      <formula>NOT(ISERROR(SEARCH(("프로젝트"),(K324))))</formula>
    </cfRule>
    <cfRule type="containsText" dxfId="1694" priority="2315" operator="containsText" text="기타">
      <formula>NOT(ISERROR(SEARCH(("기타"),(K324))))</formula>
    </cfRule>
    <cfRule type="containsText" dxfId="1693" priority="2309" operator="containsText" text="기타">
      <formula>NOT(ISERROR(SEARCH(("기타"),(K324))))</formula>
    </cfRule>
    <cfRule type="containsText" dxfId="1692" priority="2314" operator="containsText" text="정규교과">
      <formula>NOT(ISERROR(SEARCH(("정규교과"),(K324))))</formula>
    </cfRule>
    <cfRule type="containsText" dxfId="1691" priority="2313" operator="containsText" text="프로젝트">
      <formula>NOT(ISERROR(SEARCH(("프로젝트"),(K324))))</formula>
    </cfRule>
    <cfRule type="containsText" dxfId="1690" priority="2312" operator="containsText" text="기타">
      <formula>NOT(ISERROR(SEARCH(("기타"),(K324))))</formula>
    </cfRule>
    <cfRule type="containsText" dxfId="1689" priority="2306" operator="containsText" text="기타">
      <formula>NOT(ISERROR(SEARCH(("기타"),(K324))))</formula>
    </cfRule>
    <cfRule type="containsText" dxfId="1688" priority="2305" operator="containsText" text="정규교과">
      <formula>NOT(ISERROR(SEARCH(("정규교과"),(K324))))</formula>
    </cfRule>
    <cfRule type="containsText" dxfId="1687" priority="2311" operator="containsText" text="정규교과">
      <formula>NOT(ISERROR(SEARCH(("정규교과"),(K324))))</formula>
    </cfRule>
    <cfRule type="containsText" dxfId="1686" priority="2304" operator="containsText" text="프로젝트">
      <formula>NOT(ISERROR(SEARCH(("프로젝트"),(K324))))</formula>
    </cfRule>
  </conditionalFormatting>
  <conditionalFormatting sqref="K328">
    <cfRule type="containsText" dxfId="1685" priority="2149" operator="containsText" text="정규교과">
      <formula>NOT(ISERROR(SEARCH(("정규교과"),(K328))))</formula>
    </cfRule>
    <cfRule type="containsText" dxfId="1684" priority="2148" operator="containsText" text="프로젝트">
      <formula>NOT(ISERROR(SEARCH(("프로젝트"),(K328))))</formula>
    </cfRule>
    <cfRule type="containsText" dxfId="1683" priority="2150" operator="containsText" text="기타">
      <formula>NOT(ISERROR(SEARCH(("기타"),(K328))))</formula>
    </cfRule>
    <cfRule type="containsText" dxfId="1682" priority="2162" operator="containsText" text="기타">
      <formula>NOT(ISERROR(SEARCH(("기타"),(K328))))</formula>
    </cfRule>
    <cfRule type="containsText" dxfId="1681" priority="2163" operator="containsText" text="프로젝트">
      <formula>NOT(ISERROR(SEARCH(("프로젝트"),(K328))))</formula>
    </cfRule>
    <cfRule type="containsText" dxfId="1680" priority="2164" operator="containsText" text="정규교과">
      <formula>NOT(ISERROR(SEARCH(("정규교과"),(K328))))</formula>
    </cfRule>
    <cfRule type="containsText" dxfId="1679" priority="2165" operator="containsText" text="기타">
      <formula>NOT(ISERROR(SEARCH(("기타"),(K328))))</formula>
    </cfRule>
    <cfRule type="containsText" dxfId="1678" priority="2166" operator="containsText" text="프로젝트">
      <formula>NOT(ISERROR(SEARCH(("프로젝트"),(K328))))</formula>
    </cfRule>
    <cfRule type="containsText" dxfId="1677" priority="2167" operator="containsText" text="정규교과">
      <formula>NOT(ISERROR(SEARCH(("정규교과"),(K328))))</formula>
    </cfRule>
    <cfRule type="containsText" dxfId="1676" priority="2168" operator="containsText" text="기타">
      <formula>NOT(ISERROR(SEARCH(("기타"),(K328))))</formula>
    </cfRule>
    <cfRule type="containsText" dxfId="1675" priority="2156" operator="containsText" text="기타">
      <formula>NOT(ISERROR(SEARCH(("기타"),(K328))))</formula>
    </cfRule>
    <cfRule type="containsText" dxfId="1674" priority="2157" operator="containsText" text="프로젝트">
      <formula>NOT(ISERROR(SEARCH(("프로젝트"),(K328))))</formula>
    </cfRule>
    <cfRule type="containsText" dxfId="1673" priority="2155" operator="containsText" text="정규교과">
      <formula>NOT(ISERROR(SEARCH(("정규교과"),(K328))))</formula>
    </cfRule>
    <cfRule type="containsText" dxfId="1672" priority="2154" operator="containsText" text="프로젝트">
      <formula>NOT(ISERROR(SEARCH(("프로젝트"),(K328))))</formula>
    </cfRule>
    <cfRule type="containsText" dxfId="1671" priority="2153" operator="containsText" text="기타">
      <formula>NOT(ISERROR(SEARCH(("기타"),(K328))))</formula>
    </cfRule>
    <cfRule type="containsText" dxfId="1670" priority="2152" operator="containsText" text="정규교과">
      <formula>NOT(ISERROR(SEARCH(("정규교과"),(K328))))</formula>
    </cfRule>
    <cfRule type="containsText" dxfId="1669" priority="2158" operator="containsText" text="정규교과">
      <formula>NOT(ISERROR(SEARCH(("정규교과"),(K328))))</formula>
    </cfRule>
    <cfRule type="containsText" dxfId="1668" priority="2159" operator="containsText" text="기타">
      <formula>NOT(ISERROR(SEARCH(("기타"),(K328))))</formula>
    </cfRule>
    <cfRule type="containsText" dxfId="1667" priority="2160" operator="containsText" text="프로젝트">
      <formula>NOT(ISERROR(SEARCH(("프로젝트"),(K328))))</formula>
    </cfRule>
    <cfRule type="containsText" dxfId="1666" priority="2161" operator="containsText" text="정규교과">
      <formula>NOT(ISERROR(SEARCH(("정규교과"),(K328))))</formula>
    </cfRule>
    <cfRule type="containsText" dxfId="1665" priority="2151" operator="containsText" text="프로젝트">
      <formula>NOT(ISERROR(SEARCH(("프로젝트"),(K328))))</formula>
    </cfRule>
  </conditionalFormatting>
  <conditionalFormatting sqref="K333">
    <cfRule type="containsText" dxfId="1664" priority="2014" operator="containsText" text="정규교과">
      <formula>NOT(ISERROR(SEARCH(("정규교과"),(K333))))</formula>
    </cfRule>
    <cfRule type="containsText" dxfId="1663" priority="2015" operator="containsText" text="기타">
      <formula>NOT(ISERROR(SEARCH(("기타"),(K333))))</formula>
    </cfRule>
    <cfRule type="containsText" dxfId="1662" priority="2016" operator="containsText" text="프로젝트">
      <formula>NOT(ISERROR(SEARCH(("프로젝트"),(K333))))</formula>
    </cfRule>
    <cfRule type="containsText" dxfId="1661" priority="2017" operator="containsText" text="정규교과">
      <formula>NOT(ISERROR(SEARCH(("정규교과"),(K333))))</formula>
    </cfRule>
    <cfRule type="containsText" dxfId="1660" priority="2018" operator="containsText" text="기타">
      <formula>NOT(ISERROR(SEARCH(("기타"),(K333))))</formula>
    </cfRule>
    <cfRule type="containsText" dxfId="1659" priority="2019" operator="containsText" text="프로젝트">
      <formula>NOT(ISERROR(SEARCH(("프로젝트"),(K333))))</formula>
    </cfRule>
    <cfRule type="containsText" dxfId="1658" priority="2021" operator="containsText" text="기타">
      <formula>NOT(ISERROR(SEARCH(("기타"),(K333))))</formula>
    </cfRule>
    <cfRule type="containsText" dxfId="1657" priority="2020" operator="containsText" text="정규교과">
      <formula>NOT(ISERROR(SEARCH(("정규교과"),(K333))))</formula>
    </cfRule>
    <cfRule type="containsText" dxfId="1656" priority="2003" operator="containsText" text="기타">
      <formula>NOT(ISERROR(SEARCH(("기타"),(K333))))</formula>
    </cfRule>
    <cfRule type="containsText" dxfId="1655" priority="2004" operator="containsText" text="프로젝트">
      <formula>NOT(ISERROR(SEARCH(("프로젝트"),(K333))))</formula>
    </cfRule>
    <cfRule type="containsText" dxfId="1654" priority="2005" operator="containsText" text="정규교과">
      <formula>NOT(ISERROR(SEARCH(("정규교과"),(K333))))</formula>
    </cfRule>
    <cfRule type="containsText" dxfId="1653" priority="2006" operator="containsText" text="기타">
      <formula>NOT(ISERROR(SEARCH(("기타"),(K333))))</formula>
    </cfRule>
    <cfRule type="containsText" dxfId="1652" priority="2007" operator="containsText" text="프로젝트">
      <formula>NOT(ISERROR(SEARCH(("프로젝트"),(K333))))</formula>
    </cfRule>
    <cfRule type="containsText" dxfId="1651" priority="2008" operator="containsText" text="정규교과">
      <formula>NOT(ISERROR(SEARCH(("정규교과"),(K333))))</formula>
    </cfRule>
    <cfRule type="containsText" dxfId="1650" priority="2009" operator="containsText" text="기타">
      <formula>NOT(ISERROR(SEARCH(("기타"),(K333))))</formula>
    </cfRule>
    <cfRule type="containsText" dxfId="1649" priority="2010" operator="containsText" text="프로젝트">
      <formula>NOT(ISERROR(SEARCH(("프로젝트"),(K333))))</formula>
    </cfRule>
    <cfRule type="containsText" dxfId="1648" priority="2011" operator="containsText" text="정규교과">
      <formula>NOT(ISERROR(SEARCH(("정규교과"),(K333))))</formula>
    </cfRule>
    <cfRule type="containsText" dxfId="1647" priority="2012" operator="containsText" text="기타">
      <formula>NOT(ISERROR(SEARCH(("기타"),(K333))))</formula>
    </cfRule>
    <cfRule type="containsText" dxfId="1646" priority="2013" operator="containsText" text="프로젝트">
      <formula>NOT(ISERROR(SEARCH(("프로젝트"),(K333))))</formula>
    </cfRule>
    <cfRule type="containsText" dxfId="1645" priority="2002" operator="containsText" text="정규교과">
      <formula>NOT(ISERROR(SEARCH(("정규교과"),(K333))))</formula>
    </cfRule>
    <cfRule type="containsText" dxfId="1644" priority="2001" operator="containsText" text="프로젝트">
      <formula>NOT(ISERROR(SEARCH(("프로젝트"),(K333))))</formula>
    </cfRule>
  </conditionalFormatting>
  <conditionalFormatting sqref="K337">
    <cfRule type="containsText" dxfId="1643" priority="1859" operator="containsText" text="기타">
      <formula>NOT(ISERROR(SEARCH(("기타"),(K337))))</formula>
    </cfRule>
    <cfRule type="containsText" dxfId="1642" priority="1873" operator="containsText" text="정규교과">
      <formula>NOT(ISERROR(SEARCH(("정규교과"),(K337))))</formula>
    </cfRule>
    <cfRule type="containsText" dxfId="1641" priority="1872" operator="containsText" text="프로젝트">
      <formula>NOT(ISERROR(SEARCH(("프로젝트"),(K337))))</formula>
    </cfRule>
    <cfRule type="containsText" dxfId="1640" priority="1871" operator="containsText" text="기타">
      <formula>NOT(ISERROR(SEARCH(("기타"),(K337))))</formula>
    </cfRule>
    <cfRule type="containsText" dxfId="1639" priority="1870" operator="containsText" text="정규교과">
      <formula>NOT(ISERROR(SEARCH(("정규교과"),(K337))))</formula>
    </cfRule>
    <cfRule type="containsText" dxfId="1638" priority="1869" operator="containsText" text="프로젝트">
      <formula>NOT(ISERROR(SEARCH(("프로젝트"),(K337))))</formula>
    </cfRule>
    <cfRule type="containsText" dxfId="1637" priority="1868" operator="containsText" text="기타">
      <formula>NOT(ISERROR(SEARCH(("기타"),(K337))))</formula>
    </cfRule>
    <cfRule type="containsText" dxfId="1636" priority="1867" operator="containsText" text="정규교과">
      <formula>NOT(ISERROR(SEARCH(("정규교과"),(K337))))</formula>
    </cfRule>
    <cfRule type="containsText" dxfId="1635" priority="1866" operator="containsText" text="프로젝트">
      <formula>NOT(ISERROR(SEARCH(("프로젝트"),(K337))))</formula>
    </cfRule>
    <cfRule type="containsText" dxfId="1634" priority="1865" operator="containsText" text="기타">
      <formula>NOT(ISERROR(SEARCH(("기타"),(K337))))</formula>
    </cfRule>
    <cfRule type="containsText" dxfId="1633" priority="1864" operator="containsText" text="정규교과">
      <formula>NOT(ISERROR(SEARCH(("정규교과"),(K337))))</formula>
    </cfRule>
    <cfRule type="containsText" dxfId="1632" priority="1863" operator="containsText" text="프로젝트">
      <formula>NOT(ISERROR(SEARCH(("프로젝트"),(K337))))</formula>
    </cfRule>
    <cfRule type="containsText" dxfId="1631" priority="1862" operator="containsText" text="기타">
      <formula>NOT(ISERROR(SEARCH(("기타"),(K337))))</formula>
    </cfRule>
    <cfRule type="containsText" dxfId="1630" priority="1861" operator="containsText" text="정규교과">
      <formula>NOT(ISERROR(SEARCH(("정규교과"),(K337))))</formula>
    </cfRule>
    <cfRule type="containsText" dxfId="1629" priority="1860" operator="containsText" text="프로젝트">
      <formula>NOT(ISERROR(SEARCH(("프로젝트"),(K337))))</formula>
    </cfRule>
    <cfRule type="containsText" dxfId="1628" priority="1858" operator="containsText" text="정규교과">
      <formula>NOT(ISERROR(SEARCH(("정규교과"),(K337))))</formula>
    </cfRule>
    <cfRule type="containsText" dxfId="1627" priority="1874" operator="containsText" text="기타">
      <formula>NOT(ISERROR(SEARCH(("기타"),(K337))))</formula>
    </cfRule>
    <cfRule type="containsText" dxfId="1626" priority="1857" operator="containsText" text="프로젝트">
      <formula>NOT(ISERROR(SEARCH(("프로젝트"),(K337))))</formula>
    </cfRule>
    <cfRule type="containsText" dxfId="1625" priority="1856" operator="containsText" text="기타">
      <formula>NOT(ISERROR(SEARCH(("기타"),(K337))))</formula>
    </cfRule>
    <cfRule type="containsText" dxfId="1624" priority="1855" operator="containsText" text="정규교과">
      <formula>NOT(ISERROR(SEARCH(("정규교과"),(K337))))</formula>
    </cfRule>
    <cfRule type="containsText" dxfId="1623" priority="1854" operator="containsText" text="프로젝트">
      <formula>NOT(ISERROR(SEARCH(("프로젝트"),(K337))))</formula>
    </cfRule>
  </conditionalFormatting>
  <conditionalFormatting sqref="K341">
    <cfRule type="containsText" dxfId="1622" priority="1716" operator="containsText" text="프로젝트">
      <formula>NOT(ISERROR(SEARCH(("프로젝트"),(K341))))</formula>
    </cfRule>
    <cfRule type="containsText" dxfId="1621" priority="1714" operator="containsText" text="정규교과">
      <formula>NOT(ISERROR(SEARCH(("정규교과"),(K341))))</formula>
    </cfRule>
    <cfRule type="containsText" dxfId="1620" priority="1712" operator="containsText" text="기타">
      <formula>NOT(ISERROR(SEARCH(("기타"),(K341))))</formula>
    </cfRule>
    <cfRule type="containsText" dxfId="1619" priority="1708" operator="containsText" text="정규교과">
      <formula>NOT(ISERROR(SEARCH(("정규교과"),(K341))))</formula>
    </cfRule>
    <cfRule type="containsText" dxfId="1618" priority="1709" operator="containsText" text="기타">
      <formula>NOT(ISERROR(SEARCH(("기타"),(K341))))</formula>
    </cfRule>
    <cfRule type="containsText" dxfId="1617" priority="1713" operator="containsText" text="프로젝트">
      <formula>NOT(ISERROR(SEARCH(("프로젝트"),(K341))))</formula>
    </cfRule>
    <cfRule type="containsText" dxfId="1616" priority="1715" operator="containsText" text="기타">
      <formula>NOT(ISERROR(SEARCH(("기타"),(K341))))</formula>
    </cfRule>
    <cfRule type="containsText" dxfId="1615" priority="1711" operator="containsText" text="정규교과">
      <formula>NOT(ISERROR(SEARCH(("정규교과"),(K341))))</formula>
    </cfRule>
    <cfRule type="containsText" dxfId="1614" priority="1710" operator="containsText" text="프로젝트">
      <formula>NOT(ISERROR(SEARCH(("프로젝트"),(K341))))</formula>
    </cfRule>
    <cfRule type="containsText" dxfId="1613" priority="1727" operator="containsText" text="기타">
      <formula>NOT(ISERROR(SEARCH(("기타"),(K341))))</formula>
    </cfRule>
    <cfRule type="containsText" dxfId="1612" priority="1726" operator="containsText" text="정규교과">
      <formula>NOT(ISERROR(SEARCH(("정규교과"),(K341))))</formula>
    </cfRule>
    <cfRule type="containsText" dxfId="1611" priority="1725" operator="containsText" text="프로젝트">
      <formula>NOT(ISERROR(SEARCH(("프로젝트"),(K341))))</formula>
    </cfRule>
    <cfRule type="containsText" dxfId="1610" priority="1724" operator="containsText" text="기타">
      <formula>NOT(ISERROR(SEARCH(("기타"),(K341))))</formula>
    </cfRule>
    <cfRule type="containsText" dxfId="1609" priority="1723" operator="containsText" text="정규교과">
      <formula>NOT(ISERROR(SEARCH(("정규교과"),(K341))))</formula>
    </cfRule>
    <cfRule type="containsText" dxfId="1608" priority="1722" operator="containsText" text="프로젝트">
      <formula>NOT(ISERROR(SEARCH(("프로젝트"),(K341))))</formula>
    </cfRule>
    <cfRule type="containsText" dxfId="1607" priority="1720" operator="containsText" text="정규교과">
      <formula>NOT(ISERROR(SEARCH(("정규교과"),(K341))))</formula>
    </cfRule>
    <cfRule type="containsText" dxfId="1606" priority="1719" operator="containsText" text="프로젝트">
      <formula>NOT(ISERROR(SEARCH(("프로젝트"),(K341))))</formula>
    </cfRule>
    <cfRule type="containsText" dxfId="1605" priority="1718" operator="containsText" text="기타">
      <formula>NOT(ISERROR(SEARCH(("기타"),(K341))))</formula>
    </cfRule>
    <cfRule type="containsText" dxfId="1604" priority="1717" operator="containsText" text="정규교과">
      <formula>NOT(ISERROR(SEARCH(("정규교과"),(K341))))</formula>
    </cfRule>
    <cfRule type="containsText" dxfId="1603" priority="1707" operator="containsText" text="프로젝트">
      <formula>NOT(ISERROR(SEARCH(("프로젝트"),(K341))))</formula>
    </cfRule>
    <cfRule type="containsText" dxfId="1602" priority="1721" operator="containsText" text="기타">
      <formula>NOT(ISERROR(SEARCH(("기타"),(K341))))</formula>
    </cfRule>
  </conditionalFormatting>
  <conditionalFormatting sqref="K345">
    <cfRule type="containsText" dxfId="1601" priority="1563" operator="containsText" text="프로젝트">
      <formula>NOT(ISERROR(SEARCH(("프로젝트"),(K345))))</formula>
    </cfRule>
    <cfRule type="containsText" dxfId="1600" priority="1564" operator="containsText" text="정규교과">
      <formula>NOT(ISERROR(SEARCH(("정규교과"),(K345))))</formula>
    </cfRule>
    <cfRule type="containsText" dxfId="1599" priority="1566" operator="containsText" text="프로젝트">
      <formula>NOT(ISERROR(SEARCH(("프로젝트"),(K345))))</formula>
    </cfRule>
    <cfRule type="containsText" dxfId="1598" priority="1567" operator="containsText" text="정규교과">
      <formula>NOT(ISERROR(SEARCH(("정규교과"),(K345))))</formula>
    </cfRule>
    <cfRule type="containsText" dxfId="1597" priority="1568" operator="containsText" text="기타">
      <formula>NOT(ISERROR(SEARCH(("기타"),(K345))))</formula>
    </cfRule>
    <cfRule type="containsText" dxfId="1596" priority="1569" operator="containsText" text="프로젝트">
      <formula>NOT(ISERROR(SEARCH(("프로젝트"),(K345))))</formula>
    </cfRule>
    <cfRule type="containsText" dxfId="1595" priority="1570" operator="containsText" text="정규교과">
      <formula>NOT(ISERROR(SEARCH(("정규교과"),(K345))))</formula>
    </cfRule>
    <cfRule type="containsText" dxfId="1594" priority="1580" operator="containsText" text="기타">
      <formula>NOT(ISERROR(SEARCH(("기타"),(K345))))</formula>
    </cfRule>
    <cfRule type="containsText" dxfId="1593" priority="1579" operator="containsText" text="정규교과">
      <formula>NOT(ISERROR(SEARCH(("정규교과"),(K345))))</formula>
    </cfRule>
    <cfRule type="containsText" dxfId="1592" priority="1578" operator="containsText" text="프로젝트">
      <formula>NOT(ISERROR(SEARCH(("프로젝트"),(K345))))</formula>
    </cfRule>
    <cfRule type="containsText" dxfId="1591" priority="1577" operator="containsText" text="기타">
      <formula>NOT(ISERROR(SEARCH(("기타"),(K345))))</formula>
    </cfRule>
    <cfRule type="containsText" dxfId="1590" priority="1565" operator="containsText" text="기타">
      <formula>NOT(ISERROR(SEARCH(("기타"),(K345))))</formula>
    </cfRule>
    <cfRule type="containsText" dxfId="1589" priority="1576" operator="containsText" text="정규교과">
      <formula>NOT(ISERROR(SEARCH(("정규교과"),(K345))))</formula>
    </cfRule>
    <cfRule type="containsText" dxfId="1588" priority="1560" operator="containsText" text="프로젝트">
      <formula>NOT(ISERROR(SEARCH(("프로젝트"),(K345))))</formula>
    </cfRule>
    <cfRule type="containsText" dxfId="1587" priority="1561" operator="containsText" text="정규교과">
      <formula>NOT(ISERROR(SEARCH(("정규교과"),(K345))))</formula>
    </cfRule>
    <cfRule type="containsText" dxfId="1586" priority="1575" operator="containsText" text="프로젝트">
      <formula>NOT(ISERROR(SEARCH(("프로젝트"),(K345))))</formula>
    </cfRule>
    <cfRule type="containsText" dxfId="1585" priority="1574" operator="containsText" text="기타">
      <formula>NOT(ISERROR(SEARCH(("기타"),(K345))))</formula>
    </cfRule>
    <cfRule type="containsText" dxfId="1584" priority="1573" operator="containsText" text="정규교과">
      <formula>NOT(ISERROR(SEARCH(("정규교과"),(K345))))</formula>
    </cfRule>
    <cfRule type="containsText" dxfId="1583" priority="1572" operator="containsText" text="프로젝트">
      <formula>NOT(ISERROR(SEARCH(("프로젝트"),(K345))))</formula>
    </cfRule>
    <cfRule type="containsText" dxfId="1582" priority="1562" operator="containsText" text="기타">
      <formula>NOT(ISERROR(SEARCH(("기타"),(K345))))</formula>
    </cfRule>
    <cfRule type="containsText" dxfId="1581" priority="1571" operator="containsText" text="기타">
      <formula>NOT(ISERROR(SEARCH(("기타"),(K345))))</formula>
    </cfRule>
  </conditionalFormatting>
  <conditionalFormatting sqref="K349">
    <cfRule type="containsText" dxfId="1580" priority="1421" operator="containsText" text="기타">
      <formula>NOT(ISERROR(SEARCH(("기타"),(K349))))</formula>
    </cfRule>
    <cfRule type="containsText" dxfId="1579" priority="1419" operator="containsText" text="프로젝트">
      <formula>NOT(ISERROR(SEARCH(("프로젝트"),(K349))))</formula>
    </cfRule>
    <cfRule type="containsText" dxfId="1578" priority="1420" operator="containsText" text="정규교과">
      <formula>NOT(ISERROR(SEARCH(("정규교과"),(K349))))</formula>
    </cfRule>
    <cfRule type="containsText" dxfId="1577" priority="1426" operator="containsText" text="정규교과">
      <formula>NOT(ISERROR(SEARCH(("정규교과"),(K349))))</formula>
    </cfRule>
    <cfRule type="containsText" dxfId="1576" priority="1418" operator="containsText" text="기타">
      <formula>NOT(ISERROR(SEARCH(("기타"),(K349))))</formula>
    </cfRule>
    <cfRule type="containsText" dxfId="1575" priority="1417" operator="containsText" text="정규교과">
      <formula>NOT(ISERROR(SEARCH(("정규교과"),(K349))))</formula>
    </cfRule>
    <cfRule type="containsText" dxfId="1574" priority="1416" operator="containsText" text="프로젝트">
      <formula>NOT(ISERROR(SEARCH(("프로젝트"),(K349))))</formula>
    </cfRule>
    <cfRule type="containsText" dxfId="1573" priority="1415" operator="containsText" text="기타">
      <formula>NOT(ISERROR(SEARCH(("기타"),(K349))))</formula>
    </cfRule>
    <cfRule type="containsText" dxfId="1572" priority="1414" operator="containsText" text="정규교과">
      <formula>NOT(ISERROR(SEARCH(("정규교과"),(K349))))</formula>
    </cfRule>
    <cfRule type="containsText" dxfId="1571" priority="1413" operator="containsText" text="프로젝트">
      <formula>NOT(ISERROR(SEARCH(("프로젝트"),(K349))))</formula>
    </cfRule>
    <cfRule type="containsText" dxfId="1570" priority="1427" operator="containsText" text="기타">
      <formula>NOT(ISERROR(SEARCH(("기타"),(K349))))</formula>
    </cfRule>
    <cfRule type="containsText" dxfId="1569" priority="1428" operator="containsText" text="프로젝트">
      <formula>NOT(ISERROR(SEARCH(("프로젝트"),(K349))))</formula>
    </cfRule>
    <cfRule type="containsText" dxfId="1568" priority="1429" operator="containsText" text="정규교과">
      <formula>NOT(ISERROR(SEARCH(("정규교과"),(K349))))</formula>
    </cfRule>
    <cfRule type="containsText" dxfId="1567" priority="1430" operator="containsText" text="기타">
      <formula>NOT(ISERROR(SEARCH(("기타"),(K349))))</formula>
    </cfRule>
    <cfRule type="containsText" dxfId="1566" priority="1433" operator="containsText" text="기타">
      <formula>NOT(ISERROR(SEARCH(("기타"),(K349))))</formula>
    </cfRule>
    <cfRule type="containsText" dxfId="1565" priority="1431" operator="containsText" text="프로젝트">
      <formula>NOT(ISERROR(SEARCH(("프로젝트"),(K349))))</formula>
    </cfRule>
    <cfRule type="containsText" dxfId="1564" priority="1432" operator="containsText" text="정규교과">
      <formula>NOT(ISERROR(SEARCH(("정규교과"),(K349))))</formula>
    </cfRule>
    <cfRule type="containsText" dxfId="1563" priority="1422" operator="containsText" text="프로젝트">
      <formula>NOT(ISERROR(SEARCH(("프로젝트"),(K349))))</formula>
    </cfRule>
    <cfRule type="containsText" dxfId="1562" priority="1423" operator="containsText" text="정규교과">
      <formula>NOT(ISERROR(SEARCH(("정규교과"),(K349))))</formula>
    </cfRule>
    <cfRule type="containsText" dxfId="1561" priority="1424" operator="containsText" text="기타">
      <formula>NOT(ISERROR(SEARCH(("기타"),(K349))))</formula>
    </cfRule>
    <cfRule type="containsText" dxfId="1560" priority="1425" operator="containsText" text="프로젝트">
      <formula>NOT(ISERROR(SEARCH(("프로젝트"),(K349))))</formula>
    </cfRule>
  </conditionalFormatting>
  <conditionalFormatting sqref="K127:L127">
    <cfRule type="containsText" dxfId="1559" priority="8085" operator="containsText" text="프로젝트">
      <formula>NOT(ISERROR(SEARCH(("프로젝트"),(K127))))</formula>
    </cfRule>
    <cfRule type="containsText" dxfId="1558" priority="8086" operator="containsText" text="정규교과">
      <formula>NOT(ISERROR(SEARCH(("정규교과"),(K127))))</formula>
    </cfRule>
    <cfRule type="containsText" dxfId="1557" priority="8094" operator="containsText" text="프로젝트">
      <formula>NOT(ISERROR(SEARCH(("프로젝트"),(K127))))</formula>
    </cfRule>
    <cfRule type="containsText" dxfId="1556" priority="8095" operator="containsText" text="정규교과">
      <formula>NOT(ISERROR(SEARCH(("정규교과"),(K127))))</formula>
    </cfRule>
    <cfRule type="containsText" dxfId="1555" priority="8096" operator="containsText" text="기타">
      <formula>NOT(ISERROR(SEARCH(("기타"),(K127))))</formula>
    </cfRule>
    <cfRule type="containsText" dxfId="1554" priority="8097" operator="containsText" text="프로젝트">
      <formula>NOT(ISERROR(SEARCH(("프로젝트"),(K127))))</formula>
    </cfRule>
    <cfRule type="containsText" dxfId="1553" priority="8098" operator="containsText" text="정규교과">
      <formula>NOT(ISERROR(SEARCH(("정규교과"),(K127))))</formula>
    </cfRule>
    <cfRule type="containsText" dxfId="1552" priority="8099" operator="containsText" text="기타">
      <formula>NOT(ISERROR(SEARCH(("기타"),(K127))))</formula>
    </cfRule>
    <cfRule type="containsText" dxfId="1551" priority="8091" operator="containsText" text="프로젝트">
      <formula>NOT(ISERROR(SEARCH(("프로젝트"),(K127))))</formula>
    </cfRule>
    <cfRule type="containsText" dxfId="1550" priority="8093" operator="containsText" text="기타">
      <formula>NOT(ISERROR(SEARCH(("기타"),(K127))))</formula>
    </cfRule>
    <cfRule type="containsText" dxfId="1549" priority="8087" operator="containsText" text="기타">
      <formula>NOT(ISERROR(SEARCH(("기타"),(K127))))</formula>
    </cfRule>
    <cfRule type="containsText" dxfId="1548" priority="8088" operator="containsText" text="프로젝트">
      <formula>NOT(ISERROR(SEARCH(("프로젝트"),(K127))))</formula>
    </cfRule>
    <cfRule type="containsText" dxfId="1547" priority="8089" operator="containsText" text="정규교과">
      <formula>NOT(ISERROR(SEARCH(("정규교과"),(K127))))</formula>
    </cfRule>
    <cfRule type="containsText" dxfId="1546" priority="8090" operator="containsText" text="기타">
      <formula>NOT(ISERROR(SEARCH(("기타"),(K127))))</formula>
    </cfRule>
    <cfRule type="containsText" dxfId="1545" priority="8092" operator="containsText" text="정규교과">
      <formula>NOT(ISERROR(SEARCH(("정규교과"),(K127))))</formula>
    </cfRule>
    <cfRule type="containsText" dxfId="1544" priority="8084" operator="containsText" text="휴강">
      <formula>NOT(ISERROR(SEARCH(("휴강"),(K127))))</formula>
    </cfRule>
  </conditionalFormatting>
  <conditionalFormatting sqref="K22:M22">
    <cfRule type="containsText" dxfId="1543" priority="14260" operator="containsText" text="프로젝트">
      <formula>NOT(ISERROR(SEARCH(("프로젝트"),(K22))))</formula>
    </cfRule>
    <cfRule type="containsText" dxfId="1542" priority="14263" operator="containsText" text="프로젝트">
      <formula>NOT(ISERROR(SEARCH(("프로젝트"),(K22))))</formula>
    </cfRule>
    <cfRule type="containsText" dxfId="1541" priority="14265" operator="containsText" text="기타">
      <formula>NOT(ISERROR(SEARCH(("기타"),(K22))))</formula>
    </cfRule>
    <cfRule type="containsText" dxfId="1540" priority="14262" operator="containsText" text="기타">
      <formula>NOT(ISERROR(SEARCH(("기타"),(K22))))</formula>
    </cfRule>
    <cfRule type="containsText" dxfId="1539" priority="14268" operator="containsText" text="기타">
      <formula>NOT(ISERROR(SEARCH(("기타"),(K22))))</formula>
    </cfRule>
    <cfRule type="containsText" dxfId="1538" priority="14267" operator="containsText" text="정규교과">
      <formula>NOT(ISERROR(SEARCH(("정규교과"),(K22))))</formula>
    </cfRule>
    <cfRule type="containsText" dxfId="1537" priority="14266" operator="containsText" text="프로젝트">
      <formula>NOT(ISERROR(SEARCH(("프로젝트"),(K22))))</formula>
    </cfRule>
    <cfRule type="containsText" dxfId="1536" priority="14261" operator="containsText" text="정규교과">
      <formula>NOT(ISERROR(SEARCH(("정규교과"),(K22))))</formula>
    </cfRule>
    <cfRule type="containsText" dxfId="1535" priority="14264" operator="containsText" text="정규교과">
      <formula>NOT(ISERROR(SEARCH(("정규교과"),(K22))))</formula>
    </cfRule>
  </conditionalFormatting>
  <conditionalFormatting sqref="K26:M26">
    <cfRule type="containsText" dxfId="1534" priority="14256" operator="containsText" text="기타">
      <formula>NOT(ISERROR(SEARCH(("기타"),(K26))))</formula>
    </cfRule>
    <cfRule type="containsText" dxfId="1533" priority="14255" operator="containsText" text="정규교과">
      <formula>NOT(ISERROR(SEARCH(("정규교과"),(K26))))</formula>
    </cfRule>
    <cfRule type="containsText" dxfId="1532" priority="14254" operator="containsText" text="프로젝트">
      <formula>NOT(ISERROR(SEARCH(("프로젝트"),(K26))))</formula>
    </cfRule>
    <cfRule type="containsText" dxfId="1531" priority="14253" operator="containsText" text="기타">
      <formula>NOT(ISERROR(SEARCH(("기타"),(K26))))</formula>
    </cfRule>
    <cfRule type="containsText" dxfId="1530" priority="14252" operator="containsText" text="정규교과">
      <formula>NOT(ISERROR(SEARCH(("정규교과"),(K26))))</formula>
    </cfRule>
    <cfRule type="containsText" dxfId="1529" priority="14251" operator="containsText" text="프로젝트">
      <formula>NOT(ISERROR(SEARCH(("프로젝트"),(K26))))</formula>
    </cfRule>
    <cfRule type="containsText" dxfId="1528" priority="14259" operator="containsText" text="기타">
      <formula>NOT(ISERROR(SEARCH(("기타"),(K26))))</formula>
    </cfRule>
    <cfRule type="containsText" dxfId="1527" priority="14258" operator="containsText" text="정규교과">
      <formula>NOT(ISERROR(SEARCH(("정규교과"),(K26))))</formula>
    </cfRule>
    <cfRule type="containsText" dxfId="1526" priority="14257" operator="containsText" text="프로젝트">
      <formula>NOT(ISERROR(SEARCH(("프로젝트"),(K26))))</formula>
    </cfRule>
  </conditionalFormatting>
  <conditionalFormatting sqref="K30:M30">
    <cfRule type="containsText" dxfId="1525" priority="14244" operator="containsText" text="기타">
      <formula>NOT(ISERROR(SEARCH(("기타"),(K30))))</formula>
    </cfRule>
    <cfRule type="containsText" dxfId="1524" priority="14243" operator="containsText" text="정규교과">
      <formula>NOT(ISERROR(SEARCH(("정규교과"),(K30))))</formula>
    </cfRule>
    <cfRule type="containsText" dxfId="1523" priority="14242" operator="containsText" text="프로젝트">
      <formula>NOT(ISERROR(SEARCH(("프로젝트"),(K30))))</formula>
    </cfRule>
    <cfRule type="containsText" dxfId="1522" priority="14249" operator="containsText" text="정규교과">
      <formula>NOT(ISERROR(SEARCH(("정규교과"),(K30))))</formula>
    </cfRule>
    <cfRule type="containsText" dxfId="1521" priority="14248" operator="containsText" text="프로젝트">
      <formula>NOT(ISERROR(SEARCH(("프로젝트"),(K30))))</formula>
    </cfRule>
    <cfRule type="containsText" dxfId="1520" priority="14247" operator="containsText" text="기타">
      <formula>NOT(ISERROR(SEARCH(("기타"),(K30))))</formula>
    </cfRule>
    <cfRule type="containsText" dxfId="1519" priority="14250" operator="containsText" text="기타">
      <formula>NOT(ISERROR(SEARCH(("기타"),(K30))))</formula>
    </cfRule>
    <cfRule type="containsText" dxfId="1518" priority="14246" operator="containsText" text="정규교과">
      <formula>NOT(ISERROR(SEARCH(("정규교과"),(K30))))</formula>
    </cfRule>
    <cfRule type="containsText" dxfId="1517" priority="14245" operator="containsText" text="프로젝트">
      <formula>NOT(ISERROR(SEARCH(("프로젝트"),(K30))))</formula>
    </cfRule>
  </conditionalFormatting>
  <conditionalFormatting sqref="K34:M34">
    <cfRule type="containsText" dxfId="1516" priority="14238" operator="containsText" text="기타">
      <formula>NOT(ISERROR(SEARCH(("기타"),(K34))))</formula>
    </cfRule>
    <cfRule type="containsText" dxfId="1515" priority="14241" operator="containsText" text="기타">
      <formula>NOT(ISERROR(SEARCH(("기타"),(K34))))</formula>
    </cfRule>
    <cfRule type="containsText" dxfId="1514" priority="14240" operator="containsText" text="정규교과">
      <formula>NOT(ISERROR(SEARCH(("정규교과"),(K34))))</formula>
    </cfRule>
    <cfRule type="containsText" dxfId="1513" priority="14236" operator="containsText" text="프로젝트">
      <formula>NOT(ISERROR(SEARCH(("프로젝트"),(K34))))</formula>
    </cfRule>
    <cfRule type="containsText" dxfId="1512" priority="14234" operator="containsText" text="정규교과">
      <formula>NOT(ISERROR(SEARCH(("정규교과"),(K34))))</formula>
    </cfRule>
    <cfRule type="containsText" dxfId="1511" priority="14233" operator="containsText" text="프로젝트">
      <formula>NOT(ISERROR(SEARCH(("프로젝트"),(K34))))</formula>
    </cfRule>
    <cfRule type="containsText" dxfId="1510" priority="14239" operator="containsText" text="프로젝트">
      <formula>NOT(ISERROR(SEARCH(("프로젝트"),(K34))))</formula>
    </cfRule>
    <cfRule type="containsText" dxfId="1509" priority="14235" operator="containsText" text="기타">
      <formula>NOT(ISERROR(SEARCH(("기타"),(K34))))</formula>
    </cfRule>
    <cfRule type="containsText" dxfId="1508" priority="14237" operator="containsText" text="정규교과">
      <formula>NOT(ISERROR(SEARCH(("정규교과"),(K34))))</formula>
    </cfRule>
  </conditionalFormatting>
  <conditionalFormatting sqref="K61:M61">
    <cfRule type="containsText" dxfId="1507" priority="10811" operator="containsText" text="정규교과">
      <formula>NOT(ISERROR(SEARCH(("정규교과"),(K61))))</formula>
    </cfRule>
    <cfRule type="containsText" dxfId="1506" priority="10812" operator="containsText" text="기타">
      <formula>NOT(ISERROR(SEARCH(("기타"),(K61))))</formula>
    </cfRule>
    <cfRule type="containsText" dxfId="1505" priority="10813" operator="containsText" text="프로젝트">
      <formula>NOT(ISERROR(SEARCH(("프로젝트"),(K61))))</formula>
    </cfRule>
    <cfRule type="containsText" dxfId="1504" priority="10814" operator="containsText" text="정규교과">
      <formula>NOT(ISERROR(SEARCH(("정규교과"),(K61))))</formula>
    </cfRule>
    <cfRule type="containsText" dxfId="1503" priority="10815" operator="containsText" text="기타">
      <formula>NOT(ISERROR(SEARCH(("기타"),(K61))))</formula>
    </cfRule>
    <cfRule type="containsText" dxfId="1502" priority="10816" operator="containsText" text="프로젝트">
      <formula>NOT(ISERROR(SEARCH(("프로젝트"),(K61))))</formula>
    </cfRule>
    <cfRule type="containsText" dxfId="1501" priority="10817" operator="containsText" text="정규교과">
      <formula>NOT(ISERROR(SEARCH(("정규교과"),(K61))))</formula>
    </cfRule>
    <cfRule type="containsText" dxfId="1500" priority="10818" operator="containsText" text="기타">
      <formula>NOT(ISERROR(SEARCH(("기타"),(K61))))</formula>
    </cfRule>
    <cfRule type="containsText" dxfId="1499" priority="10819" operator="containsText" text="프로젝트">
      <formula>NOT(ISERROR(SEARCH(("프로젝트"),(K61))))</formula>
    </cfRule>
    <cfRule type="containsText" dxfId="1498" priority="10820" operator="containsText" text="정규교과">
      <formula>NOT(ISERROR(SEARCH(("정규교과"),(K61))))</formula>
    </cfRule>
    <cfRule type="containsText" dxfId="1497" priority="10821" operator="containsText" text="기타">
      <formula>NOT(ISERROR(SEARCH(("기타"),(K61))))</formula>
    </cfRule>
    <cfRule type="containsText" dxfId="1496" priority="10822" operator="containsText" text="프로젝트">
      <formula>NOT(ISERROR(SEARCH(("프로젝트"),(K61))))</formula>
    </cfRule>
    <cfRule type="containsText" dxfId="1495" priority="10823" operator="containsText" text="정규교과">
      <formula>NOT(ISERROR(SEARCH(("정규교과"),(K61))))</formula>
    </cfRule>
    <cfRule type="containsText" dxfId="1494" priority="10824" operator="containsText" text="기타">
      <formula>NOT(ISERROR(SEARCH(("기타"),(K61))))</formula>
    </cfRule>
    <cfRule type="containsText" dxfId="1493" priority="10826" operator="containsText" text="정규교과">
      <formula>NOT(ISERROR(SEARCH(("정규교과"),(K61))))</formula>
    </cfRule>
    <cfRule type="containsText" dxfId="1492" priority="10827" operator="containsText" text="기타">
      <formula>NOT(ISERROR(SEARCH(("기타"),(K61))))</formula>
    </cfRule>
    <cfRule type="containsText" dxfId="1491" priority="10809" operator="containsText" text="기타">
      <formula>NOT(ISERROR(SEARCH(("기타"),(K61))))</formula>
    </cfRule>
    <cfRule type="containsText" dxfId="1490" priority="10804" operator="containsText" text="프로젝트">
      <formula>NOT(ISERROR(SEARCH(("프로젝트"),(K61))))</formula>
    </cfRule>
    <cfRule type="containsText" dxfId="1489" priority="10805" operator="containsText" text="정규교과">
      <formula>NOT(ISERROR(SEARCH(("정규교과"),(K61))))</formula>
    </cfRule>
    <cfRule type="containsText" dxfId="1488" priority="10806" operator="containsText" text="기타">
      <formula>NOT(ISERROR(SEARCH(("기타"),(K61))))</formula>
    </cfRule>
    <cfRule type="containsText" dxfId="1487" priority="10807" operator="containsText" text="프로젝트">
      <formula>NOT(ISERROR(SEARCH(("프로젝트"),(K61))))</formula>
    </cfRule>
    <cfRule type="containsText" dxfId="1486" priority="10808" operator="containsText" text="정규교과">
      <formula>NOT(ISERROR(SEARCH(("정규교과"),(K61))))</formula>
    </cfRule>
    <cfRule type="containsText" dxfId="1485" priority="10810" operator="containsText" text="프로젝트">
      <formula>NOT(ISERROR(SEARCH(("프로젝트"),(K61))))</formula>
    </cfRule>
  </conditionalFormatting>
  <conditionalFormatting sqref="K65:M65">
    <cfRule type="containsText" dxfId="1484" priority="10782" operator="containsText" text="기타">
      <formula>NOT(ISERROR(SEARCH(("기타"),(K65))))</formula>
    </cfRule>
    <cfRule type="containsText" dxfId="1483" priority="10800" operator="containsText" text="기타">
      <formula>NOT(ISERROR(SEARCH(("기타"),(K65))))</formula>
    </cfRule>
    <cfRule type="containsText" dxfId="1482" priority="10802" operator="containsText" text="정규교과">
      <formula>NOT(ISERROR(SEARCH(("정규교과"),(K65))))</formula>
    </cfRule>
    <cfRule type="containsText" dxfId="1481" priority="10803" operator="containsText" text="기타">
      <formula>NOT(ISERROR(SEARCH(("기타"),(K65))))</formula>
    </cfRule>
    <cfRule type="containsText" dxfId="1480" priority="10783" operator="containsText" text="프로젝트">
      <formula>NOT(ISERROR(SEARCH(("프로젝트"),(K65))))</formula>
    </cfRule>
    <cfRule type="containsText" dxfId="1479" priority="10798" operator="containsText" text="프로젝트">
      <formula>NOT(ISERROR(SEARCH(("프로젝트"),(K65))))</formula>
    </cfRule>
    <cfRule type="containsText" dxfId="1478" priority="10781" operator="containsText" text="정규교과">
      <formula>NOT(ISERROR(SEARCH(("정규교과"),(K65))))</formula>
    </cfRule>
    <cfRule type="containsText" dxfId="1477" priority="10780" operator="containsText" text="프로젝트">
      <formula>NOT(ISERROR(SEARCH(("프로젝트"),(K65))))</formula>
    </cfRule>
    <cfRule type="containsText" dxfId="1476" priority="10784" operator="containsText" text="정규교과">
      <formula>NOT(ISERROR(SEARCH(("정규교과"),(K65))))</formula>
    </cfRule>
    <cfRule type="containsText" dxfId="1475" priority="10799" operator="containsText" text="정규교과">
      <formula>NOT(ISERROR(SEARCH(("정규교과"),(K65))))</formula>
    </cfRule>
    <cfRule type="containsText" dxfId="1474" priority="10785" operator="containsText" text="기타">
      <formula>NOT(ISERROR(SEARCH(("기타"),(K65))))</formula>
    </cfRule>
    <cfRule type="containsText" dxfId="1473" priority="10797" operator="containsText" text="기타">
      <formula>NOT(ISERROR(SEARCH(("기타"),(K65))))</formula>
    </cfRule>
    <cfRule type="containsText" dxfId="1472" priority="10796" operator="containsText" text="정규교과">
      <formula>NOT(ISERROR(SEARCH(("정규교과"),(K65))))</formula>
    </cfRule>
    <cfRule type="containsText" dxfId="1471" priority="10789" operator="containsText" text="프로젝트">
      <formula>NOT(ISERROR(SEARCH(("프로젝트"),(K65))))</formula>
    </cfRule>
    <cfRule type="containsText" dxfId="1470" priority="10795" operator="containsText" text="프로젝트">
      <formula>NOT(ISERROR(SEARCH(("프로젝트"),(K65))))</formula>
    </cfRule>
    <cfRule type="containsText" dxfId="1469" priority="10794" operator="containsText" text="기타">
      <formula>NOT(ISERROR(SEARCH(("기타"),(K65))))</formula>
    </cfRule>
    <cfRule type="containsText" dxfId="1468" priority="10793" operator="containsText" text="정규교과">
      <formula>NOT(ISERROR(SEARCH(("정규교과"),(K65))))</formula>
    </cfRule>
    <cfRule type="containsText" dxfId="1467" priority="10792" operator="containsText" text="프로젝트">
      <formula>NOT(ISERROR(SEARCH(("프로젝트"),(K65))))</formula>
    </cfRule>
    <cfRule type="containsText" dxfId="1466" priority="10791" operator="containsText" text="기타">
      <formula>NOT(ISERROR(SEARCH(("기타"),(K65))))</formula>
    </cfRule>
    <cfRule type="containsText" dxfId="1465" priority="10790" operator="containsText" text="정규교과">
      <formula>NOT(ISERROR(SEARCH(("정규교과"),(K65))))</formula>
    </cfRule>
    <cfRule type="containsText" dxfId="1464" priority="10788" operator="containsText" text="기타">
      <formula>NOT(ISERROR(SEARCH(("기타"),(K65))))</formula>
    </cfRule>
    <cfRule type="containsText" dxfId="1463" priority="10787" operator="containsText" text="정규교과">
      <formula>NOT(ISERROR(SEARCH(("정규교과"),(K65))))</formula>
    </cfRule>
    <cfRule type="containsText" dxfId="1462" priority="10786" operator="containsText" text="프로젝트">
      <formula>NOT(ISERROR(SEARCH(("프로젝트"),(K65))))</formula>
    </cfRule>
  </conditionalFormatting>
  <conditionalFormatting sqref="K69:M69">
    <cfRule type="containsText" dxfId="1461" priority="10774" operator="containsText" text="프로젝트">
      <formula>NOT(ISERROR(SEARCH(("프로젝트"),(K69))))</formula>
    </cfRule>
    <cfRule type="containsText" dxfId="1460" priority="10775" operator="containsText" text="정규교과">
      <formula>NOT(ISERROR(SEARCH(("정규교과"),(K69))))</formula>
    </cfRule>
    <cfRule type="containsText" dxfId="1459" priority="10758" operator="containsText" text="기타">
      <formula>NOT(ISERROR(SEARCH(("기타"),(K69))))</formula>
    </cfRule>
    <cfRule type="containsText" dxfId="1458" priority="10773" operator="containsText" text="기타">
      <formula>NOT(ISERROR(SEARCH(("기타"),(K69))))</formula>
    </cfRule>
    <cfRule type="containsText" dxfId="1457" priority="10760" operator="containsText" text="정규교과">
      <formula>NOT(ISERROR(SEARCH(("정규교과"),(K69))))</formula>
    </cfRule>
    <cfRule type="containsText" dxfId="1456" priority="10761" operator="containsText" text="기타">
      <formula>NOT(ISERROR(SEARCH(("기타"),(K69))))</formula>
    </cfRule>
    <cfRule type="containsText" dxfId="1455" priority="10762" operator="containsText" text="프로젝트">
      <formula>NOT(ISERROR(SEARCH(("프로젝트"),(K69))))</formula>
    </cfRule>
    <cfRule type="containsText" dxfId="1454" priority="10766" operator="containsText" text="정규교과">
      <formula>NOT(ISERROR(SEARCH(("정규교과"),(K69))))</formula>
    </cfRule>
    <cfRule type="containsText" dxfId="1453" priority="10767" operator="containsText" text="기타">
      <formula>NOT(ISERROR(SEARCH(("기타"),(K69))))</formula>
    </cfRule>
    <cfRule type="containsText" dxfId="1452" priority="10768" operator="containsText" text="프로젝트">
      <formula>NOT(ISERROR(SEARCH(("프로젝트"),(K69))))</formula>
    </cfRule>
    <cfRule type="containsText" dxfId="1451" priority="10770" operator="containsText" text="기타">
      <formula>NOT(ISERROR(SEARCH(("기타"),(K69))))</formula>
    </cfRule>
    <cfRule type="containsText" dxfId="1450" priority="10771" operator="containsText" text="프로젝트">
      <formula>NOT(ISERROR(SEARCH(("프로젝트"),(K69))))</formula>
    </cfRule>
    <cfRule type="containsText" dxfId="1449" priority="10764" operator="containsText" text="기타">
      <formula>NOT(ISERROR(SEARCH(("기타"),(K69))))</formula>
    </cfRule>
    <cfRule type="containsText" dxfId="1448" priority="10778" operator="containsText" text="정규교과">
      <formula>NOT(ISERROR(SEARCH(("정규교과"),(K69))))</formula>
    </cfRule>
    <cfRule type="containsText" dxfId="1447" priority="10779" operator="containsText" text="기타">
      <formula>NOT(ISERROR(SEARCH(("기타"),(K69))))</formula>
    </cfRule>
    <cfRule type="containsText" dxfId="1446" priority="10759" operator="containsText" text="프로젝트">
      <formula>NOT(ISERROR(SEARCH(("프로젝트"),(K69))))</formula>
    </cfRule>
    <cfRule type="containsText" dxfId="1445" priority="10772" operator="containsText" text="정규교과">
      <formula>NOT(ISERROR(SEARCH(("정규교과"),(K69))))</formula>
    </cfRule>
    <cfRule type="containsText" dxfId="1444" priority="10763" operator="containsText" text="정규교과">
      <formula>NOT(ISERROR(SEARCH(("정규교과"),(K69))))</formula>
    </cfRule>
    <cfRule type="containsText" dxfId="1443" priority="10765" operator="containsText" text="프로젝트">
      <formula>NOT(ISERROR(SEARCH(("프로젝트"),(K69))))</formula>
    </cfRule>
    <cfRule type="containsText" dxfId="1442" priority="10769" operator="containsText" text="정규교과">
      <formula>NOT(ISERROR(SEARCH(("정규교과"),(K69))))</formula>
    </cfRule>
    <cfRule type="containsText" dxfId="1441" priority="10757" operator="containsText" text="정규교과">
      <formula>NOT(ISERROR(SEARCH(("정규교과"),(K69))))</formula>
    </cfRule>
    <cfRule type="containsText" dxfId="1440" priority="10756" operator="containsText" text="프로젝트">
      <formula>NOT(ISERROR(SEARCH(("프로젝트"),(K69))))</formula>
    </cfRule>
    <cfRule type="containsText" dxfId="1439" priority="10776" operator="containsText" text="기타">
      <formula>NOT(ISERROR(SEARCH(("기타"),(K69))))</formula>
    </cfRule>
  </conditionalFormatting>
  <conditionalFormatting sqref="L110">
    <cfRule type="containsText" dxfId="1438" priority="6951" operator="containsText" text="프로젝트">
      <formula>NOT(ISERROR(SEARCH(("프로젝트"),(L110))))</formula>
    </cfRule>
    <cfRule type="containsText" dxfId="1437" priority="6952" operator="containsText" text="정규교과">
      <formula>NOT(ISERROR(SEARCH(("정규교과"),(L110))))</formula>
    </cfRule>
    <cfRule type="containsText" dxfId="1436" priority="6953" operator="containsText" text="기타">
      <formula>NOT(ISERROR(SEARCH(("기타"),(L110))))</formula>
    </cfRule>
    <cfRule type="containsText" dxfId="1435" priority="6954" operator="containsText" text="프로젝트">
      <formula>NOT(ISERROR(SEARCH(("프로젝트"),(L110))))</formula>
    </cfRule>
    <cfRule type="containsText" dxfId="1434" priority="6955" operator="containsText" text="정규교과">
      <formula>NOT(ISERROR(SEARCH(("정규교과"),(L110))))</formula>
    </cfRule>
    <cfRule type="containsText" dxfId="1433" priority="6956" operator="containsText" text="기타">
      <formula>NOT(ISERROR(SEARCH(("기타"),(L110))))</formula>
    </cfRule>
    <cfRule type="containsText" dxfId="1432" priority="6957" operator="containsText" text="프로젝트">
      <formula>NOT(ISERROR(SEARCH(("프로젝트"),(L110))))</formula>
    </cfRule>
    <cfRule type="containsText" dxfId="1431" priority="6958" operator="containsText" text="정규교과">
      <formula>NOT(ISERROR(SEARCH(("정규교과"),(L110))))</formula>
    </cfRule>
    <cfRule type="containsText" dxfId="1430" priority="6959" operator="containsText" text="기타">
      <formula>NOT(ISERROR(SEARCH(("기타"),(L110))))</formula>
    </cfRule>
    <cfRule type="containsText" dxfId="1429" priority="6945" operator="containsText" text="프로젝트">
      <formula>NOT(ISERROR(SEARCH(("프로젝트"),(L110))))</formula>
    </cfRule>
    <cfRule type="containsText" dxfId="1428" priority="6944" operator="containsText" text="휴강">
      <formula>NOT(ISERROR(SEARCH(("휴강"),(L110))))</formula>
    </cfRule>
    <cfRule type="containsText" dxfId="1427" priority="6946" operator="containsText" text="정규교과">
      <formula>NOT(ISERROR(SEARCH(("정규교과"),(L110))))</formula>
    </cfRule>
    <cfRule type="containsText" dxfId="1426" priority="6947" operator="containsText" text="기타">
      <formula>NOT(ISERROR(SEARCH(("기타"),(L110))))</formula>
    </cfRule>
    <cfRule type="containsText" dxfId="1425" priority="6948" operator="containsText" text="프로젝트">
      <formula>NOT(ISERROR(SEARCH(("프로젝트"),(L110))))</formula>
    </cfRule>
    <cfRule type="containsText" dxfId="1424" priority="6949" operator="containsText" text="정규교과">
      <formula>NOT(ISERROR(SEARCH(("정규교과"),(L110))))</formula>
    </cfRule>
    <cfRule type="containsText" dxfId="1423" priority="6950" operator="containsText" text="기타">
      <formula>NOT(ISERROR(SEARCH(("기타"),(L110))))</formula>
    </cfRule>
  </conditionalFormatting>
  <conditionalFormatting sqref="L118">
    <cfRule type="containsText" dxfId="1422" priority="6919" operator="containsText" text="프로젝트">
      <formula>NOT(ISERROR(SEARCH(("프로젝트"),(L118))))</formula>
    </cfRule>
    <cfRule type="containsText" dxfId="1421" priority="6912" operator="containsText" text="휴강">
      <formula>NOT(ISERROR(SEARCH(("휴강"),(L118))))</formula>
    </cfRule>
    <cfRule type="containsText" dxfId="1420" priority="6913" operator="containsText" text="프로젝트">
      <formula>NOT(ISERROR(SEARCH(("프로젝트"),(L118))))</formula>
    </cfRule>
    <cfRule type="containsText" dxfId="1419" priority="6920" operator="containsText" text="정규교과">
      <formula>NOT(ISERROR(SEARCH(("정규교과"),(L118))))</formula>
    </cfRule>
    <cfRule type="containsText" dxfId="1418" priority="6916" operator="containsText" text="프로젝트">
      <formula>NOT(ISERROR(SEARCH(("프로젝트"),(L118))))</formula>
    </cfRule>
    <cfRule type="containsText" dxfId="1417" priority="6917" operator="containsText" text="정규교과">
      <formula>NOT(ISERROR(SEARCH(("정규교과"),(L118))))</formula>
    </cfRule>
    <cfRule type="containsText" dxfId="1416" priority="6918" operator="containsText" text="기타">
      <formula>NOT(ISERROR(SEARCH(("기타"),(L118))))</formula>
    </cfRule>
    <cfRule type="containsText" dxfId="1415" priority="6923" operator="containsText" text="정규교과">
      <formula>NOT(ISERROR(SEARCH(("정규교과"),(L118))))</formula>
    </cfRule>
    <cfRule type="containsText" dxfId="1414" priority="6924" operator="containsText" text="기타">
      <formula>NOT(ISERROR(SEARCH(("기타"),(L118))))</formula>
    </cfRule>
    <cfRule type="containsText" dxfId="1413" priority="6915" operator="containsText" text="기타">
      <formula>NOT(ISERROR(SEARCH(("기타"),(L118))))</formula>
    </cfRule>
    <cfRule type="containsText" dxfId="1412" priority="6925" operator="containsText" text="프로젝트">
      <formula>NOT(ISERROR(SEARCH(("프로젝트"),(L118))))</formula>
    </cfRule>
    <cfRule type="containsText" dxfId="1411" priority="6927" operator="containsText" text="기타">
      <formula>NOT(ISERROR(SEARCH(("기타"),(L118))))</formula>
    </cfRule>
    <cfRule type="containsText" dxfId="1410" priority="6926" operator="containsText" text="정규교과">
      <formula>NOT(ISERROR(SEARCH(("정규교과"),(L118))))</formula>
    </cfRule>
    <cfRule type="containsText" dxfId="1409" priority="6922" operator="containsText" text="프로젝트">
      <formula>NOT(ISERROR(SEARCH(("프로젝트"),(L118))))</formula>
    </cfRule>
    <cfRule type="containsText" dxfId="1408" priority="6914" operator="containsText" text="정규교과">
      <formula>NOT(ISERROR(SEARCH(("정규교과"),(L118))))</formula>
    </cfRule>
    <cfRule type="containsText" dxfId="1407" priority="6921" operator="containsText" text="기타">
      <formula>NOT(ISERROR(SEARCH(("기타"),(L118))))</formula>
    </cfRule>
  </conditionalFormatting>
  <conditionalFormatting sqref="L123">
    <cfRule type="containsText" dxfId="1406" priority="6907" operator="containsText" text="정규교과">
      <formula>NOT(ISERROR(SEARCH(("정규교과"),(L123))))</formula>
    </cfRule>
    <cfRule type="containsText" dxfId="1405" priority="6905" operator="containsText" text="기타">
      <formula>NOT(ISERROR(SEARCH(("기타"),(L123))))</formula>
    </cfRule>
    <cfRule type="containsText" dxfId="1404" priority="6904" operator="containsText" text="정규교과">
      <formula>NOT(ISERROR(SEARCH(("정규교과"),(L123))))</formula>
    </cfRule>
    <cfRule type="containsText" dxfId="1403" priority="6903" operator="containsText" text="프로젝트">
      <formula>NOT(ISERROR(SEARCH(("프로젝트"),(L123))))</formula>
    </cfRule>
    <cfRule type="containsText" dxfId="1402" priority="6902" operator="containsText" text="기타">
      <formula>NOT(ISERROR(SEARCH(("기타"),(L123))))</formula>
    </cfRule>
    <cfRule type="containsText" dxfId="1401" priority="6901" operator="containsText" text="정규교과">
      <formula>NOT(ISERROR(SEARCH(("정규교과"),(L123))))</formula>
    </cfRule>
    <cfRule type="containsText" dxfId="1400" priority="6896" operator="containsText" text="휴강">
      <formula>NOT(ISERROR(SEARCH(("휴강"),(L123))))</formula>
    </cfRule>
    <cfRule type="containsText" dxfId="1399" priority="6900" operator="containsText" text="프로젝트">
      <formula>NOT(ISERROR(SEARCH(("프로젝트"),(L123))))</formula>
    </cfRule>
    <cfRule type="containsText" dxfId="1398" priority="6906" operator="containsText" text="프로젝트">
      <formula>NOT(ISERROR(SEARCH(("프로젝트"),(L123))))</formula>
    </cfRule>
    <cfRule type="containsText" dxfId="1397" priority="6898" operator="containsText" text="정규교과">
      <formula>NOT(ISERROR(SEARCH(("정규교과"),(L123))))</formula>
    </cfRule>
    <cfRule type="containsText" dxfId="1396" priority="6899" operator="containsText" text="기타">
      <formula>NOT(ISERROR(SEARCH(("기타"),(L123))))</formula>
    </cfRule>
    <cfRule type="containsText" dxfId="1395" priority="6908" operator="containsText" text="기타">
      <formula>NOT(ISERROR(SEARCH(("기타"),(L123))))</formula>
    </cfRule>
    <cfRule type="containsText" dxfId="1394" priority="6910" operator="containsText" text="정규교과">
      <formula>NOT(ISERROR(SEARCH(("정규교과"),(L123))))</formula>
    </cfRule>
    <cfRule type="containsText" dxfId="1393" priority="6897" operator="containsText" text="프로젝트">
      <formula>NOT(ISERROR(SEARCH(("프로젝트"),(L123))))</formula>
    </cfRule>
    <cfRule type="containsText" dxfId="1392" priority="6911" operator="containsText" text="기타">
      <formula>NOT(ISERROR(SEARCH(("기타"),(L123))))</formula>
    </cfRule>
    <cfRule type="containsText" dxfId="1391" priority="6909" operator="containsText" text="프로젝트">
      <formula>NOT(ISERROR(SEARCH(("프로젝트"),(L123))))</formula>
    </cfRule>
  </conditionalFormatting>
  <conditionalFormatting sqref="L131">
    <cfRule type="containsText" dxfId="1390" priority="6883" operator="containsText" text="기타">
      <formula>NOT(ISERROR(SEARCH(("기타"),(L131))))</formula>
    </cfRule>
    <cfRule type="containsText" dxfId="1389" priority="6884" operator="containsText" text="프로젝트">
      <formula>NOT(ISERROR(SEARCH(("프로젝트"),(L131))))</formula>
    </cfRule>
    <cfRule type="containsText" dxfId="1388" priority="6890" operator="containsText" text="프로젝트">
      <formula>NOT(ISERROR(SEARCH(("프로젝트"),(L131))))</formula>
    </cfRule>
    <cfRule type="containsText" dxfId="1387" priority="6889" operator="containsText" text="기타">
      <formula>NOT(ISERROR(SEARCH(("기타"),(L131))))</formula>
    </cfRule>
    <cfRule type="containsText" dxfId="1386" priority="6888" operator="containsText" text="정규교과">
      <formula>NOT(ISERROR(SEARCH(("정규교과"),(L131))))</formula>
    </cfRule>
    <cfRule type="containsText" dxfId="1385" priority="6886" operator="containsText" text="기타">
      <formula>NOT(ISERROR(SEARCH(("기타"),(L131))))</formula>
    </cfRule>
    <cfRule type="containsText" dxfId="1384" priority="6895" operator="containsText" text="기타">
      <formula>NOT(ISERROR(SEARCH(("기타"),(L131))))</formula>
    </cfRule>
    <cfRule type="containsText" dxfId="1383" priority="6885" operator="containsText" text="정규교과">
      <formula>NOT(ISERROR(SEARCH(("정규교과"),(L131))))</formula>
    </cfRule>
    <cfRule type="containsText" dxfId="1382" priority="6891" operator="containsText" text="정규교과">
      <formula>NOT(ISERROR(SEARCH(("정규교과"),(L131))))</formula>
    </cfRule>
    <cfRule type="containsText" dxfId="1381" priority="6880" operator="containsText" text="휴강">
      <formula>NOT(ISERROR(SEARCH(("휴강"),(L131))))</formula>
    </cfRule>
    <cfRule type="containsText" dxfId="1380" priority="6887" operator="containsText" text="프로젝트">
      <formula>NOT(ISERROR(SEARCH(("프로젝트"),(L131))))</formula>
    </cfRule>
    <cfRule type="containsText" dxfId="1379" priority="6893" operator="containsText" text="프로젝트">
      <formula>NOT(ISERROR(SEARCH(("프로젝트"),(L131))))</formula>
    </cfRule>
    <cfRule type="containsText" dxfId="1378" priority="6892" operator="containsText" text="기타">
      <formula>NOT(ISERROR(SEARCH(("기타"),(L131))))</formula>
    </cfRule>
    <cfRule type="containsText" dxfId="1377" priority="6894" operator="containsText" text="정규교과">
      <formula>NOT(ISERROR(SEARCH(("정규교과"),(L131))))</formula>
    </cfRule>
    <cfRule type="containsText" dxfId="1376" priority="6881" operator="containsText" text="프로젝트">
      <formula>NOT(ISERROR(SEARCH(("프로젝트"),(L131))))</formula>
    </cfRule>
    <cfRule type="containsText" dxfId="1375" priority="6882" operator="containsText" text="정규교과">
      <formula>NOT(ISERROR(SEARCH(("정규교과"),(L131))))</formula>
    </cfRule>
  </conditionalFormatting>
  <conditionalFormatting sqref="L135">
    <cfRule type="containsText" dxfId="1374" priority="6864" operator="containsText" text="휴강">
      <formula>NOT(ISERROR(SEARCH(("휴강"),(L135))))</formula>
    </cfRule>
    <cfRule type="containsText" dxfId="1373" priority="6877" operator="containsText" text="프로젝트">
      <formula>NOT(ISERROR(SEARCH(("프로젝트"),(L135))))</formula>
    </cfRule>
    <cfRule type="containsText" dxfId="1372" priority="6879" operator="containsText" text="기타">
      <formula>NOT(ISERROR(SEARCH(("기타"),(L135))))</formula>
    </cfRule>
    <cfRule type="containsText" dxfId="1371" priority="6878" operator="containsText" text="정규교과">
      <formula>NOT(ISERROR(SEARCH(("정규교과"),(L135))))</formula>
    </cfRule>
    <cfRule type="containsText" dxfId="1370" priority="6876" operator="containsText" text="기타">
      <formula>NOT(ISERROR(SEARCH(("기타"),(L135))))</formula>
    </cfRule>
    <cfRule type="containsText" dxfId="1369" priority="6875" operator="containsText" text="정규교과">
      <formula>NOT(ISERROR(SEARCH(("정규교과"),(L135))))</formula>
    </cfRule>
    <cfRule type="containsText" dxfId="1368" priority="6874" operator="containsText" text="프로젝트">
      <formula>NOT(ISERROR(SEARCH(("프로젝트"),(L135))))</formula>
    </cfRule>
    <cfRule type="containsText" dxfId="1367" priority="6873" operator="containsText" text="기타">
      <formula>NOT(ISERROR(SEARCH(("기타"),(L135))))</formula>
    </cfRule>
    <cfRule type="containsText" dxfId="1366" priority="6872" operator="containsText" text="정규교과">
      <formula>NOT(ISERROR(SEARCH(("정규교과"),(L135))))</formula>
    </cfRule>
    <cfRule type="containsText" dxfId="1365" priority="6871" operator="containsText" text="프로젝트">
      <formula>NOT(ISERROR(SEARCH(("프로젝트"),(L135))))</formula>
    </cfRule>
    <cfRule type="containsText" dxfId="1364" priority="6870" operator="containsText" text="기타">
      <formula>NOT(ISERROR(SEARCH(("기타"),(L135))))</formula>
    </cfRule>
    <cfRule type="containsText" dxfId="1363" priority="6869" operator="containsText" text="정규교과">
      <formula>NOT(ISERROR(SEARCH(("정규교과"),(L135))))</formula>
    </cfRule>
    <cfRule type="containsText" dxfId="1362" priority="6868" operator="containsText" text="프로젝트">
      <formula>NOT(ISERROR(SEARCH(("프로젝트"),(L135))))</formula>
    </cfRule>
    <cfRule type="containsText" dxfId="1361" priority="6867" operator="containsText" text="기타">
      <formula>NOT(ISERROR(SEARCH(("기타"),(L135))))</formula>
    </cfRule>
    <cfRule type="containsText" dxfId="1360" priority="6866" operator="containsText" text="정규교과">
      <formula>NOT(ISERROR(SEARCH(("정규교과"),(L135))))</formula>
    </cfRule>
    <cfRule type="containsText" dxfId="1359" priority="6865" operator="containsText" text="프로젝트">
      <formula>NOT(ISERROR(SEARCH(("프로젝트"),(L135))))</formula>
    </cfRule>
  </conditionalFormatting>
  <conditionalFormatting sqref="L139">
    <cfRule type="containsText" dxfId="1358" priority="6856" operator="containsText" text="정규교과">
      <formula>NOT(ISERROR(SEARCH(("정규교과"),(L139))))</formula>
    </cfRule>
    <cfRule type="containsText" dxfId="1357" priority="6853" operator="containsText" text="정규교과">
      <formula>NOT(ISERROR(SEARCH(("정규교과"),(L139))))</formula>
    </cfRule>
    <cfRule type="containsText" dxfId="1356" priority="6855" operator="containsText" text="프로젝트">
      <formula>NOT(ISERROR(SEARCH(("프로젝트"),(L139))))</formula>
    </cfRule>
    <cfRule type="containsText" dxfId="1355" priority="6863" operator="containsText" text="기타">
      <formula>NOT(ISERROR(SEARCH(("기타"),(L139))))</formula>
    </cfRule>
    <cfRule type="containsText" dxfId="1354" priority="6862" operator="containsText" text="정규교과">
      <formula>NOT(ISERROR(SEARCH(("정규교과"),(L139))))</formula>
    </cfRule>
    <cfRule type="containsText" dxfId="1353" priority="6861" operator="containsText" text="프로젝트">
      <formula>NOT(ISERROR(SEARCH(("프로젝트"),(L139))))</formula>
    </cfRule>
    <cfRule type="containsText" dxfId="1352" priority="6860" operator="containsText" text="기타">
      <formula>NOT(ISERROR(SEARCH(("기타"),(L139))))</formula>
    </cfRule>
    <cfRule type="containsText" dxfId="1351" priority="6859" operator="containsText" text="정규교과">
      <formula>NOT(ISERROR(SEARCH(("정규교과"),(L139))))</formula>
    </cfRule>
    <cfRule type="containsText" dxfId="1350" priority="6858" operator="containsText" text="프로젝트">
      <formula>NOT(ISERROR(SEARCH(("프로젝트"),(L139))))</formula>
    </cfRule>
    <cfRule type="containsText" dxfId="1349" priority="6857" operator="containsText" text="기타">
      <formula>NOT(ISERROR(SEARCH(("기타"),(L139))))</formula>
    </cfRule>
    <cfRule type="containsText" dxfId="1348" priority="6854" operator="containsText" text="기타">
      <formula>NOT(ISERROR(SEARCH(("기타"),(L139))))</formula>
    </cfRule>
    <cfRule type="containsText" dxfId="1347" priority="6852" operator="containsText" text="프로젝트">
      <formula>NOT(ISERROR(SEARCH(("프로젝트"),(L139))))</formula>
    </cfRule>
    <cfRule type="containsText" dxfId="1346" priority="6851" operator="containsText" text="기타">
      <formula>NOT(ISERROR(SEARCH(("기타"),(L139))))</formula>
    </cfRule>
    <cfRule type="containsText" dxfId="1345" priority="6850" operator="containsText" text="정규교과">
      <formula>NOT(ISERROR(SEARCH(("정규교과"),(L139))))</formula>
    </cfRule>
    <cfRule type="containsText" dxfId="1344" priority="6849" operator="containsText" text="프로젝트">
      <formula>NOT(ISERROR(SEARCH(("프로젝트"),(L139))))</formula>
    </cfRule>
    <cfRule type="containsText" dxfId="1343" priority="6848" operator="containsText" text="휴강">
      <formula>NOT(ISERROR(SEARCH(("휴강"),(L139))))</formula>
    </cfRule>
  </conditionalFormatting>
  <conditionalFormatting sqref="L145">
    <cfRule type="containsText" dxfId="1342" priority="6199" operator="containsText" text="프로젝트">
      <formula>NOT(ISERROR(SEARCH(("프로젝트"),(L145))))</formula>
    </cfRule>
    <cfRule type="containsText" dxfId="1341" priority="6207" operator="containsText" text="기타">
      <formula>NOT(ISERROR(SEARCH(("기타"),(L145))))</formula>
    </cfRule>
    <cfRule type="containsText" dxfId="1340" priority="6206" operator="containsText" text="정규교과">
      <formula>NOT(ISERROR(SEARCH(("정규교과"),(L145))))</formula>
    </cfRule>
    <cfRule type="containsText" dxfId="1339" priority="6201" operator="containsText" text="기타">
      <formula>NOT(ISERROR(SEARCH(("기타"),(L145))))</formula>
    </cfRule>
    <cfRule type="containsText" dxfId="1338" priority="6200" operator="containsText" text="정규교과">
      <formula>NOT(ISERROR(SEARCH(("정규교과"),(L145))))</formula>
    </cfRule>
    <cfRule type="containsText" dxfId="1337" priority="6203" operator="containsText" text="정규교과">
      <formula>NOT(ISERROR(SEARCH(("정규교과"),(L145))))</formula>
    </cfRule>
    <cfRule type="containsText" dxfId="1336" priority="6198" operator="containsText" text="기타">
      <formula>NOT(ISERROR(SEARCH(("기타"),(L145))))</formula>
    </cfRule>
    <cfRule type="containsText" dxfId="1335" priority="6204" operator="containsText" text="기타">
      <formula>NOT(ISERROR(SEARCH(("기타"),(L145))))</formula>
    </cfRule>
    <cfRule type="containsText" dxfId="1334" priority="6205" operator="containsText" text="프로젝트">
      <formula>NOT(ISERROR(SEARCH(("프로젝트"),(L145))))</formula>
    </cfRule>
    <cfRule type="containsText" dxfId="1333" priority="6197" operator="containsText" text="정규교과">
      <formula>NOT(ISERROR(SEARCH(("정규교과"),(L145))))</formula>
    </cfRule>
    <cfRule type="containsText" dxfId="1332" priority="6195" operator="containsText" text="기타">
      <formula>NOT(ISERROR(SEARCH(("기타"),(L145))))</formula>
    </cfRule>
    <cfRule type="containsText" dxfId="1331" priority="6194" operator="containsText" text="정규교과">
      <formula>NOT(ISERROR(SEARCH(("정규교과"),(L145))))</formula>
    </cfRule>
    <cfRule type="containsText" dxfId="1330" priority="6193" operator="containsText" text="프로젝트">
      <formula>NOT(ISERROR(SEARCH(("프로젝트"),(L145))))</formula>
    </cfRule>
    <cfRule type="containsText" dxfId="1329" priority="6192" operator="containsText" text="휴강">
      <formula>NOT(ISERROR(SEARCH(("휴강"),(L145))))</formula>
    </cfRule>
    <cfRule type="containsText" dxfId="1328" priority="6202" operator="containsText" text="프로젝트">
      <formula>NOT(ISERROR(SEARCH(("프로젝트"),(L145))))</formula>
    </cfRule>
    <cfRule type="containsText" dxfId="1327" priority="6196" operator="containsText" text="프로젝트">
      <formula>NOT(ISERROR(SEARCH(("프로젝트"),(L145))))</formula>
    </cfRule>
  </conditionalFormatting>
  <conditionalFormatting sqref="L149">
    <cfRule type="containsText" dxfId="1326" priority="6145" operator="containsText" text="프로젝트">
      <formula>NOT(ISERROR(SEARCH(("프로젝트"),(L149))))</formula>
    </cfRule>
    <cfRule type="containsText" dxfId="1325" priority="6144" operator="containsText" text="휴강">
      <formula>NOT(ISERROR(SEARCH(("휴강"),(L149))))</formula>
    </cfRule>
    <cfRule type="containsText" dxfId="1324" priority="6148" operator="containsText" text="프로젝트">
      <formula>NOT(ISERROR(SEARCH(("프로젝트"),(L149))))</formula>
    </cfRule>
    <cfRule type="containsText" dxfId="1323" priority="6157" operator="containsText" text="프로젝트">
      <formula>NOT(ISERROR(SEARCH(("프로젝트"),(L149))))</formula>
    </cfRule>
    <cfRule type="containsText" dxfId="1322" priority="6156" operator="containsText" text="기타">
      <formula>NOT(ISERROR(SEARCH(("기타"),(L149))))</formula>
    </cfRule>
    <cfRule type="containsText" dxfId="1321" priority="6149" operator="containsText" text="정규교과">
      <formula>NOT(ISERROR(SEARCH(("정규교과"),(L149))))</formula>
    </cfRule>
    <cfRule type="containsText" dxfId="1320" priority="6150" operator="containsText" text="기타">
      <formula>NOT(ISERROR(SEARCH(("기타"),(L149))))</formula>
    </cfRule>
    <cfRule type="containsText" dxfId="1319" priority="6151" operator="containsText" text="프로젝트">
      <formula>NOT(ISERROR(SEARCH(("프로젝트"),(L149))))</formula>
    </cfRule>
    <cfRule type="containsText" dxfId="1318" priority="6152" operator="containsText" text="정규교과">
      <formula>NOT(ISERROR(SEARCH(("정규교과"),(L149))))</formula>
    </cfRule>
    <cfRule type="containsText" dxfId="1317" priority="6147" operator="containsText" text="기타">
      <formula>NOT(ISERROR(SEARCH(("기타"),(L149))))</formula>
    </cfRule>
    <cfRule type="containsText" dxfId="1316" priority="6154" operator="containsText" text="프로젝트">
      <formula>NOT(ISERROR(SEARCH(("프로젝트"),(L149))))</formula>
    </cfRule>
    <cfRule type="containsText" dxfId="1315" priority="6155" operator="containsText" text="정규교과">
      <formula>NOT(ISERROR(SEARCH(("정규교과"),(L149))))</formula>
    </cfRule>
    <cfRule type="containsText" dxfId="1314" priority="6146" operator="containsText" text="정규교과">
      <formula>NOT(ISERROR(SEARCH(("정규교과"),(L149))))</formula>
    </cfRule>
    <cfRule type="containsText" dxfId="1313" priority="6159" operator="containsText" text="기타">
      <formula>NOT(ISERROR(SEARCH(("기타"),(L149))))</formula>
    </cfRule>
    <cfRule type="containsText" dxfId="1312" priority="6158" operator="containsText" text="정규교과">
      <formula>NOT(ISERROR(SEARCH(("정규교과"),(L149))))</formula>
    </cfRule>
    <cfRule type="containsText" dxfId="1311" priority="6153" operator="containsText" text="기타">
      <formula>NOT(ISERROR(SEARCH(("기타"),(L149))))</formula>
    </cfRule>
  </conditionalFormatting>
  <conditionalFormatting sqref="L153">
    <cfRule type="containsText" dxfId="1310" priority="6100" operator="containsText" text="프로젝트">
      <formula>NOT(ISERROR(SEARCH(("프로젝트"),(L153))))</formula>
    </cfRule>
    <cfRule type="containsText" dxfId="1309" priority="6098" operator="containsText" text="정규교과">
      <formula>NOT(ISERROR(SEARCH(("정규교과"),(L153))))</formula>
    </cfRule>
    <cfRule type="containsText" dxfId="1308" priority="6096" operator="containsText" text="휴강">
      <formula>NOT(ISERROR(SEARCH(("휴강"),(L153))))</formula>
    </cfRule>
    <cfRule type="containsText" dxfId="1307" priority="6099" operator="containsText" text="기타">
      <formula>NOT(ISERROR(SEARCH(("기타"),(L153))))</formula>
    </cfRule>
    <cfRule type="containsText" dxfId="1306" priority="6101" operator="containsText" text="정규교과">
      <formula>NOT(ISERROR(SEARCH(("정규교과"),(L153))))</formula>
    </cfRule>
    <cfRule type="containsText" dxfId="1305" priority="6102" operator="containsText" text="기타">
      <formula>NOT(ISERROR(SEARCH(("기타"),(L153))))</formula>
    </cfRule>
    <cfRule type="containsText" dxfId="1304" priority="6103" operator="containsText" text="프로젝트">
      <formula>NOT(ISERROR(SEARCH(("프로젝트"),(L153))))</formula>
    </cfRule>
    <cfRule type="containsText" dxfId="1303" priority="6104" operator="containsText" text="정규교과">
      <formula>NOT(ISERROR(SEARCH(("정규교과"),(L153))))</formula>
    </cfRule>
    <cfRule type="containsText" dxfId="1302" priority="6105" operator="containsText" text="기타">
      <formula>NOT(ISERROR(SEARCH(("기타"),(L153))))</formula>
    </cfRule>
    <cfRule type="containsText" dxfId="1301" priority="6106" operator="containsText" text="프로젝트">
      <formula>NOT(ISERROR(SEARCH(("프로젝트"),(L153))))</formula>
    </cfRule>
    <cfRule type="containsText" dxfId="1300" priority="6107" operator="containsText" text="정규교과">
      <formula>NOT(ISERROR(SEARCH(("정규교과"),(L153))))</formula>
    </cfRule>
    <cfRule type="containsText" dxfId="1299" priority="6108" operator="containsText" text="기타">
      <formula>NOT(ISERROR(SEARCH(("기타"),(L153))))</formula>
    </cfRule>
    <cfRule type="containsText" dxfId="1298" priority="6109" operator="containsText" text="프로젝트">
      <formula>NOT(ISERROR(SEARCH(("프로젝트"),(L153))))</formula>
    </cfRule>
    <cfRule type="containsText" dxfId="1297" priority="6110" operator="containsText" text="정규교과">
      <formula>NOT(ISERROR(SEARCH(("정규교과"),(L153))))</formula>
    </cfRule>
    <cfRule type="containsText" dxfId="1296" priority="6111" operator="containsText" text="기타">
      <formula>NOT(ISERROR(SEARCH(("기타"),(L153))))</formula>
    </cfRule>
    <cfRule type="containsText" dxfId="1295" priority="6097" operator="containsText" text="프로젝트">
      <formula>NOT(ISERROR(SEARCH(("프로젝트"),(L153))))</formula>
    </cfRule>
  </conditionalFormatting>
  <conditionalFormatting sqref="L158">
    <cfRule type="containsText" dxfId="1294" priority="6048" operator="containsText" text="휴강">
      <formula>NOT(ISERROR(SEARCH(("휴강"),(L158))))</formula>
    </cfRule>
    <cfRule type="containsText" dxfId="1293" priority="6049" operator="containsText" text="프로젝트">
      <formula>NOT(ISERROR(SEARCH(("프로젝트"),(L158))))</formula>
    </cfRule>
    <cfRule type="containsText" dxfId="1292" priority="6050" operator="containsText" text="정규교과">
      <formula>NOT(ISERROR(SEARCH(("정규교과"),(L158))))</formula>
    </cfRule>
    <cfRule type="containsText" dxfId="1291" priority="6051" operator="containsText" text="기타">
      <formula>NOT(ISERROR(SEARCH(("기타"),(L158))))</formula>
    </cfRule>
    <cfRule type="containsText" dxfId="1290" priority="6052" operator="containsText" text="프로젝트">
      <formula>NOT(ISERROR(SEARCH(("프로젝트"),(L158))))</formula>
    </cfRule>
    <cfRule type="containsText" dxfId="1289" priority="6053" operator="containsText" text="정규교과">
      <formula>NOT(ISERROR(SEARCH(("정규교과"),(L158))))</formula>
    </cfRule>
    <cfRule type="containsText" dxfId="1288" priority="6054" operator="containsText" text="기타">
      <formula>NOT(ISERROR(SEARCH(("기타"),(L158))))</formula>
    </cfRule>
    <cfRule type="containsText" dxfId="1287" priority="6055" operator="containsText" text="프로젝트">
      <formula>NOT(ISERROR(SEARCH(("프로젝트"),(L158))))</formula>
    </cfRule>
    <cfRule type="containsText" dxfId="1286" priority="6056" operator="containsText" text="정규교과">
      <formula>NOT(ISERROR(SEARCH(("정규교과"),(L158))))</formula>
    </cfRule>
    <cfRule type="containsText" dxfId="1285" priority="6057" operator="containsText" text="기타">
      <formula>NOT(ISERROR(SEARCH(("기타"),(L158))))</formula>
    </cfRule>
    <cfRule type="containsText" dxfId="1284" priority="6058" operator="containsText" text="프로젝트">
      <formula>NOT(ISERROR(SEARCH(("프로젝트"),(L158))))</formula>
    </cfRule>
    <cfRule type="containsText" dxfId="1283" priority="6059" operator="containsText" text="정규교과">
      <formula>NOT(ISERROR(SEARCH(("정규교과"),(L158))))</formula>
    </cfRule>
    <cfRule type="containsText" dxfId="1282" priority="6060" operator="containsText" text="기타">
      <formula>NOT(ISERROR(SEARCH(("기타"),(L158))))</formula>
    </cfRule>
    <cfRule type="containsText" dxfId="1281" priority="6061" operator="containsText" text="프로젝트">
      <formula>NOT(ISERROR(SEARCH(("프로젝트"),(L158))))</formula>
    </cfRule>
    <cfRule type="containsText" dxfId="1280" priority="6062" operator="containsText" text="정규교과">
      <formula>NOT(ISERROR(SEARCH(("정규교과"),(L158))))</formula>
    </cfRule>
    <cfRule type="containsText" dxfId="1279" priority="6063" operator="containsText" text="기타">
      <formula>NOT(ISERROR(SEARCH(("기타"),(L158))))</formula>
    </cfRule>
  </conditionalFormatting>
  <conditionalFormatting sqref="L162">
    <cfRule type="containsText" dxfId="1278" priority="6000" operator="containsText" text="휴강">
      <formula>NOT(ISERROR(SEARCH(("휴강"),(L162))))</formula>
    </cfRule>
    <cfRule type="containsText" dxfId="1277" priority="6001" operator="containsText" text="프로젝트">
      <formula>NOT(ISERROR(SEARCH(("프로젝트"),(L162))))</formula>
    </cfRule>
    <cfRule type="containsText" dxfId="1276" priority="6002" operator="containsText" text="정규교과">
      <formula>NOT(ISERROR(SEARCH(("정규교과"),(L162))))</formula>
    </cfRule>
    <cfRule type="containsText" dxfId="1275" priority="6007" operator="containsText" text="프로젝트">
      <formula>NOT(ISERROR(SEARCH(("프로젝트"),(L162))))</formula>
    </cfRule>
    <cfRule type="containsText" dxfId="1274" priority="6003" operator="containsText" text="기타">
      <formula>NOT(ISERROR(SEARCH(("기타"),(L162))))</formula>
    </cfRule>
    <cfRule type="containsText" dxfId="1273" priority="6004" operator="containsText" text="프로젝트">
      <formula>NOT(ISERROR(SEARCH(("프로젝트"),(L162))))</formula>
    </cfRule>
    <cfRule type="containsText" dxfId="1272" priority="6005" operator="containsText" text="정규교과">
      <formula>NOT(ISERROR(SEARCH(("정규교과"),(L162))))</formula>
    </cfRule>
    <cfRule type="containsText" dxfId="1271" priority="6006" operator="containsText" text="기타">
      <formula>NOT(ISERROR(SEARCH(("기타"),(L162))))</formula>
    </cfRule>
    <cfRule type="containsText" dxfId="1270" priority="6008" operator="containsText" text="정규교과">
      <formula>NOT(ISERROR(SEARCH(("정규교과"),(L162))))</formula>
    </cfRule>
    <cfRule type="containsText" dxfId="1269" priority="6009" operator="containsText" text="기타">
      <formula>NOT(ISERROR(SEARCH(("기타"),(L162))))</formula>
    </cfRule>
    <cfRule type="containsText" dxfId="1268" priority="6010" operator="containsText" text="프로젝트">
      <formula>NOT(ISERROR(SEARCH(("프로젝트"),(L162))))</formula>
    </cfRule>
    <cfRule type="containsText" dxfId="1267" priority="6011" operator="containsText" text="정규교과">
      <formula>NOT(ISERROR(SEARCH(("정규교과"),(L162))))</formula>
    </cfRule>
    <cfRule type="containsText" dxfId="1266" priority="6012" operator="containsText" text="기타">
      <formula>NOT(ISERROR(SEARCH(("기타"),(L162))))</formula>
    </cfRule>
    <cfRule type="containsText" dxfId="1265" priority="6013" operator="containsText" text="프로젝트">
      <formula>NOT(ISERROR(SEARCH(("프로젝트"),(L162))))</formula>
    </cfRule>
    <cfRule type="containsText" dxfId="1264" priority="6014" operator="containsText" text="정규교과">
      <formula>NOT(ISERROR(SEARCH(("정규교과"),(L162))))</formula>
    </cfRule>
    <cfRule type="containsText" dxfId="1263" priority="6015" operator="containsText" text="기타">
      <formula>NOT(ISERROR(SEARCH(("기타"),(L162))))</formula>
    </cfRule>
  </conditionalFormatting>
  <conditionalFormatting sqref="L166">
    <cfRule type="containsText" dxfId="1262" priority="5955" operator="containsText" text="기타">
      <formula>NOT(ISERROR(SEARCH(("기타"),(L166))))</formula>
    </cfRule>
    <cfRule type="containsText" dxfId="1261" priority="5956" operator="containsText" text="프로젝트">
      <formula>NOT(ISERROR(SEARCH(("프로젝트"),(L166))))</formula>
    </cfRule>
    <cfRule type="containsText" dxfId="1260" priority="5957" operator="containsText" text="정규교과">
      <formula>NOT(ISERROR(SEARCH(("정규교과"),(L166))))</formula>
    </cfRule>
    <cfRule type="containsText" dxfId="1259" priority="5958" operator="containsText" text="기타">
      <formula>NOT(ISERROR(SEARCH(("기타"),(L166))))</formula>
    </cfRule>
    <cfRule type="containsText" dxfId="1258" priority="5959" operator="containsText" text="프로젝트">
      <formula>NOT(ISERROR(SEARCH(("프로젝트"),(L166))))</formula>
    </cfRule>
    <cfRule type="containsText" dxfId="1257" priority="5960" operator="containsText" text="정규교과">
      <formula>NOT(ISERROR(SEARCH(("정규교과"),(L166))))</formula>
    </cfRule>
    <cfRule type="containsText" dxfId="1256" priority="5961" operator="containsText" text="기타">
      <formula>NOT(ISERROR(SEARCH(("기타"),(L166))))</formula>
    </cfRule>
    <cfRule type="containsText" dxfId="1255" priority="5963" operator="containsText" text="정규교과">
      <formula>NOT(ISERROR(SEARCH(("정규교과"),(L166))))</formula>
    </cfRule>
    <cfRule type="containsText" dxfId="1254" priority="5964" operator="containsText" text="기타">
      <formula>NOT(ISERROR(SEARCH(("기타"),(L166))))</formula>
    </cfRule>
    <cfRule type="containsText" dxfId="1253" priority="5965" operator="containsText" text="프로젝트">
      <formula>NOT(ISERROR(SEARCH(("프로젝트"),(L166))))</formula>
    </cfRule>
    <cfRule type="containsText" dxfId="1252" priority="5966" operator="containsText" text="정규교과">
      <formula>NOT(ISERROR(SEARCH(("정규교과"),(L166))))</formula>
    </cfRule>
    <cfRule type="containsText" dxfId="1251" priority="5967" operator="containsText" text="기타">
      <formula>NOT(ISERROR(SEARCH(("기타"),(L166))))</formula>
    </cfRule>
    <cfRule type="containsText" dxfId="1250" priority="5962" operator="containsText" text="프로젝트">
      <formula>NOT(ISERROR(SEARCH(("프로젝트"),(L166))))</formula>
    </cfRule>
    <cfRule type="containsText" dxfId="1249" priority="5952" operator="containsText" text="휴강">
      <formula>NOT(ISERROR(SEARCH(("휴강"),(L166))))</formula>
    </cfRule>
    <cfRule type="containsText" dxfId="1248" priority="5953" operator="containsText" text="프로젝트">
      <formula>NOT(ISERROR(SEARCH(("프로젝트"),(L166))))</formula>
    </cfRule>
    <cfRule type="containsText" dxfId="1247" priority="5954" operator="containsText" text="정규교과">
      <formula>NOT(ISERROR(SEARCH(("정규교과"),(L166))))</formula>
    </cfRule>
  </conditionalFormatting>
  <conditionalFormatting sqref="L170">
    <cfRule type="containsText" dxfId="1246" priority="5916" operator="containsText" text="기타">
      <formula>NOT(ISERROR(SEARCH(("기타"),(L170))))</formula>
    </cfRule>
    <cfRule type="containsText" dxfId="1245" priority="5918" operator="containsText" text="정규교과">
      <formula>NOT(ISERROR(SEARCH(("정규교과"),(L170))))</formula>
    </cfRule>
    <cfRule type="containsText" dxfId="1244" priority="5904" operator="containsText" text="휴강">
      <formula>NOT(ISERROR(SEARCH(("휴강"),(L170))))</formula>
    </cfRule>
    <cfRule type="containsText" dxfId="1243" priority="5905" operator="containsText" text="프로젝트">
      <formula>NOT(ISERROR(SEARCH(("프로젝트"),(L170))))</formula>
    </cfRule>
    <cfRule type="containsText" dxfId="1242" priority="5906" operator="containsText" text="정규교과">
      <formula>NOT(ISERROR(SEARCH(("정규교과"),(L170))))</formula>
    </cfRule>
    <cfRule type="containsText" dxfId="1241" priority="5907" operator="containsText" text="기타">
      <formula>NOT(ISERROR(SEARCH(("기타"),(L170))))</formula>
    </cfRule>
    <cfRule type="containsText" dxfId="1240" priority="5913" operator="containsText" text="기타">
      <formula>NOT(ISERROR(SEARCH(("기타"),(L170))))</formula>
    </cfRule>
    <cfRule type="containsText" dxfId="1239" priority="5908" operator="containsText" text="프로젝트">
      <formula>NOT(ISERROR(SEARCH(("프로젝트"),(L170))))</formula>
    </cfRule>
    <cfRule type="containsText" dxfId="1238" priority="5909" operator="containsText" text="정규교과">
      <formula>NOT(ISERROR(SEARCH(("정규교과"),(L170))))</formula>
    </cfRule>
    <cfRule type="containsText" dxfId="1237" priority="5910" operator="containsText" text="기타">
      <formula>NOT(ISERROR(SEARCH(("기타"),(L170))))</formula>
    </cfRule>
    <cfRule type="containsText" dxfId="1236" priority="5911" operator="containsText" text="프로젝트">
      <formula>NOT(ISERROR(SEARCH(("프로젝트"),(L170))))</formula>
    </cfRule>
    <cfRule type="containsText" dxfId="1235" priority="5912" operator="containsText" text="정규교과">
      <formula>NOT(ISERROR(SEARCH(("정규교과"),(L170))))</formula>
    </cfRule>
    <cfRule type="containsText" dxfId="1234" priority="5919" operator="containsText" text="기타">
      <formula>NOT(ISERROR(SEARCH(("기타"),(L170))))</formula>
    </cfRule>
    <cfRule type="containsText" dxfId="1233" priority="5914" operator="containsText" text="프로젝트">
      <formula>NOT(ISERROR(SEARCH(("프로젝트"),(L170))))</formula>
    </cfRule>
    <cfRule type="containsText" dxfId="1232" priority="5915" operator="containsText" text="정규교과">
      <formula>NOT(ISERROR(SEARCH(("정규교과"),(L170))))</formula>
    </cfRule>
    <cfRule type="containsText" dxfId="1231" priority="5917" operator="containsText" text="프로젝트">
      <formula>NOT(ISERROR(SEARCH(("프로젝트"),(L170))))</formula>
    </cfRule>
  </conditionalFormatting>
  <conditionalFormatting sqref="L174">
    <cfRule type="containsText" dxfId="1230" priority="5862" operator="containsText" text="기타">
      <formula>NOT(ISERROR(SEARCH(("기타"),(L174))))</formula>
    </cfRule>
    <cfRule type="containsText" dxfId="1229" priority="5870" operator="containsText" text="정규교과">
      <formula>NOT(ISERROR(SEARCH(("정규교과"),(L174))))</formula>
    </cfRule>
    <cfRule type="containsText" dxfId="1228" priority="5860" operator="containsText" text="프로젝트">
      <formula>NOT(ISERROR(SEARCH(("프로젝트"),(L174))))</formula>
    </cfRule>
    <cfRule type="containsText" dxfId="1227" priority="5856" operator="containsText" text="휴강">
      <formula>NOT(ISERROR(SEARCH(("휴강"),(L174))))</formula>
    </cfRule>
    <cfRule type="containsText" dxfId="1226" priority="5857" operator="containsText" text="프로젝트">
      <formula>NOT(ISERROR(SEARCH(("프로젝트"),(L174))))</formula>
    </cfRule>
    <cfRule type="containsText" dxfId="1225" priority="5858" operator="containsText" text="정규교과">
      <formula>NOT(ISERROR(SEARCH(("정규교과"),(L174))))</formula>
    </cfRule>
    <cfRule type="containsText" dxfId="1224" priority="5859" operator="containsText" text="기타">
      <formula>NOT(ISERROR(SEARCH(("기타"),(L174))))</formula>
    </cfRule>
    <cfRule type="containsText" dxfId="1223" priority="5861" operator="containsText" text="정규교과">
      <formula>NOT(ISERROR(SEARCH(("정규교과"),(L174))))</formula>
    </cfRule>
    <cfRule type="containsText" dxfId="1222" priority="5864" operator="containsText" text="정규교과">
      <formula>NOT(ISERROR(SEARCH(("정규교과"),(L174))))</formula>
    </cfRule>
    <cfRule type="containsText" dxfId="1221" priority="5865" operator="containsText" text="기타">
      <formula>NOT(ISERROR(SEARCH(("기타"),(L174))))</formula>
    </cfRule>
    <cfRule type="containsText" dxfId="1220" priority="5867" operator="containsText" text="정규교과">
      <formula>NOT(ISERROR(SEARCH(("정규교과"),(L174))))</formula>
    </cfRule>
    <cfRule type="containsText" dxfId="1219" priority="5866" operator="containsText" text="프로젝트">
      <formula>NOT(ISERROR(SEARCH(("프로젝트"),(L174))))</formula>
    </cfRule>
    <cfRule type="containsText" dxfId="1218" priority="5871" operator="containsText" text="기타">
      <formula>NOT(ISERROR(SEARCH(("기타"),(L174))))</formula>
    </cfRule>
    <cfRule type="containsText" dxfId="1217" priority="5868" operator="containsText" text="기타">
      <formula>NOT(ISERROR(SEARCH(("기타"),(L174))))</formula>
    </cfRule>
    <cfRule type="containsText" dxfId="1216" priority="5863" operator="containsText" text="프로젝트">
      <formula>NOT(ISERROR(SEARCH(("프로젝트"),(L174))))</formula>
    </cfRule>
    <cfRule type="containsText" dxfId="1215" priority="5869" operator="containsText" text="프로젝트">
      <formula>NOT(ISERROR(SEARCH(("프로젝트"),(L174))))</formula>
    </cfRule>
  </conditionalFormatting>
  <conditionalFormatting sqref="L184">
    <cfRule type="containsText" dxfId="1214" priority="5007" operator="containsText" text="기타">
      <formula>NOT(ISERROR(SEARCH(("기타"),(L184))))</formula>
    </cfRule>
    <cfRule type="containsText" dxfId="1213" priority="4993" operator="containsText" text="프로젝트">
      <formula>NOT(ISERROR(SEARCH(("프로젝트"),(L184))))</formula>
    </cfRule>
    <cfRule type="containsText" dxfId="1212" priority="5001" operator="containsText" text="기타">
      <formula>NOT(ISERROR(SEARCH(("기타"),(L184))))</formula>
    </cfRule>
    <cfRule type="containsText" dxfId="1211" priority="4992" operator="containsText" text="휴강">
      <formula>NOT(ISERROR(SEARCH(("휴강"),(L184))))</formula>
    </cfRule>
    <cfRule type="containsText" dxfId="1210" priority="5003" operator="containsText" text="정규교과">
      <formula>NOT(ISERROR(SEARCH(("정규교과"),(L184))))</formula>
    </cfRule>
    <cfRule type="containsText" dxfId="1209" priority="5004" operator="containsText" text="기타">
      <formula>NOT(ISERROR(SEARCH(("기타"),(L184))))</formula>
    </cfRule>
    <cfRule type="containsText" dxfId="1208" priority="5005" operator="containsText" text="프로젝트">
      <formula>NOT(ISERROR(SEARCH(("프로젝트"),(L184))))</formula>
    </cfRule>
    <cfRule type="containsText" dxfId="1207" priority="5006" operator="containsText" text="정규교과">
      <formula>NOT(ISERROR(SEARCH(("정규교과"),(L184))))</formula>
    </cfRule>
    <cfRule type="containsText" dxfId="1206" priority="4994" operator="containsText" text="정규교과">
      <formula>NOT(ISERROR(SEARCH(("정규교과"),(L184))))</formula>
    </cfRule>
    <cfRule type="containsText" dxfId="1205" priority="4995" operator="containsText" text="기타">
      <formula>NOT(ISERROR(SEARCH(("기타"),(L184))))</formula>
    </cfRule>
    <cfRule type="containsText" dxfId="1204" priority="4996" operator="containsText" text="프로젝트">
      <formula>NOT(ISERROR(SEARCH(("프로젝트"),(L184))))</formula>
    </cfRule>
    <cfRule type="containsText" dxfId="1203" priority="4997" operator="containsText" text="정규교과">
      <formula>NOT(ISERROR(SEARCH(("정규교과"),(L184))))</formula>
    </cfRule>
    <cfRule type="containsText" dxfId="1202" priority="4998" operator="containsText" text="기타">
      <formula>NOT(ISERROR(SEARCH(("기타"),(L184))))</formula>
    </cfRule>
    <cfRule type="containsText" dxfId="1201" priority="4999" operator="containsText" text="프로젝트">
      <formula>NOT(ISERROR(SEARCH(("프로젝트"),(L184))))</formula>
    </cfRule>
    <cfRule type="containsText" dxfId="1200" priority="5000" operator="containsText" text="정규교과">
      <formula>NOT(ISERROR(SEARCH(("정규교과"),(L184))))</formula>
    </cfRule>
    <cfRule type="containsText" dxfId="1199" priority="5002" operator="containsText" text="프로젝트">
      <formula>NOT(ISERROR(SEARCH(("프로젝트"),(L184))))</formula>
    </cfRule>
  </conditionalFormatting>
  <conditionalFormatting sqref="L188">
    <cfRule type="containsText" dxfId="1198" priority="4989" operator="containsText" text="프로젝트">
      <formula>NOT(ISERROR(SEARCH(("프로젝트"),(L188))))</formula>
    </cfRule>
    <cfRule type="containsText" dxfId="1197" priority="4988" operator="containsText" text="기타">
      <formula>NOT(ISERROR(SEARCH(("기타"),(L188))))</formula>
    </cfRule>
    <cfRule type="containsText" dxfId="1196" priority="4987" operator="containsText" text="정규교과">
      <formula>NOT(ISERROR(SEARCH(("정규교과"),(L188))))</formula>
    </cfRule>
    <cfRule type="containsText" dxfId="1195" priority="4986" operator="containsText" text="프로젝트">
      <formula>NOT(ISERROR(SEARCH(("프로젝트"),(L188))))</formula>
    </cfRule>
    <cfRule type="containsText" dxfId="1194" priority="4985" operator="containsText" text="기타">
      <formula>NOT(ISERROR(SEARCH(("기타"),(L188))))</formula>
    </cfRule>
    <cfRule type="containsText" dxfId="1193" priority="4984" operator="containsText" text="정규교과">
      <formula>NOT(ISERROR(SEARCH(("정규교과"),(L188))))</formula>
    </cfRule>
    <cfRule type="containsText" dxfId="1192" priority="4983" operator="containsText" text="프로젝트">
      <formula>NOT(ISERROR(SEARCH(("프로젝트"),(L188))))</formula>
    </cfRule>
    <cfRule type="containsText" dxfId="1191" priority="4982" operator="containsText" text="기타">
      <formula>NOT(ISERROR(SEARCH(("기타"),(L188))))</formula>
    </cfRule>
    <cfRule type="containsText" dxfId="1190" priority="4981" operator="containsText" text="정규교과">
      <formula>NOT(ISERROR(SEARCH(("정규교과"),(L188))))</formula>
    </cfRule>
    <cfRule type="containsText" dxfId="1189" priority="4980" operator="containsText" text="프로젝트">
      <formula>NOT(ISERROR(SEARCH(("프로젝트"),(L188))))</formula>
    </cfRule>
    <cfRule type="containsText" dxfId="1188" priority="4979" operator="containsText" text="기타">
      <formula>NOT(ISERROR(SEARCH(("기타"),(L188))))</formula>
    </cfRule>
    <cfRule type="containsText" dxfId="1187" priority="4978" operator="containsText" text="정규교과">
      <formula>NOT(ISERROR(SEARCH(("정규교과"),(L188))))</formula>
    </cfRule>
    <cfRule type="containsText" dxfId="1186" priority="4977" operator="containsText" text="프로젝트">
      <formula>NOT(ISERROR(SEARCH(("프로젝트"),(L188))))</formula>
    </cfRule>
    <cfRule type="containsText" dxfId="1185" priority="4976" operator="containsText" text="휴강">
      <formula>NOT(ISERROR(SEARCH(("휴강"),(L188))))</formula>
    </cfRule>
    <cfRule type="containsText" dxfId="1184" priority="4990" operator="containsText" text="정규교과">
      <formula>NOT(ISERROR(SEARCH(("정규교과"),(L188))))</formula>
    </cfRule>
    <cfRule type="containsText" dxfId="1183" priority="4991" operator="containsText" text="기타">
      <formula>NOT(ISERROR(SEARCH(("기타"),(L188))))</formula>
    </cfRule>
  </conditionalFormatting>
  <conditionalFormatting sqref="L193">
    <cfRule type="containsText" dxfId="1182" priority="4975" operator="containsText" text="기타">
      <formula>NOT(ISERROR(SEARCH(("기타"),(L193))))</formula>
    </cfRule>
    <cfRule type="containsText" dxfId="1181" priority="4974" operator="containsText" text="정규교과">
      <formula>NOT(ISERROR(SEARCH(("정규교과"),(L193))))</formula>
    </cfRule>
    <cfRule type="containsText" dxfId="1180" priority="4972" operator="containsText" text="기타">
      <formula>NOT(ISERROR(SEARCH(("기타"),(L193))))</formula>
    </cfRule>
    <cfRule type="containsText" dxfId="1179" priority="4971" operator="containsText" text="정규교과">
      <formula>NOT(ISERROR(SEARCH(("정규교과"),(L193))))</formula>
    </cfRule>
    <cfRule type="containsText" dxfId="1178" priority="4970" operator="containsText" text="프로젝트">
      <formula>NOT(ISERROR(SEARCH(("프로젝트"),(L193))))</formula>
    </cfRule>
    <cfRule type="containsText" dxfId="1177" priority="4969" operator="containsText" text="기타">
      <formula>NOT(ISERROR(SEARCH(("기타"),(L193))))</formula>
    </cfRule>
    <cfRule type="containsText" dxfId="1176" priority="4968" operator="containsText" text="정규교과">
      <formula>NOT(ISERROR(SEARCH(("정규교과"),(L193))))</formula>
    </cfRule>
    <cfRule type="containsText" dxfId="1175" priority="4967" operator="containsText" text="프로젝트">
      <formula>NOT(ISERROR(SEARCH(("프로젝트"),(L193))))</formula>
    </cfRule>
    <cfRule type="containsText" dxfId="1174" priority="4962" operator="containsText" text="정규교과">
      <formula>NOT(ISERROR(SEARCH(("정규교과"),(L193))))</formula>
    </cfRule>
    <cfRule type="containsText" dxfId="1173" priority="4963" operator="containsText" text="기타">
      <formula>NOT(ISERROR(SEARCH(("기타"),(L193))))</formula>
    </cfRule>
    <cfRule type="containsText" dxfId="1172" priority="4964" operator="containsText" text="프로젝트">
      <formula>NOT(ISERROR(SEARCH(("프로젝트"),(L193))))</formula>
    </cfRule>
    <cfRule type="containsText" dxfId="1171" priority="4965" operator="containsText" text="정규교과">
      <formula>NOT(ISERROR(SEARCH(("정규교과"),(L193))))</formula>
    </cfRule>
    <cfRule type="containsText" dxfId="1170" priority="4966" operator="containsText" text="기타">
      <formula>NOT(ISERROR(SEARCH(("기타"),(L193))))</formula>
    </cfRule>
    <cfRule type="containsText" dxfId="1169" priority="4960" operator="containsText" text="휴강">
      <formula>NOT(ISERROR(SEARCH(("휴강"),(L193))))</formula>
    </cfRule>
    <cfRule type="containsText" dxfId="1168" priority="4973" operator="containsText" text="프로젝트">
      <formula>NOT(ISERROR(SEARCH(("프로젝트"),(L193))))</formula>
    </cfRule>
    <cfRule type="containsText" dxfId="1167" priority="4961" operator="containsText" text="프로젝트">
      <formula>NOT(ISERROR(SEARCH(("프로젝트"),(L193))))</formula>
    </cfRule>
  </conditionalFormatting>
  <conditionalFormatting sqref="L201">
    <cfRule type="containsText" dxfId="1166" priority="4957" operator="containsText" text="프로젝트">
      <formula>NOT(ISERROR(SEARCH(("프로젝트"),(L201))))</formula>
    </cfRule>
    <cfRule type="containsText" dxfId="1165" priority="4951" operator="containsText" text="프로젝트">
      <formula>NOT(ISERROR(SEARCH(("프로젝트"),(L201))))</formula>
    </cfRule>
    <cfRule type="containsText" dxfId="1164" priority="4950" operator="containsText" text="기타">
      <formula>NOT(ISERROR(SEARCH(("기타"),(L201))))</formula>
    </cfRule>
    <cfRule type="containsText" dxfId="1163" priority="4958" operator="containsText" text="정규교과">
      <formula>NOT(ISERROR(SEARCH(("정규교과"),(L201))))</formula>
    </cfRule>
    <cfRule type="containsText" dxfId="1162" priority="4949" operator="containsText" text="정규교과">
      <formula>NOT(ISERROR(SEARCH(("정규교과"),(L201))))</formula>
    </cfRule>
    <cfRule type="containsText" dxfId="1161" priority="4948" operator="containsText" text="프로젝트">
      <formula>NOT(ISERROR(SEARCH(("프로젝트"),(L201))))</formula>
    </cfRule>
    <cfRule type="containsText" dxfId="1160" priority="4952" operator="containsText" text="정규교과">
      <formula>NOT(ISERROR(SEARCH(("정규교과"),(L201))))</formula>
    </cfRule>
    <cfRule type="containsText" dxfId="1159" priority="4953" operator="containsText" text="기타">
      <formula>NOT(ISERROR(SEARCH(("기타"),(L201))))</formula>
    </cfRule>
    <cfRule type="containsText" dxfId="1158" priority="4954" operator="containsText" text="프로젝트">
      <formula>NOT(ISERROR(SEARCH(("프로젝트"),(L201))))</formula>
    </cfRule>
    <cfRule type="containsText" dxfId="1157" priority="4955" operator="containsText" text="정규교과">
      <formula>NOT(ISERROR(SEARCH(("정규교과"),(L201))))</formula>
    </cfRule>
    <cfRule type="containsText" dxfId="1156" priority="4956" operator="containsText" text="기타">
      <formula>NOT(ISERROR(SEARCH(("기타"),(L201))))</formula>
    </cfRule>
    <cfRule type="containsText" dxfId="1155" priority="4959" operator="containsText" text="기타">
      <formula>NOT(ISERROR(SEARCH(("기타"),(L201))))</formula>
    </cfRule>
  </conditionalFormatting>
  <conditionalFormatting sqref="L205">
    <cfRule type="containsText" dxfId="1154" priority="4942" operator="containsText" text="프로젝트">
      <formula>NOT(ISERROR(SEARCH(("프로젝트"),(L205))))</formula>
    </cfRule>
    <cfRule type="containsText" dxfId="1153" priority="4944" operator="containsText" text="기타">
      <formula>NOT(ISERROR(SEARCH(("기타"),(L205))))</formula>
    </cfRule>
    <cfRule type="containsText" dxfId="1152" priority="4947" operator="containsText" text="기타">
      <formula>NOT(ISERROR(SEARCH(("기타"),(L205))))</formula>
    </cfRule>
    <cfRule type="containsText" dxfId="1151" priority="4946" operator="containsText" text="정규교과">
      <formula>NOT(ISERROR(SEARCH(("정규교과"),(L205))))</formula>
    </cfRule>
    <cfRule type="containsText" dxfId="1150" priority="4943" operator="containsText" text="정규교과">
      <formula>NOT(ISERROR(SEARCH(("정규교과"),(L205))))</formula>
    </cfRule>
    <cfRule type="containsText" dxfId="1149" priority="4937" operator="containsText" text="정규교과">
      <formula>NOT(ISERROR(SEARCH(("정규교과"),(L205))))</formula>
    </cfRule>
    <cfRule type="containsText" dxfId="1148" priority="4945" operator="containsText" text="프로젝트">
      <formula>NOT(ISERROR(SEARCH(("프로젝트"),(L205))))</formula>
    </cfRule>
    <cfRule type="containsText" dxfId="1147" priority="4938" operator="containsText" text="기타">
      <formula>NOT(ISERROR(SEARCH(("기타"),(L205))))</formula>
    </cfRule>
    <cfRule type="containsText" dxfId="1146" priority="4939" operator="containsText" text="프로젝트">
      <formula>NOT(ISERROR(SEARCH(("프로젝트"),(L205))))</formula>
    </cfRule>
    <cfRule type="containsText" dxfId="1145" priority="4940" operator="containsText" text="정규교과">
      <formula>NOT(ISERROR(SEARCH(("정규교과"),(L205))))</formula>
    </cfRule>
    <cfRule type="containsText" dxfId="1144" priority="4941" operator="containsText" text="기타">
      <formula>NOT(ISERROR(SEARCH(("기타"),(L205))))</formula>
    </cfRule>
    <cfRule type="containsText" dxfId="1143" priority="4936" operator="containsText" text="프로젝트">
      <formula>NOT(ISERROR(SEARCH(("프로젝트"),(L205))))</formula>
    </cfRule>
  </conditionalFormatting>
  <conditionalFormatting sqref="L209">
    <cfRule type="containsText" dxfId="1142" priority="4926" operator="containsText" text="기타">
      <formula>NOT(ISERROR(SEARCH(("기타"),(L209))))</formula>
    </cfRule>
    <cfRule type="containsText" dxfId="1141" priority="4927" operator="containsText" text="프로젝트">
      <formula>NOT(ISERROR(SEARCH(("프로젝트"),(L209))))</formula>
    </cfRule>
    <cfRule type="containsText" dxfId="1140" priority="4928" operator="containsText" text="정규교과">
      <formula>NOT(ISERROR(SEARCH(("정규교과"),(L209))))</formula>
    </cfRule>
    <cfRule type="containsText" dxfId="1139" priority="4929" operator="containsText" text="기타">
      <formula>NOT(ISERROR(SEARCH(("기타"),(L209))))</formula>
    </cfRule>
    <cfRule type="containsText" dxfId="1138" priority="4930" operator="containsText" text="프로젝트">
      <formula>NOT(ISERROR(SEARCH(("프로젝트"),(L209))))</formula>
    </cfRule>
    <cfRule type="containsText" dxfId="1137" priority="4931" operator="containsText" text="정규교과">
      <formula>NOT(ISERROR(SEARCH(("정규교과"),(L209))))</formula>
    </cfRule>
    <cfRule type="containsText" dxfId="1136" priority="4932" operator="containsText" text="기타">
      <formula>NOT(ISERROR(SEARCH(("기타"),(L209))))</formula>
    </cfRule>
    <cfRule type="containsText" dxfId="1135" priority="4933" operator="containsText" text="프로젝트">
      <formula>NOT(ISERROR(SEARCH(("프로젝트"),(L209))))</formula>
    </cfRule>
    <cfRule type="containsText" dxfId="1134" priority="4934" operator="containsText" text="정규교과">
      <formula>NOT(ISERROR(SEARCH(("정규교과"),(L209))))</formula>
    </cfRule>
    <cfRule type="containsText" dxfId="1133" priority="4935" operator="containsText" text="기타">
      <formula>NOT(ISERROR(SEARCH(("기타"),(L209))))</formula>
    </cfRule>
    <cfRule type="containsText" dxfId="1132" priority="4925" operator="containsText" text="정규교과">
      <formula>NOT(ISERROR(SEARCH(("정규교과"),(L209))))</formula>
    </cfRule>
    <cfRule type="containsText" dxfId="1131" priority="4924" operator="containsText" text="프로젝트">
      <formula>NOT(ISERROR(SEARCH(("프로젝트"),(L209))))</formula>
    </cfRule>
  </conditionalFormatting>
  <conditionalFormatting sqref="L215">
    <cfRule type="containsText" dxfId="1130" priority="4155" operator="containsText" text="기타">
      <formula>NOT(ISERROR(SEARCH(("기타"),(L215))))</formula>
    </cfRule>
    <cfRule type="containsText" dxfId="1129" priority="4154" operator="containsText" text="정규교과">
      <formula>NOT(ISERROR(SEARCH(("정규교과"),(L215))))</formula>
    </cfRule>
    <cfRule type="containsText" dxfId="1128" priority="4144" operator="containsText" text="프로젝트">
      <formula>NOT(ISERROR(SEARCH(("프로젝트"),(L215))))</formula>
    </cfRule>
    <cfRule type="containsText" dxfId="1127" priority="4145" operator="containsText" text="정규교과">
      <formula>NOT(ISERROR(SEARCH(("정규교과"),(L215))))</formula>
    </cfRule>
    <cfRule type="containsText" dxfId="1126" priority="4149" operator="containsText" text="기타">
      <formula>NOT(ISERROR(SEARCH(("기타"),(L215))))</formula>
    </cfRule>
    <cfRule type="containsText" dxfId="1125" priority="4146" operator="containsText" text="기타">
      <formula>NOT(ISERROR(SEARCH(("기타"),(L215))))</formula>
    </cfRule>
    <cfRule type="containsText" dxfId="1124" priority="4147" operator="containsText" text="프로젝트">
      <formula>NOT(ISERROR(SEARCH(("프로젝트"),(L215))))</formula>
    </cfRule>
    <cfRule type="containsText" dxfId="1123" priority="4148" operator="containsText" text="정규교과">
      <formula>NOT(ISERROR(SEARCH(("정규교과"),(L215))))</formula>
    </cfRule>
    <cfRule type="containsText" dxfId="1122" priority="4150" operator="containsText" text="프로젝트">
      <formula>NOT(ISERROR(SEARCH(("프로젝트"),(L215))))</formula>
    </cfRule>
    <cfRule type="containsText" dxfId="1121" priority="4151" operator="containsText" text="정규교과">
      <formula>NOT(ISERROR(SEARCH(("정규교과"),(L215))))</formula>
    </cfRule>
    <cfRule type="containsText" dxfId="1120" priority="4152" operator="containsText" text="기타">
      <formula>NOT(ISERROR(SEARCH(("기타"),(L215))))</formula>
    </cfRule>
    <cfRule type="containsText" dxfId="1119" priority="4153" operator="containsText" text="프로젝트">
      <formula>NOT(ISERROR(SEARCH(("프로젝트"),(L215))))</formula>
    </cfRule>
  </conditionalFormatting>
  <conditionalFormatting sqref="L219">
    <cfRule type="containsText" dxfId="1118" priority="4117" operator="containsText" text="프로젝트">
      <formula>NOT(ISERROR(SEARCH(("프로젝트"),(L219))))</formula>
    </cfRule>
    <cfRule type="containsText" dxfId="1117" priority="4116" operator="containsText" text="기타">
      <formula>NOT(ISERROR(SEARCH(("기타"),(L219))))</formula>
    </cfRule>
    <cfRule type="containsText" dxfId="1116" priority="4115" operator="containsText" text="정규교과">
      <formula>NOT(ISERROR(SEARCH(("정규교과"),(L219))))</formula>
    </cfRule>
    <cfRule type="containsText" dxfId="1115" priority="4114" operator="containsText" text="프로젝트">
      <formula>NOT(ISERROR(SEARCH(("프로젝트"),(L219))))</formula>
    </cfRule>
    <cfRule type="containsText" dxfId="1114" priority="4113" operator="containsText" text="기타">
      <formula>NOT(ISERROR(SEARCH(("기타"),(L219))))</formula>
    </cfRule>
    <cfRule type="containsText" dxfId="1113" priority="4112" operator="containsText" text="정규교과">
      <formula>NOT(ISERROR(SEARCH(("정규교과"),(L219))))</formula>
    </cfRule>
    <cfRule type="containsText" dxfId="1112" priority="4111" operator="containsText" text="프로젝트">
      <formula>NOT(ISERROR(SEARCH(("프로젝트"),(L219))))</formula>
    </cfRule>
    <cfRule type="containsText" dxfId="1111" priority="4120" operator="containsText" text="프로젝트">
      <formula>NOT(ISERROR(SEARCH(("프로젝트"),(L219))))</formula>
    </cfRule>
    <cfRule type="containsText" dxfId="1110" priority="4121" operator="containsText" text="정규교과">
      <formula>NOT(ISERROR(SEARCH(("정규교과"),(L219))))</formula>
    </cfRule>
    <cfRule type="containsText" dxfId="1109" priority="4118" operator="containsText" text="정규교과">
      <formula>NOT(ISERROR(SEARCH(("정규교과"),(L219))))</formula>
    </cfRule>
    <cfRule type="containsText" dxfId="1108" priority="4119" operator="containsText" text="기타">
      <formula>NOT(ISERROR(SEARCH(("기타"),(L219))))</formula>
    </cfRule>
    <cfRule type="containsText" dxfId="1107" priority="4122" operator="containsText" text="기타">
      <formula>NOT(ISERROR(SEARCH(("기타"),(L219))))</formula>
    </cfRule>
  </conditionalFormatting>
  <conditionalFormatting sqref="L223">
    <cfRule type="containsText" dxfId="1106" priority="4087" operator="containsText" text="프로젝트">
      <formula>NOT(ISERROR(SEARCH(("프로젝트"),(L223))))</formula>
    </cfRule>
    <cfRule type="containsText" dxfId="1105" priority="4086" operator="containsText" text="기타">
      <formula>NOT(ISERROR(SEARCH(("기타"),(L223))))</formula>
    </cfRule>
    <cfRule type="containsText" dxfId="1104" priority="4085" operator="containsText" text="정규교과">
      <formula>NOT(ISERROR(SEARCH(("정규교과"),(L223))))</formula>
    </cfRule>
    <cfRule type="containsText" dxfId="1103" priority="4088" operator="containsText" text="정규교과">
      <formula>NOT(ISERROR(SEARCH(("정규교과"),(L223))))</formula>
    </cfRule>
    <cfRule type="containsText" dxfId="1102" priority="4089" operator="containsText" text="기타">
      <formula>NOT(ISERROR(SEARCH(("기타"),(L223))))</formula>
    </cfRule>
    <cfRule type="containsText" dxfId="1101" priority="4078" operator="containsText" text="프로젝트">
      <formula>NOT(ISERROR(SEARCH(("프로젝트"),(L223))))</formula>
    </cfRule>
    <cfRule type="containsText" dxfId="1100" priority="4079" operator="containsText" text="정규교과">
      <formula>NOT(ISERROR(SEARCH(("정규교과"),(L223))))</formula>
    </cfRule>
    <cfRule type="containsText" dxfId="1099" priority="4080" operator="containsText" text="기타">
      <formula>NOT(ISERROR(SEARCH(("기타"),(L223))))</formula>
    </cfRule>
    <cfRule type="containsText" dxfId="1098" priority="4081" operator="containsText" text="프로젝트">
      <formula>NOT(ISERROR(SEARCH(("프로젝트"),(L223))))</formula>
    </cfRule>
    <cfRule type="containsText" dxfId="1097" priority="4082" operator="containsText" text="정규교과">
      <formula>NOT(ISERROR(SEARCH(("정규교과"),(L223))))</formula>
    </cfRule>
    <cfRule type="containsText" dxfId="1096" priority="4083" operator="containsText" text="기타">
      <formula>NOT(ISERROR(SEARCH(("기타"),(L223))))</formula>
    </cfRule>
    <cfRule type="containsText" dxfId="1095" priority="4084" operator="containsText" text="프로젝트">
      <formula>NOT(ISERROR(SEARCH(("프로젝트"),(L223))))</formula>
    </cfRule>
  </conditionalFormatting>
  <conditionalFormatting sqref="L228">
    <cfRule type="containsText" dxfId="1094" priority="4059" operator="containsText" text="기타">
      <formula>NOT(ISERROR(SEARCH(("기타"),(L228))))</formula>
    </cfRule>
    <cfRule type="containsText" dxfId="1093" priority="4058" operator="containsText" text="정규교과">
      <formula>NOT(ISERROR(SEARCH(("정규교과"),(L228))))</formula>
    </cfRule>
    <cfRule type="containsText" dxfId="1092" priority="4057" operator="containsText" text="프로젝트">
      <formula>NOT(ISERROR(SEARCH(("프로젝트"),(L228))))</formula>
    </cfRule>
    <cfRule type="containsText" dxfId="1091" priority="4056" operator="containsText" text="기타">
      <formula>NOT(ISERROR(SEARCH(("기타"),(L228))))</formula>
    </cfRule>
    <cfRule type="containsText" dxfId="1090" priority="4055" operator="containsText" text="정규교과">
      <formula>NOT(ISERROR(SEARCH(("정규교과"),(L228))))</formula>
    </cfRule>
    <cfRule type="containsText" dxfId="1089" priority="4054" operator="containsText" text="프로젝트">
      <formula>NOT(ISERROR(SEARCH(("프로젝트"),(L228))))</formula>
    </cfRule>
    <cfRule type="containsText" dxfId="1088" priority="4060" operator="containsText" text="프로젝트">
      <formula>NOT(ISERROR(SEARCH(("프로젝트"),(L228))))</formula>
    </cfRule>
    <cfRule type="containsText" dxfId="1087" priority="4061" operator="containsText" text="정규교과">
      <formula>NOT(ISERROR(SEARCH(("정규교과"),(L228))))</formula>
    </cfRule>
    <cfRule type="containsText" dxfId="1086" priority="4062" operator="containsText" text="기타">
      <formula>NOT(ISERROR(SEARCH(("기타"),(L228))))</formula>
    </cfRule>
    <cfRule type="containsText" dxfId="1085" priority="4063" operator="containsText" text="프로젝트">
      <formula>NOT(ISERROR(SEARCH(("프로젝트"),(L228))))</formula>
    </cfRule>
    <cfRule type="containsText" dxfId="1084" priority="4064" operator="containsText" text="정규교과">
      <formula>NOT(ISERROR(SEARCH(("정규교과"),(L228))))</formula>
    </cfRule>
    <cfRule type="containsText" dxfId="1083" priority="4065" operator="containsText" text="기타">
      <formula>NOT(ISERROR(SEARCH(("기타"),(L228))))</formula>
    </cfRule>
  </conditionalFormatting>
  <conditionalFormatting sqref="L232">
    <cfRule type="containsText" dxfId="1082" priority="4030" operator="containsText" text="프로젝트">
      <formula>NOT(ISERROR(SEARCH(("프로젝트"),(L232))))</formula>
    </cfRule>
    <cfRule type="containsText" dxfId="1081" priority="4027" operator="containsText" text="프로젝트">
      <formula>NOT(ISERROR(SEARCH(("프로젝트"),(L232))))</formula>
    </cfRule>
    <cfRule type="containsText" dxfId="1080" priority="4023" operator="containsText" text="기타">
      <formula>NOT(ISERROR(SEARCH(("기타"),(L232))))</formula>
    </cfRule>
    <cfRule type="containsText" dxfId="1079" priority="4032" operator="containsText" text="기타">
      <formula>NOT(ISERROR(SEARCH(("기타"),(L232))))</formula>
    </cfRule>
    <cfRule type="containsText" dxfId="1078" priority="4028" operator="containsText" text="정규교과">
      <formula>NOT(ISERROR(SEARCH(("정규교과"),(L232))))</formula>
    </cfRule>
    <cfRule type="containsText" dxfId="1077" priority="4031" operator="containsText" text="정규교과">
      <formula>NOT(ISERROR(SEARCH(("정규교과"),(L232))))</formula>
    </cfRule>
    <cfRule type="containsText" dxfId="1076" priority="4022" operator="containsText" text="정규교과">
      <formula>NOT(ISERROR(SEARCH(("정규교과"),(L232))))</formula>
    </cfRule>
    <cfRule type="containsText" dxfId="1075" priority="4021" operator="containsText" text="프로젝트">
      <formula>NOT(ISERROR(SEARCH(("프로젝트"),(L232))))</formula>
    </cfRule>
    <cfRule type="containsText" dxfId="1074" priority="4029" operator="containsText" text="기타">
      <formula>NOT(ISERROR(SEARCH(("기타"),(L232))))</formula>
    </cfRule>
    <cfRule type="containsText" dxfId="1073" priority="4026" operator="containsText" text="기타">
      <formula>NOT(ISERROR(SEARCH(("기타"),(L232))))</formula>
    </cfRule>
    <cfRule type="containsText" dxfId="1072" priority="4025" operator="containsText" text="정규교과">
      <formula>NOT(ISERROR(SEARCH(("정규교과"),(L232))))</formula>
    </cfRule>
    <cfRule type="containsText" dxfId="1071" priority="4024" operator="containsText" text="프로젝트">
      <formula>NOT(ISERROR(SEARCH(("프로젝트"),(L232))))</formula>
    </cfRule>
  </conditionalFormatting>
  <conditionalFormatting sqref="L236">
    <cfRule type="containsText" dxfId="1070" priority="3994" operator="containsText" text="프로젝트">
      <formula>NOT(ISERROR(SEARCH(("프로젝트"),(L236))))</formula>
    </cfRule>
    <cfRule type="containsText" dxfId="1069" priority="3999" operator="containsText" text="기타">
      <formula>NOT(ISERROR(SEARCH(("기타"),(L236))))</formula>
    </cfRule>
    <cfRule type="containsText" dxfId="1068" priority="3996" operator="containsText" text="기타">
      <formula>NOT(ISERROR(SEARCH(("기타"),(L236))))</formula>
    </cfRule>
    <cfRule type="containsText" dxfId="1067" priority="3995" operator="containsText" text="정규교과">
      <formula>NOT(ISERROR(SEARCH(("정규교과"),(L236))))</formula>
    </cfRule>
    <cfRule type="containsText" dxfId="1066" priority="3993" operator="containsText" text="기타">
      <formula>NOT(ISERROR(SEARCH(("기타"),(L236))))</formula>
    </cfRule>
    <cfRule type="containsText" dxfId="1065" priority="3992" operator="containsText" text="정규교과">
      <formula>NOT(ISERROR(SEARCH(("정규교과"),(L236))))</formula>
    </cfRule>
    <cfRule type="containsText" dxfId="1064" priority="3997" operator="containsText" text="프로젝트">
      <formula>NOT(ISERROR(SEARCH(("프로젝트"),(L236))))</formula>
    </cfRule>
    <cfRule type="containsText" dxfId="1063" priority="3988" operator="containsText" text="프로젝트">
      <formula>NOT(ISERROR(SEARCH(("프로젝트"),(L236))))</formula>
    </cfRule>
    <cfRule type="containsText" dxfId="1062" priority="3989" operator="containsText" text="정규교과">
      <formula>NOT(ISERROR(SEARCH(("정규교과"),(L236))))</formula>
    </cfRule>
    <cfRule type="containsText" dxfId="1061" priority="3990" operator="containsText" text="기타">
      <formula>NOT(ISERROR(SEARCH(("기타"),(L236))))</formula>
    </cfRule>
    <cfRule type="containsText" dxfId="1060" priority="3991" operator="containsText" text="프로젝트">
      <formula>NOT(ISERROR(SEARCH(("프로젝트"),(L236))))</formula>
    </cfRule>
    <cfRule type="containsText" dxfId="1059" priority="3998" operator="containsText" text="정규교과">
      <formula>NOT(ISERROR(SEARCH(("정규교과"),(L236))))</formula>
    </cfRule>
  </conditionalFormatting>
  <conditionalFormatting sqref="L240">
    <cfRule type="containsText" dxfId="1058" priority="3956" operator="containsText" text="정규교과">
      <formula>NOT(ISERROR(SEARCH(("정규교과"),(L240))))</formula>
    </cfRule>
    <cfRule type="containsText" dxfId="1057" priority="3965" operator="containsText" text="정규교과">
      <formula>NOT(ISERROR(SEARCH(("정규교과"),(L240))))</formula>
    </cfRule>
    <cfRule type="containsText" dxfId="1056" priority="3955" operator="containsText" text="프로젝트">
      <formula>NOT(ISERROR(SEARCH(("프로젝트"),(L240))))</formula>
    </cfRule>
    <cfRule type="containsText" dxfId="1055" priority="3966" operator="containsText" text="기타">
      <formula>NOT(ISERROR(SEARCH(("기타"),(L240))))</formula>
    </cfRule>
    <cfRule type="containsText" dxfId="1054" priority="3964" operator="containsText" text="프로젝트">
      <formula>NOT(ISERROR(SEARCH(("프로젝트"),(L240))))</formula>
    </cfRule>
    <cfRule type="containsText" dxfId="1053" priority="3963" operator="containsText" text="기타">
      <formula>NOT(ISERROR(SEARCH(("기타"),(L240))))</formula>
    </cfRule>
    <cfRule type="containsText" dxfId="1052" priority="3962" operator="containsText" text="정규교과">
      <formula>NOT(ISERROR(SEARCH(("정규교과"),(L240))))</formula>
    </cfRule>
    <cfRule type="containsText" dxfId="1051" priority="3961" operator="containsText" text="프로젝트">
      <formula>NOT(ISERROR(SEARCH(("프로젝트"),(L240))))</formula>
    </cfRule>
    <cfRule type="containsText" dxfId="1050" priority="3960" operator="containsText" text="기타">
      <formula>NOT(ISERROR(SEARCH(("기타"),(L240))))</formula>
    </cfRule>
    <cfRule type="containsText" dxfId="1049" priority="3959" operator="containsText" text="정규교과">
      <formula>NOT(ISERROR(SEARCH(("정규교과"),(L240))))</formula>
    </cfRule>
    <cfRule type="containsText" dxfId="1048" priority="3958" operator="containsText" text="프로젝트">
      <formula>NOT(ISERROR(SEARCH(("프로젝트"),(L240))))</formula>
    </cfRule>
    <cfRule type="containsText" dxfId="1047" priority="3957" operator="containsText" text="기타">
      <formula>NOT(ISERROR(SEARCH(("기타"),(L240))))</formula>
    </cfRule>
  </conditionalFormatting>
  <conditionalFormatting sqref="L244">
    <cfRule type="containsText" dxfId="1046" priority="3924" operator="containsText" text="기타">
      <formula>NOT(ISERROR(SEARCH(("기타"),(L244))))</formula>
    </cfRule>
    <cfRule type="containsText" dxfId="1045" priority="3923" operator="containsText" text="정규교과">
      <formula>NOT(ISERROR(SEARCH(("정규교과"),(L244))))</formula>
    </cfRule>
    <cfRule type="containsText" dxfId="1044" priority="3922" operator="containsText" text="프로젝트">
      <formula>NOT(ISERROR(SEARCH(("프로젝트"),(L244))))</formula>
    </cfRule>
    <cfRule type="containsText" dxfId="1043" priority="3930" operator="containsText" text="기타">
      <formula>NOT(ISERROR(SEARCH(("기타"),(L244))))</formula>
    </cfRule>
    <cfRule type="containsText" dxfId="1042" priority="3933" operator="containsText" text="기타">
      <formula>NOT(ISERROR(SEARCH(("기타"),(L244))))</formula>
    </cfRule>
    <cfRule type="containsText" dxfId="1041" priority="3932" operator="containsText" text="정규교과">
      <formula>NOT(ISERROR(SEARCH(("정규교과"),(L244))))</formula>
    </cfRule>
    <cfRule type="containsText" dxfId="1040" priority="3931" operator="containsText" text="프로젝트">
      <formula>NOT(ISERROR(SEARCH(("프로젝트"),(L244))))</formula>
    </cfRule>
    <cfRule type="containsText" dxfId="1039" priority="3929" operator="containsText" text="정규교과">
      <formula>NOT(ISERROR(SEARCH(("정규교과"),(L244))))</formula>
    </cfRule>
    <cfRule type="containsText" dxfId="1038" priority="3928" operator="containsText" text="프로젝트">
      <formula>NOT(ISERROR(SEARCH(("프로젝트"),(L244))))</formula>
    </cfRule>
    <cfRule type="containsText" dxfId="1037" priority="3927" operator="containsText" text="기타">
      <formula>NOT(ISERROR(SEARCH(("기타"),(L244))))</formula>
    </cfRule>
    <cfRule type="containsText" dxfId="1036" priority="3926" operator="containsText" text="정규교과">
      <formula>NOT(ISERROR(SEARCH(("정규교과"),(L244))))</formula>
    </cfRule>
    <cfRule type="containsText" dxfId="1035" priority="3925" operator="containsText" text="프로젝트">
      <formula>NOT(ISERROR(SEARCH(("프로젝트"),(L244))))</formula>
    </cfRule>
  </conditionalFormatting>
  <conditionalFormatting sqref="L320">
    <cfRule type="containsText" dxfId="1034" priority="2437" operator="containsText" text="정규교과">
      <formula>NOT(ISERROR(SEARCH(("정규교과"),(L320))))</formula>
    </cfRule>
    <cfRule type="containsText" dxfId="1033" priority="2436" operator="containsText" text="프로젝트">
      <formula>NOT(ISERROR(SEARCH(("프로젝트"),(L320))))</formula>
    </cfRule>
    <cfRule type="containsText" dxfId="1032" priority="2435" operator="containsText" text="기타">
      <formula>NOT(ISERROR(SEARCH(("기타"),(L320))))</formula>
    </cfRule>
    <cfRule type="containsText" dxfId="1031" priority="2434" operator="containsText" text="정규교과">
      <formula>NOT(ISERROR(SEARCH(("정규교과"),(L320))))</formula>
    </cfRule>
    <cfRule type="containsText" dxfId="1030" priority="2433" operator="containsText" text="프로젝트">
      <formula>NOT(ISERROR(SEARCH(("프로젝트"),(L320))))</formula>
    </cfRule>
    <cfRule type="containsText" dxfId="1029" priority="2432" operator="containsText" text="기타">
      <formula>NOT(ISERROR(SEARCH(("기타"),(L320))))</formula>
    </cfRule>
    <cfRule type="containsText" dxfId="1028" priority="2431" operator="containsText" text="정규교과">
      <formula>NOT(ISERROR(SEARCH(("정규교과"),(L320))))</formula>
    </cfRule>
    <cfRule type="containsText" dxfId="1027" priority="2430" operator="containsText" text="프로젝트">
      <formula>NOT(ISERROR(SEARCH(("프로젝트"),(L320))))</formula>
    </cfRule>
    <cfRule type="containsText" dxfId="1026" priority="2429" operator="containsText" text="기타">
      <formula>NOT(ISERROR(SEARCH(("기타"),(L320))))</formula>
    </cfRule>
    <cfRule type="containsText" dxfId="1025" priority="2423" operator="containsText" text="기타">
      <formula>NOT(ISERROR(SEARCH(("기타"),(L320))))</formula>
    </cfRule>
    <cfRule type="containsText" dxfId="1024" priority="2441" operator="containsText" text="기타">
      <formula>NOT(ISERROR(SEARCH(("기타"),(L320))))</formula>
    </cfRule>
    <cfRule type="containsText" dxfId="1023" priority="2440" operator="containsText" text="정규교과">
      <formula>NOT(ISERROR(SEARCH(("정규교과"),(L320))))</formula>
    </cfRule>
    <cfRule type="containsText" dxfId="1022" priority="2428" operator="containsText" text="정규교과">
      <formula>NOT(ISERROR(SEARCH(("정규교과"),(L320))))</formula>
    </cfRule>
    <cfRule type="containsText" dxfId="1021" priority="2421" operator="containsText" text="프로젝트">
      <formula>NOT(ISERROR(SEARCH(("프로젝트"),(L320))))</formula>
    </cfRule>
    <cfRule type="containsText" dxfId="1020" priority="2426" operator="containsText" text="기타">
      <formula>NOT(ISERROR(SEARCH(("기타"),(L320))))</formula>
    </cfRule>
    <cfRule type="containsText" dxfId="1019" priority="2425" operator="containsText" text="정규교과">
      <formula>NOT(ISERROR(SEARCH(("정규교과"),(L320))))</formula>
    </cfRule>
    <cfRule type="containsText" dxfId="1018" priority="2424" operator="containsText" text="프로젝트">
      <formula>NOT(ISERROR(SEARCH(("프로젝트"),(L320))))</formula>
    </cfRule>
    <cfRule type="containsText" dxfId="1017" priority="2422" operator="containsText" text="정규교과">
      <formula>NOT(ISERROR(SEARCH(("정규교과"),(L320))))</formula>
    </cfRule>
    <cfRule type="containsText" dxfId="1016" priority="2427" operator="containsText" text="프로젝트">
      <formula>NOT(ISERROR(SEARCH(("프로젝트"),(L320))))</formula>
    </cfRule>
    <cfRule type="containsText" dxfId="1015" priority="2439" operator="containsText" text="프로젝트">
      <formula>NOT(ISERROR(SEARCH(("프로젝트"),(L320))))</formula>
    </cfRule>
    <cfRule type="containsText" dxfId="1014" priority="2438" operator="containsText" text="기타">
      <formula>NOT(ISERROR(SEARCH(("기타"),(L320))))</formula>
    </cfRule>
  </conditionalFormatting>
  <conditionalFormatting sqref="L324">
    <cfRule type="containsText" dxfId="1013" priority="2288" operator="containsText" text="기타">
      <formula>NOT(ISERROR(SEARCH(("기타"),(L324))))</formula>
    </cfRule>
    <cfRule type="containsText" dxfId="1012" priority="2289" operator="containsText" text="프로젝트">
      <formula>NOT(ISERROR(SEARCH(("프로젝트"),(L324))))</formula>
    </cfRule>
    <cfRule type="containsText" dxfId="1011" priority="2281" operator="containsText" text="정규교과">
      <formula>NOT(ISERROR(SEARCH(("정규교과"),(L324))))</formula>
    </cfRule>
    <cfRule type="containsText" dxfId="1010" priority="2280" operator="containsText" text="프로젝트">
      <formula>NOT(ISERROR(SEARCH(("프로젝트"),(L324))))</formula>
    </cfRule>
    <cfRule type="containsText" dxfId="1009" priority="2274" operator="containsText" text="프로젝트">
      <formula>NOT(ISERROR(SEARCH(("프로젝트"),(L324))))</formula>
    </cfRule>
    <cfRule type="containsText" dxfId="1008" priority="2290" operator="containsText" text="정규교과">
      <formula>NOT(ISERROR(SEARCH(("정규교과"),(L324))))</formula>
    </cfRule>
    <cfRule type="containsText" dxfId="1007" priority="2291" operator="containsText" text="기타">
      <formula>NOT(ISERROR(SEARCH(("기타"),(L324))))</formula>
    </cfRule>
    <cfRule type="containsText" dxfId="1006" priority="2279" operator="containsText" text="기타">
      <formula>NOT(ISERROR(SEARCH(("기타"),(L324))))</formula>
    </cfRule>
    <cfRule type="containsText" dxfId="1005" priority="2294" operator="containsText" text="기타">
      <formula>NOT(ISERROR(SEARCH(("기타"),(L324))))</formula>
    </cfRule>
    <cfRule type="containsText" dxfId="1004" priority="2293" operator="containsText" text="정규교과">
      <formula>NOT(ISERROR(SEARCH(("정규교과"),(L324))))</formula>
    </cfRule>
    <cfRule type="containsText" dxfId="1003" priority="2275" operator="containsText" text="정규교과">
      <formula>NOT(ISERROR(SEARCH(("정규교과"),(L324))))</formula>
    </cfRule>
    <cfRule type="containsText" dxfId="1002" priority="2278" operator="containsText" text="정규교과">
      <formula>NOT(ISERROR(SEARCH(("정규교과"),(L324))))</formula>
    </cfRule>
    <cfRule type="containsText" dxfId="1001" priority="2276" operator="containsText" text="기타">
      <formula>NOT(ISERROR(SEARCH(("기타"),(L324))))</formula>
    </cfRule>
    <cfRule type="containsText" dxfId="1000" priority="2282" operator="containsText" text="기타">
      <formula>NOT(ISERROR(SEARCH(("기타"),(L324))))</formula>
    </cfRule>
    <cfRule type="containsText" dxfId="999" priority="2283" operator="containsText" text="프로젝트">
      <formula>NOT(ISERROR(SEARCH(("프로젝트"),(L324))))</formula>
    </cfRule>
    <cfRule type="containsText" dxfId="998" priority="2292" operator="containsText" text="프로젝트">
      <formula>NOT(ISERROR(SEARCH(("프로젝트"),(L324))))</formula>
    </cfRule>
    <cfRule type="containsText" dxfId="997" priority="2285" operator="containsText" text="기타">
      <formula>NOT(ISERROR(SEARCH(("기타"),(L324))))</formula>
    </cfRule>
    <cfRule type="containsText" dxfId="996" priority="2277" operator="containsText" text="프로젝트">
      <formula>NOT(ISERROR(SEARCH(("프로젝트"),(L324))))</formula>
    </cfRule>
    <cfRule type="containsText" dxfId="995" priority="2286" operator="containsText" text="프로젝트">
      <formula>NOT(ISERROR(SEARCH(("프로젝트"),(L324))))</formula>
    </cfRule>
    <cfRule type="containsText" dxfId="994" priority="2287" operator="containsText" text="정규교과">
      <formula>NOT(ISERROR(SEARCH(("정규교과"),(L324))))</formula>
    </cfRule>
    <cfRule type="containsText" dxfId="993" priority="2284" operator="containsText" text="정규교과">
      <formula>NOT(ISERROR(SEARCH(("정규교과"),(L324))))</formula>
    </cfRule>
  </conditionalFormatting>
  <conditionalFormatting sqref="L328">
    <cfRule type="containsText" dxfId="992" priority="2128" operator="containsText" text="정규교과">
      <formula>NOT(ISERROR(SEARCH(("정규교과"),(L328))))</formula>
    </cfRule>
    <cfRule type="containsText" dxfId="991" priority="2147" operator="containsText" text="기타">
      <formula>NOT(ISERROR(SEARCH(("기타"),(L328))))</formula>
    </cfRule>
    <cfRule type="containsText" dxfId="990" priority="2127" operator="containsText" text="프로젝트">
      <formula>NOT(ISERROR(SEARCH(("프로젝트"),(L328))))</formula>
    </cfRule>
    <cfRule type="containsText" dxfId="989" priority="2131" operator="containsText" text="정규교과">
      <formula>NOT(ISERROR(SEARCH(("정규교과"),(L328))))</formula>
    </cfRule>
    <cfRule type="containsText" dxfId="988" priority="2146" operator="containsText" text="정규교과">
      <formula>NOT(ISERROR(SEARCH(("정규교과"),(L328))))</formula>
    </cfRule>
    <cfRule type="containsText" dxfId="987" priority="2145" operator="containsText" text="프로젝트">
      <formula>NOT(ISERROR(SEARCH(("프로젝트"),(L328))))</formula>
    </cfRule>
    <cfRule type="containsText" dxfId="986" priority="2144" operator="containsText" text="기타">
      <formula>NOT(ISERROR(SEARCH(("기타"),(L328))))</formula>
    </cfRule>
    <cfRule type="containsText" dxfId="985" priority="2143" operator="containsText" text="정규교과">
      <formula>NOT(ISERROR(SEARCH(("정규교과"),(L328))))</formula>
    </cfRule>
    <cfRule type="containsText" dxfId="984" priority="2142" operator="containsText" text="프로젝트">
      <formula>NOT(ISERROR(SEARCH(("프로젝트"),(L328))))</formula>
    </cfRule>
    <cfRule type="containsText" dxfId="983" priority="2141" operator="containsText" text="기타">
      <formula>NOT(ISERROR(SEARCH(("기타"),(L328))))</formula>
    </cfRule>
    <cfRule type="containsText" dxfId="982" priority="2140" operator="containsText" text="정규교과">
      <formula>NOT(ISERROR(SEARCH(("정규교과"),(L328))))</formula>
    </cfRule>
    <cfRule type="containsText" dxfId="981" priority="2139" operator="containsText" text="프로젝트">
      <formula>NOT(ISERROR(SEARCH(("프로젝트"),(L328))))</formula>
    </cfRule>
    <cfRule type="containsText" dxfId="980" priority="2138" operator="containsText" text="기타">
      <formula>NOT(ISERROR(SEARCH(("기타"),(L328))))</formula>
    </cfRule>
    <cfRule type="containsText" dxfId="979" priority="2137" operator="containsText" text="정규교과">
      <formula>NOT(ISERROR(SEARCH(("정규교과"),(L328))))</formula>
    </cfRule>
    <cfRule type="containsText" dxfId="978" priority="2136" operator="containsText" text="프로젝트">
      <formula>NOT(ISERROR(SEARCH(("프로젝트"),(L328))))</formula>
    </cfRule>
    <cfRule type="containsText" dxfId="977" priority="2135" operator="containsText" text="기타">
      <formula>NOT(ISERROR(SEARCH(("기타"),(L328))))</formula>
    </cfRule>
    <cfRule type="containsText" dxfId="976" priority="2134" operator="containsText" text="정규교과">
      <formula>NOT(ISERROR(SEARCH(("정규교과"),(L328))))</formula>
    </cfRule>
    <cfRule type="containsText" dxfId="975" priority="2133" operator="containsText" text="프로젝트">
      <formula>NOT(ISERROR(SEARCH(("프로젝트"),(L328))))</formula>
    </cfRule>
    <cfRule type="containsText" dxfId="974" priority="2132" operator="containsText" text="기타">
      <formula>NOT(ISERROR(SEARCH(("기타"),(L328))))</formula>
    </cfRule>
    <cfRule type="containsText" dxfId="973" priority="2130" operator="containsText" text="프로젝트">
      <formula>NOT(ISERROR(SEARCH(("프로젝트"),(L328))))</formula>
    </cfRule>
    <cfRule type="containsText" dxfId="972" priority="2129" operator="containsText" text="기타">
      <formula>NOT(ISERROR(SEARCH(("기타"),(L328))))</formula>
    </cfRule>
  </conditionalFormatting>
  <conditionalFormatting sqref="L333">
    <cfRule type="containsText" dxfId="971" priority="1994" operator="containsText" text="기타">
      <formula>NOT(ISERROR(SEARCH(("기타"),(L333))))</formula>
    </cfRule>
    <cfRule type="containsText" dxfId="970" priority="1993" operator="containsText" text="정규교과">
      <formula>NOT(ISERROR(SEARCH(("정규교과"),(L333))))</formula>
    </cfRule>
    <cfRule type="containsText" dxfId="969" priority="1992" operator="containsText" text="프로젝트">
      <formula>NOT(ISERROR(SEARCH(("프로젝트"),(L333))))</formula>
    </cfRule>
    <cfRule type="containsText" dxfId="968" priority="1991" operator="containsText" text="기타">
      <formula>NOT(ISERROR(SEARCH(("기타"),(L333))))</formula>
    </cfRule>
    <cfRule type="containsText" dxfId="967" priority="1986" operator="containsText" text="프로젝트">
      <formula>NOT(ISERROR(SEARCH(("프로젝트"),(L333))))</formula>
    </cfRule>
    <cfRule type="containsText" dxfId="966" priority="1995" operator="containsText" text="프로젝트">
      <formula>NOT(ISERROR(SEARCH(("프로젝트"),(L333))))</formula>
    </cfRule>
    <cfRule type="containsText" dxfId="965" priority="2000" operator="containsText" text="기타">
      <formula>NOT(ISERROR(SEARCH(("기타"),(L333))))</formula>
    </cfRule>
    <cfRule type="containsText" dxfId="964" priority="1989" operator="containsText" text="프로젝트">
      <formula>NOT(ISERROR(SEARCH(("프로젝트"),(L333))))</formula>
    </cfRule>
    <cfRule type="containsText" dxfId="963" priority="1988" operator="containsText" text="기타">
      <formula>NOT(ISERROR(SEARCH(("기타"),(L333))))</formula>
    </cfRule>
    <cfRule type="containsText" dxfId="962" priority="1996" operator="containsText" text="정규교과">
      <formula>NOT(ISERROR(SEARCH(("정규교과"),(L333))))</formula>
    </cfRule>
    <cfRule type="containsText" dxfId="961" priority="1990" operator="containsText" text="정규교과">
      <formula>NOT(ISERROR(SEARCH(("정규교과"),(L333))))</formula>
    </cfRule>
    <cfRule type="containsText" dxfId="960" priority="1987" operator="containsText" text="정규교과">
      <formula>NOT(ISERROR(SEARCH(("정규교과"),(L333))))</formula>
    </cfRule>
    <cfRule type="containsText" dxfId="959" priority="1981" operator="containsText" text="정규교과">
      <formula>NOT(ISERROR(SEARCH(("정규교과"),(L333))))</formula>
    </cfRule>
    <cfRule type="containsText" dxfId="958" priority="1982" operator="containsText" text="기타">
      <formula>NOT(ISERROR(SEARCH(("기타"),(L333))))</formula>
    </cfRule>
    <cfRule type="containsText" dxfId="957" priority="1983" operator="containsText" text="프로젝트">
      <formula>NOT(ISERROR(SEARCH(("프로젝트"),(L333))))</formula>
    </cfRule>
    <cfRule type="containsText" dxfId="956" priority="1985" operator="containsText" text="기타">
      <formula>NOT(ISERROR(SEARCH(("기타"),(L333))))</formula>
    </cfRule>
    <cfRule type="containsText" dxfId="955" priority="1999" operator="containsText" text="정규교과">
      <formula>NOT(ISERROR(SEARCH(("정규교과"),(L333))))</formula>
    </cfRule>
    <cfRule type="containsText" dxfId="954" priority="1984" operator="containsText" text="정규교과">
      <formula>NOT(ISERROR(SEARCH(("정규교과"),(L333))))</formula>
    </cfRule>
    <cfRule type="containsText" dxfId="953" priority="1998" operator="containsText" text="프로젝트">
      <formula>NOT(ISERROR(SEARCH(("프로젝트"),(L333))))</formula>
    </cfRule>
    <cfRule type="containsText" dxfId="952" priority="1980" operator="containsText" text="프로젝트">
      <formula>NOT(ISERROR(SEARCH(("프로젝트"),(L333))))</formula>
    </cfRule>
    <cfRule type="containsText" dxfId="951" priority="1997" operator="containsText" text="기타">
      <formula>NOT(ISERROR(SEARCH(("기타"),(L333))))</formula>
    </cfRule>
  </conditionalFormatting>
  <conditionalFormatting sqref="L337">
    <cfRule type="containsText" dxfId="950" priority="1853" operator="containsText" text="기타">
      <formula>NOT(ISERROR(SEARCH(("기타"),(L337))))</formula>
    </cfRule>
    <cfRule type="containsText" dxfId="949" priority="1852" operator="containsText" text="정규교과">
      <formula>NOT(ISERROR(SEARCH(("정규교과"),(L337))))</formula>
    </cfRule>
    <cfRule type="containsText" dxfId="948" priority="1851" operator="containsText" text="프로젝트">
      <formula>NOT(ISERROR(SEARCH(("프로젝트"),(L337))))</formula>
    </cfRule>
    <cfRule type="containsText" dxfId="947" priority="1850" operator="containsText" text="기타">
      <formula>NOT(ISERROR(SEARCH(("기타"),(L337))))</formula>
    </cfRule>
    <cfRule type="containsText" dxfId="946" priority="1848" operator="containsText" text="프로젝트">
      <formula>NOT(ISERROR(SEARCH(("프로젝트"),(L337))))</formula>
    </cfRule>
    <cfRule type="containsText" dxfId="945" priority="1847" operator="containsText" text="기타">
      <formula>NOT(ISERROR(SEARCH(("기타"),(L337))))</formula>
    </cfRule>
    <cfRule type="containsText" dxfId="944" priority="1846" operator="containsText" text="정규교과">
      <formula>NOT(ISERROR(SEARCH(("정규교과"),(L337))))</formula>
    </cfRule>
    <cfRule type="containsText" dxfId="943" priority="1845" operator="containsText" text="프로젝트">
      <formula>NOT(ISERROR(SEARCH(("프로젝트"),(L337))))</formula>
    </cfRule>
    <cfRule type="containsText" dxfId="942" priority="1844" operator="containsText" text="기타">
      <formula>NOT(ISERROR(SEARCH(("기타"),(L337))))</formula>
    </cfRule>
    <cfRule type="containsText" dxfId="941" priority="1843" operator="containsText" text="정규교과">
      <formula>NOT(ISERROR(SEARCH(("정규교과"),(L337))))</formula>
    </cfRule>
    <cfRule type="containsText" dxfId="940" priority="1842" operator="containsText" text="프로젝트">
      <formula>NOT(ISERROR(SEARCH(("프로젝트"),(L337))))</formula>
    </cfRule>
    <cfRule type="containsText" dxfId="939" priority="1841" operator="containsText" text="기타">
      <formula>NOT(ISERROR(SEARCH(("기타"),(L337))))</formula>
    </cfRule>
    <cfRule type="containsText" dxfId="938" priority="1849" operator="containsText" text="정규교과">
      <formula>NOT(ISERROR(SEARCH(("정규교과"),(L337))))</formula>
    </cfRule>
    <cfRule type="containsText" dxfId="937" priority="1836" operator="containsText" text="프로젝트">
      <formula>NOT(ISERROR(SEARCH(("프로젝트"),(L337))))</formula>
    </cfRule>
    <cfRule type="containsText" dxfId="936" priority="1835" operator="containsText" text="기타">
      <formula>NOT(ISERROR(SEARCH(("기타"),(L337))))</formula>
    </cfRule>
    <cfRule type="containsText" dxfId="935" priority="1840" operator="containsText" text="정규교과">
      <formula>NOT(ISERROR(SEARCH(("정규교과"),(L337))))</formula>
    </cfRule>
    <cfRule type="containsText" dxfId="934" priority="1834" operator="containsText" text="정규교과">
      <formula>NOT(ISERROR(SEARCH(("정규교과"),(L337))))</formula>
    </cfRule>
    <cfRule type="containsText" dxfId="933" priority="1833" operator="containsText" text="프로젝트">
      <formula>NOT(ISERROR(SEARCH(("프로젝트"),(L337))))</formula>
    </cfRule>
    <cfRule type="containsText" dxfId="932" priority="1839" operator="containsText" text="프로젝트">
      <formula>NOT(ISERROR(SEARCH(("프로젝트"),(L337))))</formula>
    </cfRule>
    <cfRule type="containsText" dxfId="931" priority="1838" operator="containsText" text="기타">
      <formula>NOT(ISERROR(SEARCH(("기타"),(L337))))</formula>
    </cfRule>
    <cfRule type="containsText" dxfId="930" priority="1837" operator="containsText" text="정규교과">
      <formula>NOT(ISERROR(SEARCH(("정규교과"),(L337))))</formula>
    </cfRule>
  </conditionalFormatting>
  <conditionalFormatting sqref="L341">
    <cfRule type="containsText" dxfId="929" priority="1695" operator="containsText" text="프로젝트">
      <formula>NOT(ISERROR(SEARCH(("프로젝트"),(L341))))</formula>
    </cfRule>
    <cfRule type="containsText" dxfId="928" priority="1706" operator="containsText" text="기타">
      <formula>NOT(ISERROR(SEARCH(("기타"),(L341))))</formula>
    </cfRule>
    <cfRule type="containsText" dxfId="927" priority="1705" operator="containsText" text="정규교과">
      <formula>NOT(ISERROR(SEARCH(("정규교과"),(L341))))</formula>
    </cfRule>
    <cfRule type="containsText" dxfId="926" priority="1704" operator="containsText" text="프로젝트">
      <formula>NOT(ISERROR(SEARCH(("프로젝트"),(L341))))</formula>
    </cfRule>
    <cfRule type="containsText" dxfId="925" priority="1702" operator="containsText" text="정규교과">
      <formula>NOT(ISERROR(SEARCH(("정규교과"),(L341))))</formula>
    </cfRule>
    <cfRule type="containsText" dxfId="924" priority="1701" operator="containsText" text="프로젝트">
      <formula>NOT(ISERROR(SEARCH(("프로젝트"),(L341))))</formula>
    </cfRule>
    <cfRule type="containsText" dxfId="923" priority="1700" operator="containsText" text="기타">
      <formula>NOT(ISERROR(SEARCH(("기타"),(L341))))</formula>
    </cfRule>
    <cfRule type="containsText" dxfId="922" priority="1699" operator="containsText" text="정규교과">
      <formula>NOT(ISERROR(SEARCH(("정규교과"),(L341))))</formula>
    </cfRule>
    <cfRule type="containsText" dxfId="921" priority="1698" operator="containsText" text="프로젝트">
      <formula>NOT(ISERROR(SEARCH(("프로젝트"),(L341))))</formula>
    </cfRule>
    <cfRule type="containsText" dxfId="920" priority="1697" operator="containsText" text="기타">
      <formula>NOT(ISERROR(SEARCH(("기타"),(L341))))</formula>
    </cfRule>
    <cfRule type="containsText" dxfId="919" priority="1696" operator="containsText" text="정규교과">
      <formula>NOT(ISERROR(SEARCH(("정규교과"),(L341))))</formula>
    </cfRule>
    <cfRule type="containsText" dxfId="918" priority="1686" operator="containsText" text="프로젝트">
      <formula>NOT(ISERROR(SEARCH(("프로젝트"),(L341))))</formula>
    </cfRule>
    <cfRule type="containsText" dxfId="917" priority="1694" operator="containsText" text="기타">
      <formula>NOT(ISERROR(SEARCH(("기타"),(L341))))</formula>
    </cfRule>
    <cfRule type="containsText" dxfId="916" priority="1693" operator="containsText" text="정규교과">
      <formula>NOT(ISERROR(SEARCH(("정규교과"),(L341))))</formula>
    </cfRule>
    <cfRule type="containsText" dxfId="915" priority="1692" operator="containsText" text="프로젝트">
      <formula>NOT(ISERROR(SEARCH(("프로젝트"),(L341))))</formula>
    </cfRule>
    <cfRule type="containsText" dxfId="914" priority="1691" operator="containsText" text="기타">
      <formula>NOT(ISERROR(SEARCH(("기타"),(L341))))</formula>
    </cfRule>
    <cfRule type="containsText" dxfId="913" priority="1690" operator="containsText" text="정규교과">
      <formula>NOT(ISERROR(SEARCH(("정규교과"),(L341))))</formula>
    </cfRule>
    <cfRule type="containsText" dxfId="912" priority="1689" operator="containsText" text="프로젝트">
      <formula>NOT(ISERROR(SEARCH(("프로젝트"),(L341))))</formula>
    </cfRule>
    <cfRule type="containsText" dxfId="911" priority="1688" operator="containsText" text="기타">
      <formula>NOT(ISERROR(SEARCH(("기타"),(L341))))</formula>
    </cfRule>
    <cfRule type="containsText" dxfId="910" priority="1687" operator="containsText" text="정규교과">
      <formula>NOT(ISERROR(SEARCH(("정규교과"),(L341))))</formula>
    </cfRule>
    <cfRule type="containsText" dxfId="909" priority="1703" operator="containsText" text="기타">
      <formula>NOT(ISERROR(SEARCH(("기타"),(L341))))</formula>
    </cfRule>
  </conditionalFormatting>
  <conditionalFormatting sqref="L345">
    <cfRule type="containsText" dxfId="908" priority="1544" operator="containsText" text="기타">
      <formula>NOT(ISERROR(SEARCH(("기타"),(L345))))</formula>
    </cfRule>
    <cfRule type="containsText" dxfId="907" priority="1545" operator="containsText" text="프로젝트">
      <formula>NOT(ISERROR(SEARCH(("프로젝트"),(L345))))</formula>
    </cfRule>
    <cfRule type="containsText" dxfId="906" priority="1552" operator="containsText" text="정규교과">
      <formula>NOT(ISERROR(SEARCH(("정규교과"),(L345))))</formula>
    </cfRule>
    <cfRule type="containsText" dxfId="905" priority="1546" operator="containsText" text="정규교과">
      <formula>NOT(ISERROR(SEARCH(("정규교과"),(L345))))</formula>
    </cfRule>
    <cfRule type="containsText" dxfId="904" priority="1547" operator="containsText" text="기타">
      <formula>NOT(ISERROR(SEARCH(("기타"),(L345))))</formula>
    </cfRule>
    <cfRule type="containsText" dxfId="903" priority="1539" operator="containsText" text="프로젝트">
      <formula>NOT(ISERROR(SEARCH(("프로젝트"),(L345))))</formula>
    </cfRule>
    <cfRule type="containsText" dxfId="902" priority="1540" operator="containsText" text="정규교과">
      <formula>NOT(ISERROR(SEARCH(("정규교과"),(L345))))</formula>
    </cfRule>
    <cfRule type="containsText" dxfId="901" priority="1541" operator="containsText" text="기타">
      <formula>NOT(ISERROR(SEARCH(("기타"),(L345))))</formula>
    </cfRule>
    <cfRule type="containsText" dxfId="900" priority="1548" operator="containsText" text="프로젝트">
      <formula>NOT(ISERROR(SEARCH(("프로젝트"),(L345))))</formula>
    </cfRule>
    <cfRule type="containsText" dxfId="899" priority="1542" operator="containsText" text="프로젝트">
      <formula>NOT(ISERROR(SEARCH(("프로젝트"),(L345))))</formula>
    </cfRule>
    <cfRule type="containsText" dxfId="898" priority="1555" operator="containsText" text="정규교과">
      <formula>NOT(ISERROR(SEARCH(("정규교과"),(L345))))</formula>
    </cfRule>
    <cfRule type="containsText" dxfId="897" priority="1553" operator="containsText" text="기타">
      <formula>NOT(ISERROR(SEARCH(("기타"),(L345))))</formula>
    </cfRule>
    <cfRule type="containsText" dxfId="896" priority="1554" operator="containsText" text="프로젝트">
      <formula>NOT(ISERROR(SEARCH(("프로젝트"),(L345))))</formula>
    </cfRule>
    <cfRule type="containsText" dxfId="895" priority="1556" operator="containsText" text="기타">
      <formula>NOT(ISERROR(SEARCH(("기타"),(L345))))</formula>
    </cfRule>
    <cfRule type="containsText" dxfId="894" priority="1557" operator="containsText" text="프로젝트">
      <formula>NOT(ISERROR(SEARCH(("프로젝트"),(L345))))</formula>
    </cfRule>
    <cfRule type="containsText" dxfId="893" priority="1558" operator="containsText" text="정규교과">
      <formula>NOT(ISERROR(SEARCH(("정규교과"),(L345))))</formula>
    </cfRule>
    <cfRule type="containsText" dxfId="892" priority="1559" operator="containsText" text="기타">
      <formula>NOT(ISERROR(SEARCH(("기타"),(L345))))</formula>
    </cfRule>
    <cfRule type="containsText" dxfId="891" priority="1543" operator="containsText" text="정규교과">
      <formula>NOT(ISERROR(SEARCH(("정규교과"),(L345))))</formula>
    </cfRule>
    <cfRule type="containsText" dxfId="890" priority="1550" operator="containsText" text="기타">
      <formula>NOT(ISERROR(SEARCH(("기타"),(L345))))</formula>
    </cfRule>
    <cfRule type="containsText" dxfId="889" priority="1549" operator="containsText" text="정규교과">
      <formula>NOT(ISERROR(SEARCH(("정규교과"),(L345))))</formula>
    </cfRule>
    <cfRule type="containsText" dxfId="888" priority="1551" operator="containsText" text="프로젝트">
      <formula>NOT(ISERROR(SEARCH(("프로젝트"),(L345))))</formula>
    </cfRule>
  </conditionalFormatting>
  <conditionalFormatting sqref="L349">
    <cfRule type="containsText" dxfId="887" priority="1402" operator="containsText" text="정규교과">
      <formula>NOT(ISERROR(SEARCH(("정규교과"),(L349))))</formula>
    </cfRule>
    <cfRule type="containsText" dxfId="886" priority="1403" operator="containsText" text="기타">
      <formula>NOT(ISERROR(SEARCH(("기타"),(L349))))</formula>
    </cfRule>
    <cfRule type="containsText" dxfId="885" priority="1404" operator="containsText" text="프로젝트">
      <formula>NOT(ISERROR(SEARCH(("프로젝트"),(L349))))</formula>
    </cfRule>
    <cfRule type="containsText" dxfId="884" priority="1405" operator="containsText" text="정규교과">
      <formula>NOT(ISERROR(SEARCH(("정규교과"),(L349))))</formula>
    </cfRule>
    <cfRule type="containsText" dxfId="883" priority="1406" operator="containsText" text="기타">
      <formula>NOT(ISERROR(SEARCH(("기타"),(L349))))</formula>
    </cfRule>
    <cfRule type="containsText" dxfId="882" priority="1407" operator="containsText" text="프로젝트">
      <formula>NOT(ISERROR(SEARCH(("프로젝트"),(L349))))</formula>
    </cfRule>
    <cfRule type="containsText" dxfId="881" priority="1408" operator="containsText" text="정규교과">
      <formula>NOT(ISERROR(SEARCH(("정규교과"),(L349))))</formula>
    </cfRule>
    <cfRule type="containsText" dxfId="880" priority="1409" operator="containsText" text="기타">
      <formula>NOT(ISERROR(SEARCH(("기타"),(L349))))</formula>
    </cfRule>
    <cfRule type="containsText" dxfId="879" priority="1410" operator="containsText" text="프로젝트">
      <formula>NOT(ISERROR(SEARCH(("프로젝트"),(L349))))</formula>
    </cfRule>
    <cfRule type="containsText" dxfId="878" priority="1411" operator="containsText" text="정규교과">
      <formula>NOT(ISERROR(SEARCH(("정규교과"),(L349))))</formula>
    </cfRule>
    <cfRule type="containsText" dxfId="877" priority="1412" operator="containsText" text="기타">
      <formula>NOT(ISERROR(SEARCH(("기타"),(L349))))</formula>
    </cfRule>
    <cfRule type="containsText" dxfId="876" priority="1395" operator="containsText" text="프로젝트">
      <formula>NOT(ISERROR(SEARCH(("프로젝트"),(L349))))</formula>
    </cfRule>
    <cfRule type="containsText" dxfId="875" priority="1392" operator="containsText" text="프로젝트">
      <formula>NOT(ISERROR(SEARCH(("프로젝트"),(L349))))</formula>
    </cfRule>
    <cfRule type="containsText" dxfId="874" priority="1393" operator="containsText" text="정규교과">
      <formula>NOT(ISERROR(SEARCH(("정규교과"),(L349))))</formula>
    </cfRule>
    <cfRule type="containsText" dxfId="873" priority="1394" operator="containsText" text="기타">
      <formula>NOT(ISERROR(SEARCH(("기타"),(L349))))</formula>
    </cfRule>
    <cfRule type="containsText" dxfId="872" priority="1396" operator="containsText" text="정규교과">
      <formula>NOT(ISERROR(SEARCH(("정규교과"),(L349))))</formula>
    </cfRule>
    <cfRule type="containsText" dxfId="871" priority="1397" operator="containsText" text="기타">
      <formula>NOT(ISERROR(SEARCH(("기타"),(L349))))</formula>
    </cfRule>
    <cfRule type="containsText" dxfId="870" priority="1398" operator="containsText" text="프로젝트">
      <formula>NOT(ISERROR(SEARCH(("프로젝트"),(L349))))</formula>
    </cfRule>
    <cfRule type="containsText" dxfId="869" priority="1399" operator="containsText" text="정규교과">
      <formula>NOT(ISERROR(SEARCH(("정규교과"),(L349))))</formula>
    </cfRule>
    <cfRule type="containsText" dxfId="868" priority="1400" operator="containsText" text="기타">
      <formula>NOT(ISERROR(SEARCH(("기타"),(L349))))</formula>
    </cfRule>
    <cfRule type="containsText" dxfId="867" priority="1401" operator="containsText" text="프로젝트">
      <formula>NOT(ISERROR(SEARCH(("프로젝트"),(L349))))</formula>
    </cfRule>
  </conditionalFormatting>
  <conditionalFormatting sqref="L114:M114">
    <cfRule type="containsText" dxfId="866" priority="6929" operator="containsText" text="프로젝트">
      <formula>NOT(ISERROR(SEARCH(("프로젝트"),(L114))))</formula>
    </cfRule>
    <cfRule type="containsText" dxfId="865" priority="6937" operator="containsText" text="기타">
      <formula>NOT(ISERROR(SEARCH(("기타"),(L114))))</formula>
    </cfRule>
    <cfRule type="containsText" dxfId="864" priority="6938" operator="containsText" text="프로젝트">
      <formula>NOT(ISERROR(SEARCH(("프로젝트"),(L114))))</formula>
    </cfRule>
    <cfRule type="containsText" dxfId="863" priority="6939" operator="containsText" text="정규교과">
      <formula>NOT(ISERROR(SEARCH(("정규교과"),(L114))))</formula>
    </cfRule>
    <cfRule type="containsText" dxfId="862" priority="6930" operator="containsText" text="정규교과">
      <formula>NOT(ISERROR(SEARCH(("정규교과"),(L114))))</formula>
    </cfRule>
    <cfRule type="containsText" dxfId="861" priority="6931" operator="containsText" text="기타">
      <formula>NOT(ISERROR(SEARCH(("기타"),(L114))))</formula>
    </cfRule>
    <cfRule type="containsText" dxfId="860" priority="6932" operator="containsText" text="프로젝트">
      <formula>NOT(ISERROR(SEARCH(("프로젝트"),(L114))))</formula>
    </cfRule>
    <cfRule type="containsText" dxfId="859" priority="6933" operator="containsText" text="정규교과">
      <formula>NOT(ISERROR(SEARCH(("정규교과"),(L114))))</formula>
    </cfRule>
    <cfRule type="containsText" dxfId="858" priority="6935" operator="containsText" text="프로젝트">
      <formula>NOT(ISERROR(SEARCH(("프로젝트"),(L114))))</formula>
    </cfRule>
    <cfRule type="containsText" dxfId="857" priority="6940" operator="containsText" text="기타">
      <formula>NOT(ISERROR(SEARCH(("기타"),(L114))))</formula>
    </cfRule>
    <cfRule type="containsText" dxfId="856" priority="6936" operator="containsText" text="정규교과">
      <formula>NOT(ISERROR(SEARCH(("정규교과"),(L114))))</formula>
    </cfRule>
    <cfRule type="containsText" dxfId="855" priority="6941" operator="containsText" text="프로젝트">
      <formula>NOT(ISERROR(SEARCH(("프로젝트"),(L114))))</formula>
    </cfRule>
    <cfRule type="containsText" dxfId="854" priority="6934" operator="containsText" text="기타">
      <formula>NOT(ISERROR(SEARCH(("기타"),(L114))))</formula>
    </cfRule>
    <cfRule type="containsText" dxfId="853" priority="6943" operator="containsText" text="기타">
      <formula>NOT(ISERROR(SEARCH(("기타"),(L114))))</formula>
    </cfRule>
    <cfRule type="containsText" dxfId="852" priority="6942" operator="containsText" text="정규교과">
      <formula>NOT(ISERROR(SEARCH(("정규교과"),(L114))))</formula>
    </cfRule>
    <cfRule type="containsText" dxfId="851" priority="6928" operator="containsText" text="휴강">
      <formula>NOT(ISERROR(SEARCH(("휴강"),(L114))))</formula>
    </cfRule>
  </conditionalFormatting>
  <conditionalFormatting sqref="L197:M197">
    <cfRule type="containsText" dxfId="850" priority="14936" operator="containsText" text="정규교과">
      <formula>NOT(ISERROR(SEARCH(("정규교과"),(L197))))</formula>
    </cfRule>
    <cfRule type="containsText" dxfId="849" priority="14934" operator="containsText" text="기타">
      <formula>NOT(ISERROR(SEARCH(("기타"),(L197))))</formula>
    </cfRule>
    <cfRule type="containsText" dxfId="848" priority="14937" operator="containsText" text="기타">
      <formula>NOT(ISERROR(SEARCH(("기타"),(L197))))</formula>
    </cfRule>
    <cfRule type="containsText" dxfId="847" priority="14939" operator="containsText" text="정규교과">
      <formula>NOT(ISERROR(SEARCH(("정규교과"),(L197))))</formula>
    </cfRule>
    <cfRule type="containsText" dxfId="846" priority="14933" operator="containsText" text="정규교과">
      <formula>NOT(ISERROR(SEARCH(("정규교과"),(L197))))</formula>
    </cfRule>
    <cfRule type="containsText" dxfId="845" priority="14932" operator="containsText" text="프로젝트">
      <formula>NOT(ISERROR(SEARCH(("프로젝트"),(L197))))</formula>
    </cfRule>
    <cfRule type="containsText" dxfId="844" priority="14931" operator="containsText" text="기타">
      <formula>NOT(ISERROR(SEARCH(("기타"),(L197))))</formula>
    </cfRule>
    <cfRule type="containsText" dxfId="843" priority="14930" operator="containsText" text="정규교과">
      <formula>NOT(ISERROR(SEARCH(("정규교과"),(L197))))</formula>
    </cfRule>
    <cfRule type="containsText" dxfId="842" priority="14940" operator="containsText" text="기타">
      <formula>NOT(ISERROR(SEARCH(("기타"),(L197))))</formula>
    </cfRule>
    <cfRule type="containsText" dxfId="841" priority="14929" operator="containsText" text="프로젝트">
      <formula>NOT(ISERROR(SEARCH(("프로젝트"),(L197))))</formula>
    </cfRule>
    <cfRule type="containsText" dxfId="840" priority="14938" operator="containsText" text="프로젝트">
      <formula>NOT(ISERROR(SEARCH(("프로젝트"),(L197))))</formula>
    </cfRule>
    <cfRule type="containsText" dxfId="839" priority="14935" operator="containsText" text="프로젝트">
      <formula>NOT(ISERROR(SEARCH(("프로젝트"),(L197))))</formula>
    </cfRule>
  </conditionalFormatting>
  <conditionalFormatting sqref="L201:M201">
    <cfRule type="containsText" dxfId="838" priority="14947" operator="containsText" text="프로젝트">
      <formula>NOT(ISERROR(SEARCH(("프로젝트"),(L201))))</formula>
    </cfRule>
    <cfRule type="containsText" dxfId="837" priority="14941" operator="containsText" text="프로젝트">
      <formula>NOT(ISERROR(SEARCH(("프로젝트"),(L201))))</formula>
    </cfRule>
    <cfRule type="containsText" dxfId="836" priority="14944" operator="containsText" text="프로젝트">
      <formula>NOT(ISERROR(SEARCH(("프로젝트"),(L201))))</formula>
    </cfRule>
    <cfRule type="containsText" dxfId="835" priority="14948" operator="containsText" text="정규교과">
      <formula>NOT(ISERROR(SEARCH(("정규교과"),(L201))))</formula>
    </cfRule>
    <cfRule type="containsText" dxfId="834" priority="14949" operator="containsText" text="기타">
      <formula>NOT(ISERROR(SEARCH(("기타"),(L201))))</formula>
    </cfRule>
    <cfRule type="containsText" dxfId="833" priority="14945" operator="containsText" text="정규교과">
      <formula>NOT(ISERROR(SEARCH(("정규교과"),(L201))))</formula>
    </cfRule>
    <cfRule type="containsText" dxfId="832" priority="14946" operator="containsText" text="기타">
      <formula>NOT(ISERROR(SEARCH(("기타"),(L201))))</formula>
    </cfRule>
    <cfRule type="containsText" dxfId="831" priority="14943" operator="containsText" text="기타">
      <formula>NOT(ISERROR(SEARCH(("기타"),(L201))))</formula>
    </cfRule>
    <cfRule type="containsText" dxfId="830" priority="14942" operator="containsText" text="정규교과">
      <formula>NOT(ISERROR(SEARCH(("정규교과"),(L201))))</formula>
    </cfRule>
    <cfRule type="containsText" dxfId="829" priority="14952" operator="containsText" text="기타">
      <formula>NOT(ISERROR(SEARCH(("기타"),(L201))))</formula>
    </cfRule>
    <cfRule type="containsText" dxfId="828" priority="14951" operator="containsText" text="정규교과">
      <formula>NOT(ISERROR(SEARCH(("정규교과"),(L201))))</formula>
    </cfRule>
    <cfRule type="containsText" dxfId="827" priority="14950" operator="containsText" text="프로젝트">
      <formula>NOT(ISERROR(SEARCH(("프로젝트"),(L201))))</formula>
    </cfRule>
  </conditionalFormatting>
  <conditionalFormatting sqref="L205:M205">
    <cfRule type="containsText" dxfId="826" priority="14961" operator="containsText" text="기타">
      <formula>NOT(ISERROR(SEARCH(("기타"),(L205))))</formula>
    </cfRule>
    <cfRule type="containsText" dxfId="825" priority="14962" operator="containsText" text="프로젝트">
      <formula>NOT(ISERROR(SEARCH(("프로젝트"),(L205))))</formula>
    </cfRule>
    <cfRule type="containsText" dxfId="824" priority="14959" operator="containsText" text="프로젝트">
      <formula>NOT(ISERROR(SEARCH(("프로젝트"),(L205))))</formula>
    </cfRule>
    <cfRule type="containsText" dxfId="823" priority="14963" operator="containsText" text="정규교과">
      <formula>NOT(ISERROR(SEARCH(("정규교과"),(L205))))</formula>
    </cfRule>
    <cfRule type="containsText" dxfId="822" priority="14964" operator="containsText" text="기타">
      <formula>NOT(ISERROR(SEARCH(("기타"),(L205))))</formula>
    </cfRule>
    <cfRule type="containsText" dxfId="821" priority="14956" operator="containsText" text="프로젝트">
      <formula>NOT(ISERROR(SEARCH(("프로젝트"),(L205))))</formula>
    </cfRule>
    <cfRule type="containsText" dxfId="820" priority="14960" operator="containsText" text="정규교과">
      <formula>NOT(ISERROR(SEARCH(("정규교과"),(L205))))</formula>
    </cfRule>
    <cfRule type="containsText" dxfId="819" priority="14955" operator="containsText" text="기타">
      <formula>NOT(ISERROR(SEARCH(("기타"),(L205))))</formula>
    </cfRule>
    <cfRule type="containsText" dxfId="818" priority="14958" operator="containsText" text="기타">
      <formula>NOT(ISERROR(SEARCH(("기타"),(L205))))</formula>
    </cfRule>
    <cfRule type="containsText" dxfId="817" priority="14954" operator="containsText" text="정규교과">
      <formula>NOT(ISERROR(SEARCH(("정규교과"),(L205))))</formula>
    </cfRule>
    <cfRule type="containsText" dxfId="816" priority="14953" operator="containsText" text="프로젝트">
      <formula>NOT(ISERROR(SEARCH(("프로젝트"),(L205))))</formula>
    </cfRule>
    <cfRule type="containsText" dxfId="815" priority="14957" operator="containsText" text="정규교과">
      <formula>NOT(ISERROR(SEARCH(("정규교과"),(L205))))</formula>
    </cfRule>
  </conditionalFormatting>
  <conditionalFormatting sqref="L209:M209">
    <cfRule type="containsText" dxfId="814" priority="14972" operator="containsText" text="정규교과">
      <formula>NOT(ISERROR(SEARCH(("정규교과"),(L209))))</formula>
    </cfRule>
    <cfRule type="containsText" dxfId="813" priority="14971" operator="containsText" text="프로젝트">
      <formula>NOT(ISERROR(SEARCH(("프로젝트"),(L209))))</formula>
    </cfRule>
    <cfRule type="containsText" dxfId="812" priority="14974" operator="containsText" text="프로젝트">
      <formula>NOT(ISERROR(SEARCH(("프로젝트"),(L209))))</formula>
    </cfRule>
    <cfRule type="containsText" dxfId="811" priority="14965" operator="containsText" text="프로젝트">
      <formula>NOT(ISERROR(SEARCH(("프로젝트"),(L209))))</formula>
    </cfRule>
    <cfRule type="containsText" dxfId="810" priority="14975" operator="containsText" text="정규교과">
      <formula>NOT(ISERROR(SEARCH(("정규교과"),(L209))))</formula>
    </cfRule>
    <cfRule type="containsText" dxfId="809" priority="14976" operator="containsText" text="기타">
      <formula>NOT(ISERROR(SEARCH(("기타"),(L209))))</formula>
    </cfRule>
    <cfRule type="containsText" dxfId="808" priority="14967" operator="containsText" text="기타">
      <formula>NOT(ISERROR(SEARCH(("기타"),(L209))))</formula>
    </cfRule>
    <cfRule type="containsText" dxfId="807" priority="14968" operator="containsText" text="프로젝트">
      <formula>NOT(ISERROR(SEARCH(("프로젝트"),(L209))))</formula>
    </cfRule>
    <cfRule type="containsText" dxfId="806" priority="14969" operator="containsText" text="정규교과">
      <formula>NOT(ISERROR(SEARCH(("정규교과"),(L209))))</formula>
    </cfRule>
    <cfRule type="containsText" dxfId="805" priority="14970" operator="containsText" text="기타">
      <formula>NOT(ISERROR(SEARCH(("기타"),(L209))))</formula>
    </cfRule>
    <cfRule type="containsText" dxfId="804" priority="14973" operator="containsText" text="기타">
      <formula>NOT(ISERROR(SEARCH(("기타"),(L209))))</formula>
    </cfRule>
    <cfRule type="containsText" dxfId="803" priority="14966" operator="containsText" text="정규교과">
      <formula>NOT(ISERROR(SEARCH(("정규교과"),(L209))))</formula>
    </cfRule>
  </conditionalFormatting>
  <conditionalFormatting sqref="L215:M215">
    <cfRule type="containsText" dxfId="802" priority="4159" operator="containsText" text="프로젝트">
      <formula>NOT(ISERROR(SEARCH(("프로젝트"),(L215))))</formula>
    </cfRule>
    <cfRule type="containsText" dxfId="801" priority="4160" operator="containsText" text="정규교과">
      <formula>NOT(ISERROR(SEARCH(("정규교과"),(L215))))</formula>
    </cfRule>
    <cfRule type="containsText" dxfId="800" priority="4161" operator="containsText" text="기타">
      <formula>NOT(ISERROR(SEARCH(("기타"),(L215))))</formula>
    </cfRule>
    <cfRule type="containsText" dxfId="799" priority="4162" operator="containsText" text="프로젝트">
      <formula>NOT(ISERROR(SEARCH(("프로젝트"),(L215))))</formula>
    </cfRule>
    <cfRule type="containsText" dxfId="798" priority="4163" operator="containsText" text="정규교과">
      <formula>NOT(ISERROR(SEARCH(("정규교과"),(L215))))</formula>
    </cfRule>
    <cfRule type="containsText" dxfId="797" priority="4156" operator="containsText" text="프로젝트">
      <formula>NOT(ISERROR(SEARCH(("프로젝트"),(L215))))</formula>
    </cfRule>
    <cfRule type="containsText" dxfId="796" priority="4164" operator="containsText" text="기타">
      <formula>NOT(ISERROR(SEARCH(("기타"),(L215))))</formula>
    </cfRule>
    <cfRule type="containsText" dxfId="795" priority="4157" operator="containsText" text="정규교과">
      <formula>NOT(ISERROR(SEARCH(("정규교과"),(L215))))</formula>
    </cfRule>
    <cfRule type="containsText" dxfId="794" priority="4158" operator="containsText" text="기타">
      <formula>NOT(ISERROR(SEARCH(("기타"),(L215))))</formula>
    </cfRule>
  </conditionalFormatting>
  <conditionalFormatting sqref="L219:M219">
    <cfRule type="containsText" dxfId="793" priority="4126" operator="containsText" text="프로젝트">
      <formula>NOT(ISERROR(SEARCH(("프로젝트"),(L219))))</formula>
    </cfRule>
    <cfRule type="containsText" dxfId="792" priority="4124" operator="containsText" text="정규교과">
      <formula>NOT(ISERROR(SEARCH(("정규교과"),(L219))))</formula>
    </cfRule>
    <cfRule type="containsText" dxfId="791" priority="4123" operator="containsText" text="프로젝트">
      <formula>NOT(ISERROR(SEARCH(("프로젝트"),(L219))))</formula>
    </cfRule>
    <cfRule type="containsText" dxfId="790" priority="4125" operator="containsText" text="기타">
      <formula>NOT(ISERROR(SEARCH(("기타"),(L219))))</formula>
    </cfRule>
    <cfRule type="containsText" dxfId="789" priority="4131" operator="containsText" text="기타">
      <formula>NOT(ISERROR(SEARCH(("기타"),(L219))))</formula>
    </cfRule>
    <cfRule type="containsText" dxfId="788" priority="4130" operator="containsText" text="정규교과">
      <formula>NOT(ISERROR(SEARCH(("정규교과"),(L219))))</formula>
    </cfRule>
    <cfRule type="containsText" dxfId="787" priority="4129" operator="containsText" text="프로젝트">
      <formula>NOT(ISERROR(SEARCH(("프로젝트"),(L219))))</formula>
    </cfRule>
    <cfRule type="containsText" dxfId="786" priority="4128" operator="containsText" text="기타">
      <formula>NOT(ISERROR(SEARCH(("기타"),(L219))))</formula>
    </cfRule>
    <cfRule type="containsText" dxfId="785" priority="4127" operator="containsText" text="정규교과">
      <formula>NOT(ISERROR(SEARCH(("정규교과"),(L219))))</formula>
    </cfRule>
  </conditionalFormatting>
  <conditionalFormatting sqref="L223:M223">
    <cfRule type="containsText" dxfId="784" priority="4098" operator="containsText" text="기타">
      <formula>NOT(ISERROR(SEARCH(("기타"),(L223))))</formula>
    </cfRule>
    <cfRule type="containsText" dxfId="783" priority="4095" operator="containsText" text="기타">
      <formula>NOT(ISERROR(SEARCH(("기타"),(L223))))</formula>
    </cfRule>
    <cfRule type="containsText" dxfId="782" priority="4096" operator="containsText" text="프로젝트">
      <formula>NOT(ISERROR(SEARCH(("프로젝트"),(L223))))</formula>
    </cfRule>
    <cfRule type="containsText" dxfId="781" priority="4097" operator="containsText" text="정규교과">
      <formula>NOT(ISERROR(SEARCH(("정규교과"),(L223))))</formula>
    </cfRule>
    <cfRule type="containsText" dxfId="780" priority="4094" operator="containsText" text="정규교과">
      <formula>NOT(ISERROR(SEARCH(("정규교과"),(L223))))</formula>
    </cfRule>
    <cfRule type="containsText" dxfId="779" priority="4093" operator="containsText" text="프로젝트">
      <formula>NOT(ISERROR(SEARCH(("프로젝트"),(L223))))</formula>
    </cfRule>
    <cfRule type="containsText" dxfId="778" priority="4092" operator="containsText" text="기타">
      <formula>NOT(ISERROR(SEARCH(("기타"),(L223))))</formula>
    </cfRule>
    <cfRule type="containsText" dxfId="777" priority="4091" operator="containsText" text="정규교과">
      <formula>NOT(ISERROR(SEARCH(("정규교과"),(L223))))</formula>
    </cfRule>
    <cfRule type="containsText" dxfId="776" priority="4090" operator="containsText" text="프로젝트">
      <formula>NOT(ISERROR(SEARCH(("프로젝트"),(L223))))</formula>
    </cfRule>
  </conditionalFormatting>
  <conditionalFormatting sqref="L232:M232">
    <cfRule type="containsText" dxfId="775" priority="4035" operator="containsText" text="기타">
      <formula>NOT(ISERROR(SEARCH(("기타"),(L232))))</formula>
    </cfRule>
    <cfRule type="containsText" dxfId="774" priority="4038" operator="containsText" text="기타">
      <formula>NOT(ISERROR(SEARCH(("기타"),(L232))))</formula>
    </cfRule>
    <cfRule type="containsText" dxfId="773" priority="4037" operator="containsText" text="정규교과">
      <formula>NOT(ISERROR(SEARCH(("정규교과"),(L232))))</formula>
    </cfRule>
    <cfRule type="containsText" dxfId="772" priority="4041" operator="containsText" text="기타">
      <formula>NOT(ISERROR(SEARCH(("기타"),(L232))))</formula>
    </cfRule>
    <cfRule type="containsText" dxfId="771" priority="4040" operator="containsText" text="정규교과">
      <formula>NOT(ISERROR(SEARCH(("정규교과"),(L232))))</formula>
    </cfRule>
    <cfRule type="containsText" dxfId="770" priority="4036" operator="containsText" text="프로젝트">
      <formula>NOT(ISERROR(SEARCH(("프로젝트"),(L232))))</formula>
    </cfRule>
    <cfRule type="containsText" dxfId="769" priority="4034" operator="containsText" text="정규교과">
      <formula>NOT(ISERROR(SEARCH(("정규교과"),(L232))))</formula>
    </cfRule>
    <cfRule type="containsText" dxfId="768" priority="4039" operator="containsText" text="프로젝트">
      <formula>NOT(ISERROR(SEARCH(("프로젝트"),(L232))))</formula>
    </cfRule>
    <cfRule type="containsText" dxfId="767" priority="4033" operator="containsText" text="프로젝트">
      <formula>NOT(ISERROR(SEARCH(("프로젝트"),(L232))))</formula>
    </cfRule>
  </conditionalFormatting>
  <conditionalFormatting sqref="L236:M236">
    <cfRule type="containsText" dxfId="766" priority="4007" operator="containsText" text="정규교과">
      <formula>NOT(ISERROR(SEARCH(("정규교과"),(L236))))</formula>
    </cfRule>
    <cfRule type="containsText" dxfId="765" priority="4003" operator="containsText" text="프로젝트">
      <formula>NOT(ISERROR(SEARCH(("프로젝트"),(L236))))</formula>
    </cfRule>
    <cfRule type="containsText" dxfId="764" priority="4004" operator="containsText" text="정규교과">
      <formula>NOT(ISERROR(SEARCH(("정규교과"),(L236))))</formula>
    </cfRule>
    <cfRule type="containsText" dxfId="763" priority="4006" operator="containsText" text="프로젝트">
      <formula>NOT(ISERROR(SEARCH(("프로젝트"),(L236))))</formula>
    </cfRule>
    <cfRule type="containsText" dxfId="762" priority="4005" operator="containsText" text="기타">
      <formula>NOT(ISERROR(SEARCH(("기타"),(L236))))</formula>
    </cfRule>
    <cfRule type="containsText" dxfId="761" priority="4000" operator="containsText" text="프로젝트">
      <formula>NOT(ISERROR(SEARCH(("프로젝트"),(L236))))</formula>
    </cfRule>
    <cfRule type="containsText" dxfId="760" priority="4001" operator="containsText" text="정규교과">
      <formula>NOT(ISERROR(SEARCH(("정규교과"),(L236))))</formula>
    </cfRule>
    <cfRule type="containsText" dxfId="759" priority="4008" operator="containsText" text="기타">
      <formula>NOT(ISERROR(SEARCH(("기타"),(L236))))</formula>
    </cfRule>
    <cfRule type="containsText" dxfId="758" priority="4002" operator="containsText" text="기타">
      <formula>NOT(ISERROR(SEARCH(("기타"),(L236))))</formula>
    </cfRule>
  </conditionalFormatting>
  <conditionalFormatting sqref="L240:M240">
    <cfRule type="containsText" dxfId="757" priority="3973" operator="containsText" text="프로젝트">
      <formula>NOT(ISERROR(SEARCH(("프로젝트"),(L240))))</formula>
    </cfRule>
    <cfRule type="containsText" dxfId="756" priority="3974" operator="containsText" text="정규교과">
      <formula>NOT(ISERROR(SEARCH(("정규교과"),(L240))))</formula>
    </cfRule>
    <cfRule type="containsText" dxfId="755" priority="3975" operator="containsText" text="기타">
      <formula>NOT(ISERROR(SEARCH(("기타"),(L240))))</formula>
    </cfRule>
    <cfRule type="containsText" dxfId="754" priority="3967" operator="containsText" text="프로젝트">
      <formula>NOT(ISERROR(SEARCH(("프로젝트"),(L240))))</formula>
    </cfRule>
    <cfRule type="containsText" dxfId="753" priority="3968" operator="containsText" text="정규교과">
      <formula>NOT(ISERROR(SEARCH(("정규교과"),(L240))))</formula>
    </cfRule>
    <cfRule type="containsText" dxfId="752" priority="3969" operator="containsText" text="기타">
      <formula>NOT(ISERROR(SEARCH(("기타"),(L240))))</formula>
    </cfRule>
    <cfRule type="containsText" dxfId="751" priority="3970" operator="containsText" text="프로젝트">
      <formula>NOT(ISERROR(SEARCH(("프로젝트"),(L240))))</formula>
    </cfRule>
    <cfRule type="containsText" dxfId="750" priority="3971" operator="containsText" text="정규교과">
      <formula>NOT(ISERROR(SEARCH(("정규교과"),(L240))))</formula>
    </cfRule>
    <cfRule type="containsText" dxfId="749" priority="3972" operator="containsText" text="기타">
      <formula>NOT(ISERROR(SEARCH(("기타"),(L240))))</formula>
    </cfRule>
  </conditionalFormatting>
  <conditionalFormatting sqref="L244:M244">
    <cfRule type="containsText" dxfId="748" priority="3939" operator="containsText" text="기타">
      <formula>NOT(ISERROR(SEARCH(("기타"),(L244))))</formula>
    </cfRule>
    <cfRule type="containsText" dxfId="747" priority="3942" operator="containsText" text="기타">
      <formula>NOT(ISERROR(SEARCH(("기타"),(L244))))</formula>
    </cfRule>
    <cfRule type="containsText" dxfId="746" priority="3934" operator="containsText" text="프로젝트">
      <formula>NOT(ISERROR(SEARCH(("프로젝트"),(L244))))</formula>
    </cfRule>
    <cfRule type="containsText" dxfId="745" priority="3935" operator="containsText" text="정규교과">
      <formula>NOT(ISERROR(SEARCH(("정규교과"),(L244))))</formula>
    </cfRule>
    <cfRule type="containsText" dxfId="744" priority="3936" operator="containsText" text="기타">
      <formula>NOT(ISERROR(SEARCH(("기타"),(L244))))</formula>
    </cfRule>
    <cfRule type="containsText" dxfId="743" priority="3937" operator="containsText" text="프로젝트">
      <formula>NOT(ISERROR(SEARCH(("프로젝트"),(L244))))</formula>
    </cfRule>
    <cfRule type="containsText" dxfId="742" priority="3938" operator="containsText" text="정규교과">
      <formula>NOT(ISERROR(SEARCH(("정규교과"),(L244))))</formula>
    </cfRule>
    <cfRule type="containsText" dxfId="741" priority="3940" operator="containsText" text="프로젝트">
      <formula>NOT(ISERROR(SEARCH(("프로젝트"),(L244))))</formula>
    </cfRule>
    <cfRule type="containsText" dxfId="740" priority="3941" operator="containsText" text="정규교과">
      <formula>NOT(ISERROR(SEARCH(("정규교과"),(L244))))</formula>
    </cfRule>
  </conditionalFormatting>
  <conditionalFormatting sqref="L250:M250 D251:M253 L254:M254 D255:M257 L258:M258 D259:M262 L263:M263 D264:M266 L267:M267 D268:M270 L271:M271 D272:M274 L275:M275 D276:M278 L279:M279 D280:M282">
    <cfRule type="containsText" dxfId="739" priority="14672" operator="containsText" text="프로젝트">
      <formula>NOT(ISERROR(SEARCH(("프로젝트"),(D250))))</formula>
    </cfRule>
  </conditionalFormatting>
  <conditionalFormatting sqref="L254:M254">
    <cfRule type="containsText" dxfId="738" priority="14677" operator="containsText" text="기타">
      <formula>NOT(ISERROR(SEARCH(("기타"),(L254))))</formula>
    </cfRule>
    <cfRule type="containsText" dxfId="737" priority="14676" operator="containsText" text="정규교과">
      <formula>NOT(ISERROR(SEARCH(("정규교과"),(L254))))</formula>
    </cfRule>
    <cfRule type="containsText" dxfId="736" priority="14675" operator="containsText" text="프로젝트">
      <formula>NOT(ISERROR(SEARCH(("프로젝트"),(L254))))</formula>
    </cfRule>
  </conditionalFormatting>
  <conditionalFormatting sqref="L258:M258">
    <cfRule type="containsText" dxfId="735" priority="14679" operator="containsText" text="정규교과">
      <formula>NOT(ISERROR(SEARCH(("정규교과"),(L258))))</formula>
    </cfRule>
    <cfRule type="containsText" dxfId="734" priority="14683" operator="containsText" text="기타">
      <formula>NOT(ISERROR(SEARCH(("기타"),(L258))))</formula>
    </cfRule>
    <cfRule type="containsText" dxfId="733" priority="14682" operator="containsText" text="정규교과">
      <formula>NOT(ISERROR(SEARCH(("정규교과"),(L258))))</formula>
    </cfRule>
    <cfRule type="containsText" dxfId="732" priority="14681" operator="containsText" text="프로젝트">
      <formula>NOT(ISERROR(SEARCH(("프로젝트"),(L258))))</formula>
    </cfRule>
    <cfRule type="containsText" dxfId="731" priority="14680" operator="containsText" text="기타">
      <formula>NOT(ISERROR(SEARCH(("기타"),(L258))))</formula>
    </cfRule>
    <cfRule type="containsText" dxfId="730" priority="14678" operator="containsText" text="프로젝트">
      <formula>NOT(ISERROR(SEARCH(("프로젝트"),(L258))))</formula>
    </cfRule>
  </conditionalFormatting>
  <conditionalFormatting sqref="L263:M263">
    <cfRule type="containsText" dxfId="729" priority="14692" operator="containsText" text="기타">
      <formula>NOT(ISERROR(SEARCH(("기타"),(L263))))</formula>
    </cfRule>
    <cfRule type="containsText" dxfId="728" priority="14691" operator="containsText" text="정규교과">
      <formula>NOT(ISERROR(SEARCH(("정규교과"),(L263))))</formula>
    </cfRule>
    <cfRule type="containsText" dxfId="727" priority="14690" operator="containsText" text="프로젝트">
      <formula>NOT(ISERROR(SEARCH(("프로젝트"),(L263))))</formula>
    </cfRule>
    <cfRule type="containsText" dxfId="726" priority="14689" operator="containsText" text="기타">
      <formula>NOT(ISERROR(SEARCH(("기타"),(L263))))</formula>
    </cfRule>
    <cfRule type="containsText" dxfId="725" priority="14688" operator="containsText" text="정규교과">
      <formula>NOT(ISERROR(SEARCH(("정규교과"),(L263))))</formula>
    </cfRule>
    <cfRule type="containsText" dxfId="724" priority="14687" operator="containsText" text="프로젝트">
      <formula>NOT(ISERROR(SEARCH(("프로젝트"),(L263))))</formula>
    </cfRule>
  </conditionalFormatting>
  <conditionalFormatting sqref="L267:M267">
    <cfRule type="containsText" dxfId="723" priority="14693" operator="containsText" text="프로젝트">
      <formula>NOT(ISERROR(SEARCH(("프로젝트"),(L267))))</formula>
    </cfRule>
    <cfRule type="containsText" dxfId="722" priority="14698" operator="containsText" text="기타">
      <formula>NOT(ISERROR(SEARCH(("기타"),(L267))))</formula>
    </cfRule>
    <cfRule type="containsText" dxfId="721" priority="14697" operator="containsText" text="정규교과">
      <formula>NOT(ISERROR(SEARCH(("정규교과"),(L267))))</formula>
    </cfRule>
    <cfRule type="containsText" dxfId="720" priority="14699" operator="containsText" text="프로젝트">
      <formula>NOT(ISERROR(SEARCH(("프로젝트"),(L267))))</formula>
    </cfRule>
    <cfRule type="containsText" dxfId="719" priority="14696" operator="containsText" text="프로젝트">
      <formula>NOT(ISERROR(SEARCH(("프로젝트"),(L267))))</formula>
    </cfRule>
    <cfRule type="containsText" dxfId="718" priority="14695" operator="containsText" text="기타">
      <formula>NOT(ISERROR(SEARCH(("기타"),(L267))))</formula>
    </cfRule>
    <cfRule type="containsText" dxfId="717" priority="14694" operator="containsText" text="정규교과">
      <formula>NOT(ISERROR(SEARCH(("정규교과"),(L267))))</formula>
    </cfRule>
    <cfRule type="containsText" dxfId="716" priority="14700" operator="containsText" text="정규교과">
      <formula>NOT(ISERROR(SEARCH(("정규교과"),(L267))))</formula>
    </cfRule>
    <cfRule type="containsText" dxfId="715" priority="14701" operator="containsText" text="기타">
      <formula>NOT(ISERROR(SEARCH(("기타"),(L267))))</formula>
    </cfRule>
    <cfRule type="containsText" dxfId="714" priority="14702" operator="containsText" text="프로젝트">
      <formula>NOT(ISERROR(SEARCH(("프로젝트"),(L267))))</formula>
    </cfRule>
    <cfRule type="containsText" dxfId="713" priority="14703" operator="containsText" text="정규교과">
      <formula>NOT(ISERROR(SEARCH(("정규교과"),(L267))))</formula>
    </cfRule>
    <cfRule type="containsText" dxfId="712" priority="14704" operator="containsText" text="기타">
      <formula>NOT(ISERROR(SEARCH(("기타"),(L267))))</formula>
    </cfRule>
  </conditionalFormatting>
  <conditionalFormatting sqref="L271:M271">
    <cfRule type="containsText" dxfId="711" priority="14713" operator="containsText" text="기타">
      <formula>NOT(ISERROR(SEARCH(("기타"),(L271))))</formula>
    </cfRule>
    <cfRule type="containsText" dxfId="710" priority="14715" operator="containsText" text="정규교과">
      <formula>NOT(ISERROR(SEARCH(("정규교과"),(L271))))</formula>
    </cfRule>
    <cfRule type="containsText" dxfId="709" priority="14716" operator="containsText" text="기타">
      <formula>NOT(ISERROR(SEARCH(("기타"),(L271))))</formula>
    </cfRule>
    <cfRule type="containsText" dxfId="708" priority="14705" operator="containsText" text="프로젝트">
      <formula>NOT(ISERROR(SEARCH(("프로젝트"),(L271))))</formula>
    </cfRule>
    <cfRule type="containsText" dxfId="707" priority="14706" operator="containsText" text="정규교과">
      <formula>NOT(ISERROR(SEARCH(("정규교과"),(L271))))</formula>
    </cfRule>
    <cfRule type="containsText" dxfId="706" priority="14707" operator="containsText" text="기타">
      <formula>NOT(ISERROR(SEARCH(("기타"),(L271))))</formula>
    </cfRule>
    <cfRule type="containsText" dxfId="705" priority="14708" operator="containsText" text="프로젝트">
      <formula>NOT(ISERROR(SEARCH(("프로젝트"),(L271))))</formula>
    </cfRule>
    <cfRule type="containsText" dxfId="704" priority="14709" operator="containsText" text="정규교과">
      <formula>NOT(ISERROR(SEARCH(("정규교과"),(L271))))</formula>
    </cfRule>
    <cfRule type="containsText" dxfId="703" priority="14710" operator="containsText" text="기타">
      <formula>NOT(ISERROR(SEARCH(("기타"),(L271))))</formula>
    </cfRule>
    <cfRule type="containsText" dxfId="702" priority="14711" operator="containsText" text="프로젝트">
      <formula>NOT(ISERROR(SEARCH(("프로젝트"),(L271))))</formula>
    </cfRule>
    <cfRule type="containsText" dxfId="701" priority="14712" operator="containsText" text="정규교과">
      <formula>NOT(ISERROR(SEARCH(("정규교과"),(L271))))</formula>
    </cfRule>
    <cfRule type="containsText" dxfId="700" priority="14714" operator="containsText" text="프로젝트">
      <formula>NOT(ISERROR(SEARCH(("프로젝트"),(L271))))</formula>
    </cfRule>
  </conditionalFormatting>
  <conditionalFormatting sqref="L275:M275">
    <cfRule type="containsText" dxfId="699" priority="14718" operator="containsText" text="정규교과">
      <formula>NOT(ISERROR(SEARCH(("정규교과"),(L275))))</formula>
    </cfRule>
    <cfRule type="containsText" dxfId="698" priority="14719" operator="containsText" text="기타">
      <formula>NOT(ISERROR(SEARCH(("기타"),(L275))))</formula>
    </cfRule>
    <cfRule type="containsText" dxfId="697" priority="14720" operator="containsText" text="프로젝트">
      <formula>NOT(ISERROR(SEARCH(("프로젝트"),(L275))))</formula>
    </cfRule>
    <cfRule type="containsText" dxfId="696" priority="14721" operator="containsText" text="정규교과">
      <formula>NOT(ISERROR(SEARCH(("정규교과"),(L275))))</formula>
    </cfRule>
    <cfRule type="containsText" dxfId="695" priority="14722" operator="containsText" text="기타">
      <formula>NOT(ISERROR(SEARCH(("기타"),(L275))))</formula>
    </cfRule>
    <cfRule type="containsText" dxfId="694" priority="14723" operator="containsText" text="프로젝트">
      <formula>NOT(ISERROR(SEARCH(("프로젝트"),(L275))))</formula>
    </cfRule>
    <cfRule type="containsText" dxfId="693" priority="14724" operator="containsText" text="정규교과">
      <formula>NOT(ISERROR(SEARCH(("정규교과"),(L275))))</formula>
    </cfRule>
    <cfRule type="containsText" dxfId="692" priority="14725" operator="containsText" text="기타">
      <formula>NOT(ISERROR(SEARCH(("기타"),(L275))))</formula>
    </cfRule>
    <cfRule type="containsText" dxfId="691" priority="14727" operator="containsText" text="정규교과">
      <formula>NOT(ISERROR(SEARCH(("정규교과"),(L275))))</formula>
    </cfRule>
    <cfRule type="containsText" dxfId="690" priority="14728" operator="containsText" text="기타">
      <formula>NOT(ISERROR(SEARCH(("기타"),(L275))))</formula>
    </cfRule>
    <cfRule type="containsText" dxfId="689" priority="14726" operator="containsText" text="프로젝트">
      <formula>NOT(ISERROR(SEARCH(("프로젝트"),(L275))))</formula>
    </cfRule>
    <cfRule type="containsText" dxfId="688" priority="14717" operator="containsText" text="프로젝트">
      <formula>NOT(ISERROR(SEARCH(("프로젝트"),(L275))))</formula>
    </cfRule>
  </conditionalFormatting>
  <conditionalFormatting sqref="L279:M279">
    <cfRule type="containsText" dxfId="687" priority="14733" operator="containsText" text="정규교과">
      <formula>NOT(ISERROR(SEARCH(("정규교과"),(L279))))</formula>
    </cfRule>
    <cfRule type="containsText" dxfId="686" priority="14734" operator="containsText" text="기타">
      <formula>NOT(ISERROR(SEARCH(("기타"),(L279))))</formula>
    </cfRule>
    <cfRule type="containsText" dxfId="685" priority="14735" operator="containsText" text="프로젝트">
      <formula>NOT(ISERROR(SEARCH(("프로젝트"),(L279))))</formula>
    </cfRule>
    <cfRule type="containsText" dxfId="684" priority="14736" operator="containsText" text="정규교과">
      <formula>NOT(ISERROR(SEARCH(("정규교과"),(L279))))</formula>
    </cfRule>
    <cfRule type="containsText" dxfId="683" priority="14730" operator="containsText" text="정규교과">
      <formula>NOT(ISERROR(SEARCH(("정규교과"),(L279))))</formula>
    </cfRule>
    <cfRule type="containsText" dxfId="682" priority="14737" operator="containsText" text="기타">
      <formula>NOT(ISERROR(SEARCH(("기타"),(L279))))</formula>
    </cfRule>
    <cfRule type="containsText" dxfId="681" priority="14738" operator="containsText" text="프로젝트">
      <formula>NOT(ISERROR(SEARCH(("프로젝트"),(L279))))</formula>
    </cfRule>
    <cfRule type="containsText" dxfId="680" priority="14729" operator="containsText" text="프로젝트">
      <formula>NOT(ISERROR(SEARCH(("프로젝트"),(L279))))</formula>
    </cfRule>
    <cfRule type="containsText" dxfId="679" priority="14740" operator="containsText" text="기타">
      <formula>NOT(ISERROR(SEARCH(("기타"),(L279))))</formula>
    </cfRule>
    <cfRule type="containsText" dxfId="678" priority="14739" operator="containsText" text="정규교과">
      <formula>NOT(ISERROR(SEARCH(("정규교과"),(L279))))</formula>
    </cfRule>
    <cfRule type="containsText" dxfId="677" priority="14732" operator="containsText" text="프로젝트">
      <formula>NOT(ISERROR(SEARCH(("프로젝트"),(L279))))</formula>
    </cfRule>
    <cfRule type="containsText" dxfId="676" priority="14731" operator="containsText" text="기타">
      <formula>NOT(ISERROR(SEARCH(("기타"),(L279))))</formula>
    </cfRule>
  </conditionalFormatting>
  <conditionalFormatting sqref="M79">
    <cfRule type="containsText" dxfId="675" priority="9091" operator="containsText" text="기타">
      <formula>NOT(ISERROR(SEARCH(("기타"),(M79))))</formula>
    </cfRule>
    <cfRule type="containsText" dxfId="674" priority="9090" operator="containsText" text="정규교과">
      <formula>NOT(ISERROR(SEARCH(("정규교과"),(M79))))</formula>
    </cfRule>
    <cfRule type="containsText" dxfId="673" priority="9082" operator="containsText" text="기타">
      <formula>NOT(ISERROR(SEARCH(("기타"),(M79))))</formula>
    </cfRule>
    <cfRule type="containsText" dxfId="672" priority="9081" operator="containsText" text="정규교과">
      <formula>NOT(ISERROR(SEARCH(("정규교과"),(M79))))</formula>
    </cfRule>
    <cfRule type="containsText" dxfId="671" priority="9080" operator="containsText" text="프로젝트">
      <formula>NOT(ISERROR(SEARCH(("프로젝트"),(M79))))</formula>
    </cfRule>
    <cfRule type="containsText" dxfId="670" priority="9079" operator="containsText" text="기타">
      <formula>NOT(ISERROR(SEARCH(("기타"),(M79))))</formula>
    </cfRule>
    <cfRule type="containsText" dxfId="669" priority="9078" operator="containsText" text="정규교과">
      <formula>NOT(ISERROR(SEARCH(("정규교과"),(M79))))</formula>
    </cfRule>
    <cfRule type="containsText" dxfId="668" priority="9077" operator="containsText" text="프로젝트">
      <formula>NOT(ISERROR(SEARCH(("프로젝트"),(M79))))</formula>
    </cfRule>
    <cfRule type="containsText" dxfId="667" priority="9076" operator="containsText" text="휴강">
      <formula>NOT(ISERROR(SEARCH(("휴강"),(M79))))</formula>
    </cfRule>
    <cfRule type="containsText" dxfId="666" priority="9064" operator="containsText" text="프로젝트">
      <formula>NOT(ISERROR(SEARCH(("프로젝트"),(M79))))</formula>
    </cfRule>
    <cfRule type="containsText" dxfId="665" priority="9089" operator="containsText" text="프로젝트">
      <formula>NOT(ISERROR(SEARCH(("프로젝트"),(M79))))</formula>
    </cfRule>
    <cfRule type="containsText" dxfId="664" priority="9066" operator="containsText" text="기타">
      <formula>NOT(ISERROR(SEARCH(("기타"),(M79))))</formula>
    </cfRule>
    <cfRule type="containsText" dxfId="663" priority="9088" operator="containsText" text="기타">
      <formula>NOT(ISERROR(SEARCH(("기타"),(M79))))</formula>
    </cfRule>
    <cfRule type="containsText" dxfId="662" priority="9087" operator="containsText" text="정규교과">
      <formula>NOT(ISERROR(SEARCH(("정규교과"),(M79))))</formula>
    </cfRule>
    <cfRule type="containsText" dxfId="661" priority="9067" operator="containsText" text="프로젝트">
      <formula>NOT(ISERROR(SEARCH(("프로젝트"),(M79))))</formula>
    </cfRule>
    <cfRule type="containsText" dxfId="660" priority="9086" operator="containsText" text="프로젝트">
      <formula>NOT(ISERROR(SEARCH(("프로젝트"),(M79))))</formula>
    </cfRule>
    <cfRule type="containsText" dxfId="659" priority="9085" operator="containsText" text="기타">
      <formula>NOT(ISERROR(SEARCH(("기타"),(M79))))</formula>
    </cfRule>
    <cfRule type="containsText" dxfId="658" priority="9084" operator="containsText" text="정규교과">
      <formula>NOT(ISERROR(SEARCH(("정규교과"),(M79))))</formula>
    </cfRule>
    <cfRule type="containsText" dxfId="657" priority="9083" operator="containsText" text="프로젝트">
      <formula>NOT(ISERROR(SEARCH(("프로젝트"),(M79))))</formula>
    </cfRule>
    <cfRule type="containsText" dxfId="656" priority="9068" operator="containsText" text="정규교과">
      <formula>NOT(ISERROR(SEARCH(("정규교과"),(M79))))</formula>
    </cfRule>
    <cfRule type="containsText" dxfId="655" priority="9059" operator="containsText" text="정규교과">
      <formula>NOT(ISERROR(SEARCH(("정규교과"),(M79))))</formula>
    </cfRule>
    <cfRule type="containsText" dxfId="654" priority="9058" operator="containsText" text="프로젝트">
      <formula>NOT(ISERROR(SEARCH(("프로젝트"),(M79))))</formula>
    </cfRule>
    <cfRule type="containsText" dxfId="653" priority="9057" operator="containsText" text="기타">
      <formula>NOT(ISERROR(SEARCH(("기타"),(M79))))</formula>
    </cfRule>
    <cfRule type="containsText" dxfId="652" priority="9056" operator="containsText" text="정규교과">
      <formula>NOT(ISERROR(SEARCH(("정규교과"),(M79))))</formula>
    </cfRule>
    <cfRule type="containsText" dxfId="651" priority="9055" operator="containsText" text="프로젝트">
      <formula>NOT(ISERROR(SEARCH(("프로젝트"),(M79))))</formula>
    </cfRule>
    <cfRule type="containsText" dxfId="650" priority="9054" operator="containsText" text="기타">
      <formula>NOT(ISERROR(SEARCH(("기타"),(M79))))</formula>
    </cfRule>
    <cfRule type="containsText" dxfId="649" priority="9053" operator="containsText" text="정규교과">
      <formula>NOT(ISERROR(SEARCH(("정규교과"),(M79))))</formula>
    </cfRule>
    <cfRule type="containsText" dxfId="648" priority="9051" operator="containsText" text="기타">
      <formula>NOT(ISERROR(SEARCH(("기타"),(M79))))</formula>
    </cfRule>
    <cfRule type="containsText" dxfId="647" priority="9050" operator="containsText" text="정규교과">
      <formula>NOT(ISERROR(SEARCH(("정규교과"),(M79))))</formula>
    </cfRule>
    <cfRule type="containsText" dxfId="646" priority="9049" operator="containsText" text="프로젝트">
      <formula>NOT(ISERROR(SEARCH(("프로젝트"),(M79))))</formula>
    </cfRule>
    <cfRule type="containsText" dxfId="645" priority="9048" operator="containsText" text="기타">
      <formula>NOT(ISERROR(SEARCH(("기타"),(M79))))</formula>
    </cfRule>
    <cfRule type="containsText" dxfId="644" priority="9047" operator="containsText" text="정규교과">
      <formula>NOT(ISERROR(SEARCH(("정규교과"),(M79))))</formula>
    </cfRule>
    <cfRule type="containsText" dxfId="643" priority="9046" operator="containsText" text="프로젝트">
      <formula>NOT(ISERROR(SEARCH(("프로젝트"),(M79))))</formula>
    </cfRule>
    <cfRule type="containsText" dxfId="642" priority="9045" operator="containsText" text="기타">
      <formula>NOT(ISERROR(SEARCH(("기타"),(M79))))</formula>
    </cfRule>
    <cfRule type="containsText" dxfId="641" priority="9044" operator="containsText" text="정규교과">
      <formula>NOT(ISERROR(SEARCH(("정규교과"),(M79))))</formula>
    </cfRule>
    <cfRule type="containsText" dxfId="640" priority="9043" operator="containsText" text="프로젝트">
      <formula>NOT(ISERROR(SEARCH(("프로젝트"),(M79))))</formula>
    </cfRule>
    <cfRule type="containsText" dxfId="639" priority="9042" operator="containsText" text="기타">
      <formula>NOT(ISERROR(SEARCH(("기타"),(M79))))</formula>
    </cfRule>
    <cfRule type="containsText" dxfId="638" priority="9041" operator="containsText" text="정규교과">
      <formula>NOT(ISERROR(SEARCH(("정규교과"),(M79))))</formula>
    </cfRule>
    <cfRule type="containsText" dxfId="637" priority="9040" operator="containsText" text="프로젝트">
      <formula>NOT(ISERROR(SEARCH(("프로젝트"),(M79))))</formula>
    </cfRule>
    <cfRule type="containsText" dxfId="636" priority="9069" operator="containsText" text="기타">
      <formula>NOT(ISERROR(SEARCH(("기타"),(M79))))</formula>
    </cfRule>
    <cfRule type="containsText" dxfId="635" priority="9070" operator="containsText" text="프로젝트">
      <formula>NOT(ISERROR(SEARCH(("프로젝트"),(M79))))</formula>
    </cfRule>
    <cfRule type="containsText" dxfId="634" priority="9071" operator="containsText" text="정규교과">
      <formula>NOT(ISERROR(SEARCH(("정규교과"),(M79))))</formula>
    </cfRule>
    <cfRule type="containsText" dxfId="633" priority="9072" operator="containsText" text="기타">
      <formula>NOT(ISERROR(SEARCH(("기타"),(M79))))</formula>
    </cfRule>
    <cfRule type="containsText" dxfId="632" priority="9073" operator="containsText" text="프로젝트">
      <formula>NOT(ISERROR(SEARCH(("프로젝트"),(M79))))</formula>
    </cfRule>
    <cfRule type="containsText" dxfId="631" priority="9074" operator="containsText" text="정규교과">
      <formula>NOT(ISERROR(SEARCH(("정규교과"),(M79))))</formula>
    </cfRule>
    <cfRule type="containsText" dxfId="630" priority="9075" operator="containsText" text="기타">
      <formula>NOT(ISERROR(SEARCH(("기타"),(M79))))</formula>
    </cfRule>
    <cfRule type="containsText" dxfId="629" priority="9065" operator="containsText" text="정규교과">
      <formula>NOT(ISERROR(SEARCH(("정규교과"),(M79))))</formula>
    </cfRule>
    <cfRule type="containsText" dxfId="628" priority="9052" operator="containsText" text="프로젝트">
      <formula>NOT(ISERROR(SEARCH(("프로젝트"),(M79))))</formula>
    </cfRule>
    <cfRule type="containsText" dxfId="627" priority="9060" operator="containsText" text="기타">
      <formula>NOT(ISERROR(SEARCH(("기타"),(M79))))</formula>
    </cfRule>
    <cfRule type="containsText" dxfId="626" priority="9061" operator="containsText" text="프로젝트">
      <formula>NOT(ISERROR(SEARCH(("프로젝트"),(M79))))</formula>
    </cfRule>
    <cfRule type="containsText" dxfId="625" priority="9062" operator="containsText" text="정규교과">
      <formula>NOT(ISERROR(SEARCH(("정규교과"),(M79))))</formula>
    </cfRule>
    <cfRule type="containsText" dxfId="624" priority="9063" operator="containsText" text="기타">
      <formula>NOT(ISERROR(SEARCH(("기타"),(M79))))</formula>
    </cfRule>
  </conditionalFormatting>
  <conditionalFormatting sqref="M83">
    <cfRule type="containsText" dxfId="623" priority="8988" operator="containsText" text="프로젝트">
      <formula>NOT(ISERROR(SEARCH(("프로젝트"),(M83))))</formula>
    </cfRule>
    <cfRule type="containsText" dxfId="622" priority="8989" operator="containsText" text="정규교과">
      <formula>NOT(ISERROR(SEARCH(("정규교과"),(M83))))</formula>
    </cfRule>
    <cfRule type="containsText" dxfId="621" priority="8990" operator="containsText" text="기타">
      <formula>NOT(ISERROR(SEARCH(("기타"),(M83))))</formula>
    </cfRule>
    <cfRule type="containsText" dxfId="620" priority="8994" operator="containsText" text="프로젝트">
      <formula>NOT(ISERROR(SEARCH(("프로젝트"),(M83))))</formula>
    </cfRule>
    <cfRule type="containsText" dxfId="619" priority="9005" operator="containsText" text="기타">
      <formula>NOT(ISERROR(SEARCH(("기타"),(M83))))</formula>
    </cfRule>
    <cfRule type="containsText" dxfId="618" priority="9039" operator="containsText" text="기타">
      <formula>NOT(ISERROR(SEARCH(("기타"),(M83))))</formula>
    </cfRule>
    <cfRule type="containsText" dxfId="617" priority="9038" operator="containsText" text="정규교과">
      <formula>NOT(ISERROR(SEARCH(("정규교과"),(M83))))</formula>
    </cfRule>
    <cfRule type="containsText" dxfId="616" priority="9037" operator="containsText" text="프로젝트">
      <formula>NOT(ISERROR(SEARCH(("프로젝트"),(M83))))</formula>
    </cfRule>
    <cfRule type="containsText" dxfId="615" priority="9036" operator="containsText" text="기타">
      <formula>NOT(ISERROR(SEARCH(("기타"),(M83))))</formula>
    </cfRule>
    <cfRule type="containsText" dxfId="614" priority="9035" operator="containsText" text="정규교과">
      <formula>NOT(ISERROR(SEARCH(("정규교과"),(M83))))</formula>
    </cfRule>
    <cfRule type="containsText" dxfId="613" priority="9034" operator="containsText" text="프로젝트">
      <formula>NOT(ISERROR(SEARCH(("프로젝트"),(M83))))</formula>
    </cfRule>
    <cfRule type="containsText" dxfId="612" priority="9012" operator="containsText" text="프로젝트">
      <formula>NOT(ISERROR(SEARCH(("프로젝트"),(M83))))</formula>
    </cfRule>
    <cfRule type="containsText" dxfId="611" priority="9011" operator="containsText" text="기타">
      <formula>NOT(ISERROR(SEARCH(("기타"),(M83))))</formula>
    </cfRule>
    <cfRule type="containsText" dxfId="610" priority="9010" operator="containsText" text="정규교과">
      <formula>NOT(ISERROR(SEARCH(("정규교과"),(M83))))</formula>
    </cfRule>
    <cfRule type="containsText" dxfId="609" priority="9009" operator="containsText" text="프로젝트">
      <formula>NOT(ISERROR(SEARCH(("프로젝트"),(M83))))</formula>
    </cfRule>
    <cfRule type="containsText" dxfId="608" priority="9008" operator="containsText" text="기타">
      <formula>NOT(ISERROR(SEARCH(("기타"),(M83))))</formula>
    </cfRule>
    <cfRule type="containsText" dxfId="607" priority="9007" operator="containsText" text="정규교과">
      <formula>NOT(ISERROR(SEARCH(("정규교과"),(M83))))</formula>
    </cfRule>
    <cfRule type="containsText" dxfId="606" priority="9006" operator="containsText" text="프로젝트">
      <formula>NOT(ISERROR(SEARCH(("프로젝트"),(M83))))</formula>
    </cfRule>
    <cfRule type="containsText" dxfId="605" priority="9028" operator="containsText" text="프로젝트">
      <formula>NOT(ISERROR(SEARCH(("프로젝트"),(M83))))</formula>
    </cfRule>
    <cfRule type="containsText" dxfId="604" priority="9004" operator="containsText" text="정규교과">
      <formula>NOT(ISERROR(SEARCH(("정규교과"),(M83))))</formula>
    </cfRule>
    <cfRule type="containsText" dxfId="603" priority="9003" operator="containsText" text="프로젝트">
      <formula>NOT(ISERROR(SEARCH(("프로젝트"),(M83))))</formula>
    </cfRule>
    <cfRule type="containsText" dxfId="602" priority="9002" operator="containsText" text="기타">
      <formula>NOT(ISERROR(SEARCH(("기타"),(M83))))</formula>
    </cfRule>
    <cfRule type="containsText" dxfId="601" priority="9001" operator="containsText" text="정규교과">
      <formula>NOT(ISERROR(SEARCH(("정규교과"),(M83))))</formula>
    </cfRule>
    <cfRule type="containsText" dxfId="600" priority="9030" operator="containsText" text="기타">
      <formula>NOT(ISERROR(SEARCH(("기타"),(M83))))</formula>
    </cfRule>
    <cfRule type="containsText" dxfId="599" priority="8999" operator="containsText" text="기타">
      <formula>NOT(ISERROR(SEARCH(("기타"),(M83))))</formula>
    </cfRule>
    <cfRule type="containsText" dxfId="598" priority="8998" operator="containsText" text="정규교과">
      <formula>NOT(ISERROR(SEARCH(("정규교과"),(M83))))</formula>
    </cfRule>
    <cfRule type="containsText" dxfId="597" priority="8997" operator="containsText" text="프로젝트">
      <formula>NOT(ISERROR(SEARCH(("프로젝트"),(M83))))</formula>
    </cfRule>
    <cfRule type="containsText" dxfId="596" priority="8993" operator="containsText" text="기타">
      <formula>NOT(ISERROR(SEARCH(("기타"),(M83))))</formula>
    </cfRule>
    <cfRule type="containsText" dxfId="595" priority="8996" operator="containsText" text="기타">
      <formula>NOT(ISERROR(SEARCH(("기타"),(M83))))</formula>
    </cfRule>
    <cfRule type="containsText" dxfId="594" priority="8995" operator="containsText" text="정규교과">
      <formula>NOT(ISERROR(SEARCH(("정규교과"),(M83))))</formula>
    </cfRule>
    <cfRule type="containsText" dxfId="593" priority="8992" operator="containsText" text="정규교과">
      <formula>NOT(ISERROR(SEARCH(("정규교과"),(M83))))</formula>
    </cfRule>
    <cfRule type="containsText" dxfId="592" priority="9027" operator="containsText" text="기타">
      <formula>NOT(ISERROR(SEARCH(("기타"),(M83))))</formula>
    </cfRule>
    <cfRule type="containsText" dxfId="591" priority="9026" operator="containsText" text="정규교과">
      <formula>NOT(ISERROR(SEARCH(("정규교과"),(M83))))</formula>
    </cfRule>
    <cfRule type="containsText" dxfId="590" priority="8991" operator="containsText" text="프로젝트">
      <formula>NOT(ISERROR(SEARCH(("프로젝트"),(M83))))</formula>
    </cfRule>
    <cfRule type="containsText" dxfId="589" priority="9025" operator="containsText" text="프로젝트">
      <formula>NOT(ISERROR(SEARCH(("프로젝트"),(M83))))</formula>
    </cfRule>
    <cfRule type="containsText" dxfId="588" priority="9024" operator="containsText" text="휴강">
      <formula>NOT(ISERROR(SEARCH(("휴강"),(M83))))</formula>
    </cfRule>
    <cfRule type="containsText" dxfId="587" priority="9023" operator="containsText" text="기타">
      <formula>NOT(ISERROR(SEARCH(("기타"),(M83))))</formula>
    </cfRule>
    <cfRule type="containsText" dxfId="586" priority="9029" operator="containsText" text="정규교과">
      <formula>NOT(ISERROR(SEARCH(("정규교과"),(M83))))</formula>
    </cfRule>
    <cfRule type="containsText" dxfId="585" priority="9022" operator="containsText" text="정규교과">
      <formula>NOT(ISERROR(SEARCH(("정규교과"),(M83))))</formula>
    </cfRule>
    <cfRule type="containsText" dxfId="584" priority="9021" operator="containsText" text="프로젝트">
      <formula>NOT(ISERROR(SEARCH(("프로젝트"),(M83))))</formula>
    </cfRule>
    <cfRule type="containsText" dxfId="583" priority="9020" operator="containsText" text="기타">
      <formula>NOT(ISERROR(SEARCH(("기타"),(M83))))</formula>
    </cfRule>
    <cfRule type="containsText" dxfId="582" priority="9019" operator="containsText" text="정규교과">
      <formula>NOT(ISERROR(SEARCH(("정규교과"),(M83))))</formula>
    </cfRule>
    <cfRule type="containsText" dxfId="581" priority="9018" operator="containsText" text="프로젝트">
      <formula>NOT(ISERROR(SEARCH(("프로젝트"),(M83))))</formula>
    </cfRule>
    <cfRule type="containsText" dxfId="580" priority="9017" operator="containsText" text="기타">
      <formula>NOT(ISERROR(SEARCH(("기타"),(M83))))</formula>
    </cfRule>
    <cfRule type="containsText" dxfId="579" priority="9016" operator="containsText" text="정규교과">
      <formula>NOT(ISERROR(SEARCH(("정규교과"),(M83))))</formula>
    </cfRule>
    <cfRule type="containsText" dxfId="578" priority="9015" operator="containsText" text="프로젝트">
      <formula>NOT(ISERROR(SEARCH(("프로젝트"),(M83))))</formula>
    </cfRule>
    <cfRule type="containsText" dxfId="577" priority="9014" operator="containsText" text="기타">
      <formula>NOT(ISERROR(SEARCH(("기타"),(M83))))</formula>
    </cfRule>
    <cfRule type="containsText" dxfId="576" priority="9031" operator="containsText" text="프로젝트">
      <formula>NOT(ISERROR(SEARCH(("프로젝트"),(M83))))</formula>
    </cfRule>
    <cfRule type="containsText" dxfId="575" priority="9013" operator="containsText" text="정규교과">
      <formula>NOT(ISERROR(SEARCH(("정규교과"),(M83))))</formula>
    </cfRule>
    <cfRule type="containsText" dxfId="574" priority="9032" operator="containsText" text="정규교과">
      <formula>NOT(ISERROR(SEARCH(("정규교과"),(M83))))</formula>
    </cfRule>
    <cfRule type="containsText" dxfId="573" priority="9033" operator="containsText" text="기타">
      <formula>NOT(ISERROR(SEARCH(("기타"),(M83))))</formula>
    </cfRule>
    <cfRule type="containsText" dxfId="572" priority="9000" operator="containsText" text="프로젝트">
      <formula>NOT(ISERROR(SEARCH(("프로젝트"),(M83))))</formula>
    </cfRule>
  </conditionalFormatting>
  <conditionalFormatting sqref="M88">
    <cfRule type="containsText" dxfId="571" priority="8966" operator="containsText" text="프로젝트">
      <formula>NOT(ISERROR(SEARCH(("프로젝트"),(M88))))</formula>
    </cfRule>
    <cfRule type="containsText" dxfId="570" priority="8967" operator="containsText" text="정규교과">
      <formula>NOT(ISERROR(SEARCH(("정규교과"),(M88))))</formula>
    </cfRule>
    <cfRule type="containsText" dxfId="569" priority="8968" operator="containsText" text="기타">
      <formula>NOT(ISERROR(SEARCH(("기타"),(M88))))</formula>
    </cfRule>
    <cfRule type="containsText" dxfId="568" priority="8969" operator="containsText" text="프로젝트">
      <formula>NOT(ISERROR(SEARCH(("프로젝트"),(M88))))</formula>
    </cfRule>
    <cfRule type="containsText" dxfId="567" priority="8970" operator="containsText" text="정규교과">
      <formula>NOT(ISERROR(SEARCH(("정규교과"),(M88))))</formula>
    </cfRule>
    <cfRule type="containsText" dxfId="566" priority="8971" operator="containsText" text="기타">
      <formula>NOT(ISERROR(SEARCH(("기타"),(M88))))</formula>
    </cfRule>
    <cfRule type="containsText" dxfId="565" priority="8972" operator="containsText" text="휴강">
      <formula>NOT(ISERROR(SEARCH(("휴강"),(M88))))</formula>
    </cfRule>
    <cfRule type="containsText" dxfId="564" priority="8973" operator="containsText" text="프로젝트">
      <formula>NOT(ISERROR(SEARCH(("프로젝트"),(M88))))</formula>
    </cfRule>
    <cfRule type="containsText" dxfId="563" priority="8974" operator="containsText" text="정규교과">
      <formula>NOT(ISERROR(SEARCH(("정규교과"),(M88))))</formula>
    </cfRule>
    <cfRule type="containsText" dxfId="562" priority="8975" operator="containsText" text="기타">
      <formula>NOT(ISERROR(SEARCH(("기타"),(M88))))</formula>
    </cfRule>
    <cfRule type="containsText" dxfId="561" priority="8976" operator="containsText" text="프로젝트">
      <formula>NOT(ISERROR(SEARCH(("프로젝트"),(M88))))</formula>
    </cfRule>
    <cfRule type="containsText" dxfId="560" priority="8977" operator="containsText" text="정규교과">
      <formula>NOT(ISERROR(SEARCH(("정규교과"),(M88))))</formula>
    </cfRule>
    <cfRule type="containsText" dxfId="559" priority="8978" operator="containsText" text="기타">
      <formula>NOT(ISERROR(SEARCH(("기타"),(M88))))</formula>
    </cfRule>
    <cfRule type="containsText" dxfId="558" priority="8979" operator="containsText" text="프로젝트">
      <formula>NOT(ISERROR(SEARCH(("프로젝트"),(M88))))</formula>
    </cfRule>
    <cfRule type="containsText" dxfId="557" priority="8980" operator="containsText" text="정규교과">
      <formula>NOT(ISERROR(SEARCH(("정규교과"),(M88))))</formula>
    </cfRule>
    <cfRule type="containsText" dxfId="556" priority="8981" operator="containsText" text="기타">
      <formula>NOT(ISERROR(SEARCH(("기타"),(M88))))</formula>
    </cfRule>
    <cfRule type="containsText" dxfId="555" priority="8982" operator="containsText" text="프로젝트">
      <formula>NOT(ISERROR(SEARCH(("프로젝트"),(M88))))</formula>
    </cfRule>
    <cfRule type="containsText" dxfId="554" priority="8983" operator="containsText" text="정규교과">
      <formula>NOT(ISERROR(SEARCH(("정규교과"),(M88))))</formula>
    </cfRule>
    <cfRule type="containsText" dxfId="553" priority="8984" operator="containsText" text="기타">
      <formula>NOT(ISERROR(SEARCH(("기타"),(M88))))</formula>
    </cfRule>
    <cfRule type="containsText" dxfId="552" priority="8985" operator="containsText" text="프로젝트">
      <formula>NOT(ISERROR(SEARCH(("프로젝트"),(M88))))</formula>
    </cfRule>
    <cfRule type="containsText" dxfId="551" priority="8986" operator="containsText" text="정규교과">
      <formula>NOT(ISERROR(SEARCH(("정규교과"),(M88))))</formula>
    </cfRule>
    <cfRule type="containsText" dxfId="550" priority="8987" operator="containsText" text="기타">
      <formula>NOT(ISERROR(SEARCH(("기타"),(M88))))</formula>
    </cfRule>
    <cfRule type="containsText" dxfId="549" priority="8960" operator="containsText" text="프로젝트">
      <formula>NOT(ISERROR(SEARCH(("프로젝트"),(M88))))</formula>
    </cfRule>
    <cfRule type="containsText" dxfId="548" priority="8936" operator="containsText" text="프로젝트">
      <formula>NOT(ISERROR(SEARCH(("프로젝트"),(M88))))</formula>
    </cfRule>
    <cfRule type="containsText" dxfId="547" priority="8937" operator="containsText" text="정규교과">
      <formula>NOT(ISERROR(SEARCH(("정규교과"),(M88))))</formula>
    </cfRule>
    <cfRule type="containsText" dxfId="546" priority="8938" operator="containsText" text="기타">
      <formula>NOT(ISERROR(SEARCH(("기타"),(M88))))</formula>
    </cfRule>
    <cfRule type="containsText" dxfId="545" priority="8939" operator="containsText" text="프로젝트">
      <formula>NOT(ISERROR(SEARCH(("프로젝트"),(M88))))</formula>
    </cfRule>
    <cfRule type="containsText" dxfId="544" priority="8940" operator="containsText" text="정규교과">
      <formula>NOT(ISERROR(SEARCH(("정규교과"),(M88))))</formula>
    </cfRule>
    <cfRule type="containsText" dxfId="543" priority="8941" operator="containsText" text="기타">
      <formula>NOT(ISERROR(SEARCH(("기타"),(M88))))</formula>
    </cfRule>
    <cfRule type="containsText" dxfId="542" priority="8942" operator="containsText" text="프로젝트">
      <formula>NOT(ISERROR(SEARCH(("프로젝트"),(M88))))</formula>
    </cfRule>
    <cfRule type="containsText" dxfId="541" priority="8943" operator="containsText" text="정규교과">
      <formula>NOT(ISERROR(SEARCH(("정규교과"),(M88))))</formula>
    </cfRule>
    <cfRule type="containsText" dxfId="540" priority="8944" operator="containsText" text="기타">
      <formula>NOT(ISERROR(SEARCH(("기타"),(M88))))</formula>
    </cfRule>
    <cfRule type="containsText" dxfId="539" priority="8945" operator="containsText" text="프로젝트">
      <formula>NOT(ISERROR(SEARCH(("프로젝트"),(M88))))</formula>
    </cfRule>
    <cfRule type="containsText" dxfId="538" priority="8946" operator="containsText" text="정규교과">
      <formula>NOT(ISERROR(SEARCH(("정규교과"),(M88))))</formula>
    </cfRule>
    <cfRule type="containsText" dxfId="537" priority="8947" operator="containsText" text="기타">
      <formula>NOT(ISERROR(SEARCH(("기타"),(M88))))</formula>
    </cfRule>
    <cfRule type="containsText" dxfId="536" priority="8948" operator="containsText" text="프로젝트">
      <formula>NOT(ISERROR(SEARCH(("프로젝트"),(M88))))</formula>
    </cfRule>
    <cfRule type="containsText" dxfId="535" priority="8949" operator="containsText" text="정규교과">
      <formula>NOT(ISERROR(SEARCH(("정규교과"),(M88))))</formula>
    </cfRule>
    <cfRule type="containsText" dxfId="534" priority="8950" operator="containsText" text="기타">
      <formula>NOT(ISERROR(SEARCH(("기타"),(M88))))</formula>
    </cfRule>
    <cfRule type="containsText" dxfId="533" priority="8951" operator="containsText" text="프로젝트">
      <formula>NOT(ISERROR(SEARCH(("프로젝트"),(M88))))</formula>
    </cfRule>
    <cfRule type="containsText" dxfId="532" priority="8952" operator="containsText" text="정규교과">
      <formula>NOT(ISERROR(SEARCH(("정규교과"),(M88))))</formula>
    </cfRule>
    <cfRule type="containsText" dxfId="531" priority="8953" operator="containsText" text="기타">
      <formula>NOT(ISERROR(SEARCH(("기타"),(M88))))</formula>
    </cfRule>
    <cfRule type="containsText" dxfId="530" priority="8954" operator="containsText" text="프로젝트">
      <formula>NOT(ISERROR(SEARCH(("프로젝트"),(M88))))</formula>
    </cfRule>
    <cfRule type="containsText" dxfId="529" priority="8955" operator="containsText" text="정규교과">
      <formula>NOT(ISERROR(SEARCH(("정규교과"),(M88))))</formula>
    </cfRule>
    <cfRule type="containsText" dxfId="528" priority="8956" operator="containsText" text="기타">
      <formula>NOT(ISERROR(SEARCH(("기타"),(M88))))</formula>
    </cfRule>
    <cfRule type="containsText" dxfId="527" priority="8957" operator="containsText" text="프로젝트">
      <formula>NOT(ISERROR(SEARCH(("프로젝트"),(M88))))</formula>
    </cfRule>
    <cfRule type="containsText" dxfId="526" priority="8958" operator="containsText" text="정규교과">
      <formula>NOT(ISERROR(SEARCH(("정규교과"),(M88))))</formula>
    </cfRule>
    <cfRule type="containsText" dxfId="525" priority="8959" operator="containsText" text="기타">
      <formula>NOT(ISERROR(SEARCH(("기타"),(M88))))</formula>
    </cfRule>
    <cfRule type="containsText" dxfId="524" priority="8961" operator="containsText" text="정규교과">
      <formula>NOT(ISERROR(SEARCH(("정규교과"),(M88))))</formula>
    </cfRule>
    <cfRule type="containsText" dxfId="523" priority="8962" operator="containsText" text="기타">
      <formula>NOT(ISERROR(SEARCH(("기타"),(M88))))</formula>
    </cfRule>
    <cfRule type="containsText" dxfId="522" priority="8963" operator="containsText" text="프로젝트">
      <formula>NOT(ISERROR(SEARCH(("프로젝트"),(M88))))</formula>
    </cfRule>
    <cfRule type="containsText" dxfId="521" priority="8964" operator="containsText" text="정규교과">
      <formula>NOT(ISERROR(SEARCH(("정규교과"),(M88))))</formula>
    </cfRule>
    <cfRule type="containsText" dxfId="520" priority="8965" operator="containsText" text="기타">
      <formula>NOT(ISERROR(SEARCH(("기타"),(M88))))</formula>
    </cfRule>
  </conditionalFormatting>
  <conditionalFormatting sqref="M92">
    <cfRule type="containsText" dxfId="519" priority="15294" operator="containsText" text="기타">
      <formula>NOT(ISERROR(SEARCH(("기타"),(M92))))</formula>
    </cfRule>
    <cfRule type="containsText" dxfId="518" priority="15291" operator="containsText" text="기타">
      <formula>NOT(ISERROR(SEARCH(("기타"),(M92))))</formula>
    </cfRule>
    <cfRule type="containsText" dxfId="517" priority="15292" operator="containsText" text="프로젝트">
      <formula>NOT(ISERROR(SEARCH(("프로젝트"),(M92))))</formula>
    </cfRule>
    <cfRule type="containsText" dxfId="516" priority="15285" operator="containsText" text="기타">
      <formula>NOT(ISERROR(SEARCH(("기타"),(M92))))</formula>
    </cfRule>
    <cfRule type="containsText" dxfId="515" priority="15293" operator="containsText" text="정규교과">
      <formula>NOT(ISERROR(SEARCH(("정규교과"),(M92))))</formula>
    </cfRule>
    <cfRule type="containsText" dxfId="514" priority="15284" operator="containsText" text="정규교과">
      <formula>NOT(ISERROR(SEARCH(("정규교과"),(M92))))</formula>
    </cfRule>
    <cfRule type="containsText" dxfId="513" priority="15283" operator="containsText" text="프로젝트">
      <formula>NOT(ISERROR(SEARCH(("프로젝트"),(M92))))</formula>
    </cfRule>
    <cfRule type="containsText" dxfId="512" priority="15288" operator="containsText" text="기타">
      <formula>NOT(ISERROR(SEARCH(("기타"),(M92))))</formula>
    </cfRule>
    <cfRule type="containsText" dxfId="511" priority="15287" operator="containsText" text="정규교과">
      <formula>NOT(ISERROR(SEARCH(("정규교과"),(M92))))</formula>
    </cfRule>
    <cfRule type="containsText" dxfId="510" priority="15286" operator="containsText" text="프로젝트">
      <formula>NOT(ISERROR(SEARCH(("프로젝트"),(M92))))</formula>
    </cfRule>
    <cfRule type="containsText" dxfId="509" priority="15289" operator="containsText" text="프로젝트">
      <formula>NOT(ISERROR(SEARCH(("프로젝트"),(M92))))</formula>
    </cfRule>
    <cfRule type="containsText" dxfId="508" priority="15290" operator="containsText" text="정규교과">
      <formula>NOT(ISERROR(SEARCH(("정규교과"),(M92))))</formula>
    </cfRule>
  </conditionalFormatting>
  <conditionalFormatting sqref="M96">
    <cfRule type="containsText" dxfId="507" priority="15304" operator="containsText" text="프로젝트">
      <formula>NOT(ISERROR(SEARCH(("프로젝트"),(M96))))</formula>
    </cfRule>
    <cfRule type="containsText" dxfId="506" priority="15303" operator="containsText" text="기타">
      <formula>NOT(ISERROR(SEARCH(("기타"),(M96))))</formula>
    </cfRule>
    <cfRule type="containsText" dxfId="505" priority="15302" operator="containsText" text="정규교과">
      <formula>NOT(ISERROR(SEARCH(("정규교과"),(M96))))</formula>
    </cfRule>
    <cfRule type="containsText" dxfId="504" priority="8931" operator="containsText" text="정규교과">
      <formula>NOT(ISERROR(SEARCH(("정규교과"),(M96))))</formula>
    </cfRule>
    <cfRule type="containsText" dxfId="503" priority="8924" operator="containsText" text="프로젝트">
      <formula>NOT(ISERROR(SEARCH(("프로젝트"),(M96))))</formula>
    </cfRule>
    <cfRule type="containsText" dxfId="502" priority="8925" operator="containsText" text="정규교과">
      <formula>NOT(ISERROR(SEARCH(("정규교과"),(M96))))</formula>
    </cfRule>
    <cfRule type="containsText" dxfId="501" priority="15300" operator="containsText" text="기타">
      <formula>NOT(ISERROR(SEARCH(("기타"),(M96))))</formula>
    </cfRule>
    <cfRule type="containsText" dxfId="500" priority="8926" operator="containsText" text="기타">
      <formula>NOT(ISERROR(SEARCH(("기타"),(M96))))</formula>
    </cfRule>
    <cfRule type="containsText" dxfId="499" priority="8927" operator="containsText" text="프로젝트">
      <formula>NOT(ISERROR(SEARCH(("프로젝트"),(M96))))</formula>
    </cfRule>
    <cfRule type="containsText" dxfId="498" priority="8928" operator="containsText" text="정규교과">
      <formula>NOT(ISERROR(SEARCH(("정규교과"),(M96))))</formula>
    </cfRule>
    <cfRule type="containsText" dxfId="497" priority="15301" operator="containsText" text="프로젝트">
      <formula>NOT(ISERROR(SEARCH(("프로젝트"),(M96))))</formula>
    </cfRule>
    <cfRule type="containsText" dxfId="496" priority="15295" operator="containsText" text="프로젝트">
      <formula>NOT(ISERROR(SEARCH(("프로젝트"),(M96))))</formula>
    </cfRule>
    <cfRule type="containsText" dxfId="495" priority="15296" operator="containsText" text="정규교과">
      <formula>NOT(ISERROR(SEARCH(("정규교과"),(M96))))</formula>
    </cfRule>
    <cfRule type="containsText" dxfId="494" priority="15297" operator="containsText" text="기타">
      <formula>NOT(ISERROR(SEARCH(("기타"),(M96))))</formula>
    </cfRule>
    <cfRule type="containsText" dxfId="493" priority="15298" operator="containsText" text="프로젝트">
      <formula>NOT(ISERROR(SEARCH(("프로젝트"),(M96))))</formula>
    </cfRule>
    <cfRule type="containsText" dxfId="492" priority="15299" operator="containsText" text="정규교과">
      <formula>NOT(ISERROR(SEARCH(("정규교과"),(M96))))</formula>
    </cfRule>
    <cfRule type="containsText" dxfId="491" priority="8929" operator="containsText" text="기타">
      <formula>NOT(ISERROR(SEARCH(("기타"),(M96))))</formula>
    </cfRule>
    <cfRule type="containsText" dxfId="490" priority="8935" operator="containsText" text="기타">
      <formula>NOT(ISERROR(SEARCH(("기타"),(M96))))</formula>
    </cfRule>
    <cfRule type="containsText" dxfId="489" priority="8930" operator="containsText" text="프로젝트">
      <formula>NOT(ISERROR(SEARCH(("프로젝트"),(M96))))</formula>
    </cfRule>
    <cfRule type="containsText" dxfId="488" priority="8932" operator="containsText" text="기타">
      <formula>NOT(ISERROR(SEARCH(("기타"),(M96))))</formula>
    </cfRule>
    <cfRule type="containsText" dxfId="487" priority="15306" operator="containsText" text="기타">
      <formula>NOT(ISERROR(SEARCH(("기타"),(M96))))</formula>
    </cfRule>
    <cfRule type="containsText" dxfId="486" priority="8933" operator="containsText" text="프로젝트">
      <formula>NOT(ISERROR(SEARCH(("프로젝트"),(M96))))</formula>
    </cfRule>
    <cfRule type="containsText" dxfId="485" priority="8934" operator="containsText" text="정규교과">
      <formula>NOT(ISERROR(SEARCH(("정규교과"),(M96))))</formula>
    </cfRule>
    <cfRule type="containsText" dxfId="484" priority="15305" operator="containsText" text="정규교과">
      <formula>NOT(ISERROR(SEARCH(("정규교과"),(M96))))</formula>
    </cfRule>
  </conditionalFormatting>
  <conditionalFormatting sqref="M100">
    <cfRule type="containsText" dxfId="483" priority="8921" operator="containsText" text="프로젝트">
      <formula>NOT(ISERROR(SEARCH(("프로젝트"),(M100))))</formula>
    </cfRule>
    <cfRule type="containsText" dxfId="482" priority="8920" operator="containsText" text="기타">
      <formula>NOT(ISERROR(SEARCH(("기타"),(M100))))</formula>
    </cfRule>
    <cfRule type="containsText" dxfId="481" priority="8919" operator="containsText" text="정규교과">
      <formula>NOT(ISERROR(SEARCH(("정규교과"),(M100))))</formula>
    </cfRule>
    <cfRule type="containsText" dxfId="480" priority="8918" operator="containsText" text="프로젝트">
      <formula>NOT(ISERROR(SEARCH(("프로젝트"),(M100))))</formula>
    </cfRule>
    <cfRule type="containsText" dxfId="479" priority="8917" operator="containsText" text="기타">
      <formula>NOT(ISERROR(SEARCH(("기타"),(M100))))</formula>
    </cfRule>
    <cfRule type="containsText" dxfId="478" priority="8916" operator="containsText" text="정규교과">
      <formula>NOT(ISERROR(SEARCH(("정규교과"),(M100))))</formula>
    </cfRule>
    <cfRule type="containsText" dxfId="477" priority="8914" operator="containsText" text="기타">
      <formula>NOT(ISERROR(SEARCH(("기타"),(M100))))</formula>
    </cfRule>
    <cfRule type="containsText" dxfId="476" priority="8913" operator="containsText" text="정규교과">
      <formula>NOT(ISERROR(SEARCH(("정규교과"),(M100))))</formula>
    </cfRule>
    <cfRule type="containsText" dxfId="475" priority="8915" operator="containsText" text="프로젝트">
      <formula>NOT(ISERROR(SEARCH(("프로젝트"),(M100))))</formula>
    </cfRule>
    <cfRule type="containsText" dxfId="474" priority="15315" operator="containsText" text="기타">
      <formula>NOT(ISERROR(SEARCH(("기타"),(M100))))</formula>
    </cfRule>
    <cfRule type="containsText" dxfId="473" priority="15314" operator="containsText" text="정규교과">
      <formula>NOT(ISERROR(SEARCH(("정규교과"),(M100))))</formula>
    </cfRule>
    <cfRule type="containsText" dxfId="472" priority="15316" operator="containsText" text="프로젝트">
      <formula>NOT(ISERROR(SEARCH(("프로젝트"),(M100))))</formula>
    </cfRule>
    <cfRule type="containsText" dxfId="471" priority="15317" operator="containsText" text="정규교과">
      <formula>NOT(ISERROR(SEARCH(("정규교과"),(M100))))</formula>
    </cfRule>
    <cfRule type="containsText" dxfId="470" priority="15318" operator="containsText" text="기타">
      <formula>NOT(ISERROR(SEARCH(("기타"),(M100))))</formula>
    </cfRule>
    <cfRule type="containsText" dxfId="469" priority="15308" operator="containsText" text="정규교과">
      <formula>NOT(ISERROR(SEARCH(("정규교과"),(M100))))</formula>
    </cfRule>
    <cfRule type="containsText" dxfId="468" priority="8922" operator="containsText" text="정규교과">
      <formula>NOT(ISERROR(SEARCH(("정규교과"),(M100))))</formula>
    </cfRule>
    <cfRule type="containsText" dxfId="467" priority="8912" operator="containsText" text="프로젝트">
      <formula>NOT(ISERROR(SEARCH(("프로젝트"),(M100))))</formula>
    </cfRule>
    <cfRule type="containsText" dxfId="466" priority="15307" operator="containsText" text="프로젝트">
      <formula>NOT(ISERROR(SEARCH(("프로젝트"),(M100))))</formula>
    </cfRule>
    <cfRule type="containsText" dxfId="465" priority="15309" operator="containsText" text="기타">
      <formula>NOT(ISERROR(SEARCH(("기타"),(M100))))</formula>
    </cfRule>
    <cfRule type="containsText" dxfId="464" priority="15310" operator="containsText" text="프로젝트">
      <formula>NOT(ISERROR(SEARCH(("프로젝트"),(M100))))</formula>
    </cfRule>
    <cfRule type="containsText" dxfId="463" priority="15311" operator="containsText" text="정규교과">
      <formula>NOT(ISERROR(SEARCH(("정규교과"),(M100))))</formula>
    </cfRule>
    <cfRule type="containsText" dxfId="462" priority="15312" operator="containsText" text="기타">
      <formula>NOT(ISERROR(SEARCH(("기타"),(M100))))</formula>
    </cfRule>
    <cfRule type="containsText" dxfId="461" priority="15313" operator="containsText" text="프로젝트">
      <formula>NOT(ISERROR(SEARCH(("프로젝트"),(M100))))</formula>
    </cfRule>
    <cfRule type="containsText" dxfId="460" priority="8923" operator="containsText" text="기타">
      <formula>NOT(ISERROR(SEARCH(("기타"),(M100))))</formula>
    </cfRule>
  </conditionalFormatting>
  <conditionalFormatting sqref="M104">
    <cfRule type="containsText" dxfId="459" priority="8910" operator="containsText" text="정규교과">
      <formula>NOT(ISERROR(SEARCH(("정규교과"),(M104))))</formula>
    </cfRule>
    <cfRule type="containsText" dxfId="458" priority="8909" operator="containsText" text="프로젝트">
      <formula>NOT(ISERROR(SEARCH(("프로젝트"),(M104))))</formula>
    </cfRule>
    <cfRule type="containsText" dxfId="457" priority="15319" operator="containsText" text="프로젝트">
      <formula>NOT(ISERROR(SEARCH(("프로젝트"),(M104))))</formula>
    </cfRule>
    <cfRule type="containsText" dxfId="456" priority="15320" operator="containsText" text="정규교과">
      <formula>NOT(ISERROR(SEARCH(("정규교과"),(M104))))</formula>
    </cfRule>
    <cfRule type="containsText" dxfId="455" priority="15321" operator="containsText" text="기타">
      <formula>NOT(ISERROR(SEARCH(("기타"),(M104))))</formula>
    </cfRule>
    <cfRule type="containsText" dxfId="454" priority="15322" operator="containsText" text="프로젝트">
      <formula>NOT(ISERROR(SEARCH(("프로젝트"),(M104))))</formula>
    </cfRule>
    <cfRule type="containsText" dxfId="453" priority="15323" operator="containsText" text="정규교과">
      <formula>NOT(ISERROR(SEARCH(("정규교과"),(M104))))</formula>
    </cfRule>
    <cfRule type="containsText" dxfId="452" priority="15324" operator="containsText" text="기타">
      <formula>NOT(ISERROR(SEARCH(("기타"),(M104))))</formula>
    </cfRule>
    <cfRule type="containsText" dxfId="451" priority="15325" operator="containsText" text="프로젝트">
      <formula>NOT(ISERROR(SEARCH(("프로젝트"),(M104))))</formula>
    </cfRule>
    <cfRule type="containsText" dxfId="450" priority="15326" operator="containsText" text="정규교과">
      <formula>NOT(ISERROR(SEARCH(("정규교과"),(M104))))</formula>
    </cfRule>
    <cfRule type="containsText" dxfId="449" priority="15327" operator="containsText" text="기타">
      <formula>NOT(ISERROR(SEARCH(("기타"),(M104))))</formula>
    </cfRule>
    <cfRule type="containsText" dxfId="448" priority="15328" operator="containsText" text="프로젝트">
      <formula>NOT(ISERROR(SEARCH(("프로젝트"),(M104))))</formula>
    </cfRule>
    <cfRule type="containsText" dxfId="447" priority="8908" operator="containsText" text="기타">
      <formula>NOT(ISERROR(SEARCH(("기타"),(M104))))</formula>
    </cfRule>
    <cfRule type="containsText" dxfId="446" priority="15330" operator="containsText" text="기타">
      <formula>NOT(ISERROR(SEARCH(("기타"),(M104))))</formula>
    </cfRule>
    <cfRule type="containsText" dxfId="445" priority="15329" operator="containsText" text="정규교과">
      <formula>NOT(ISERROR(SEARCH(("정규교과"),(M104))))</formula>
    </cfRule>
    <cfRule type="containsText" dxfId="444" priority="8906" operator="containsText" text="프로젝트">
      <formula>NOT(ISERROR(SEARCH(("프로젝트"),(M104))))</formula>
    </cfRule>
    <cfRule type="containsText" dxfId="443" priority="8905" operator="containsText" text="기타">
      <formula>NOT(ISERROR(SEARCH(("기타"),(M104))))</formula>
    </cfRule>
    <cfRule type="containsText" dxfId="442" priority="8904" operator="containsText" text="정규교과">
      <formula>NOT(ISERROR(SEARCH(("정규교과"),(M104))))</formula>
    </cfRule>
    <cfRule type="containsText" dxfId="441" priority="8903" operator="containsText" text="프로젝트">
      <formula>NOT(ISERROR(SEARCH(("프로젝트"),(M104))))</formula>
    </cfRule>
    <cfRule type="containsText" dxfId="440" priority="8902" operator="containsText" text="기타">
      <formula>NOT(ISERROR(SEARCH(("기타"),(M104))))</formula>
    </cfRule>
    <cfRule type="containsText" dxfId="439" priority="8901" operator="containsText" text="정규교과">
      <formula>NOT(ISERROR(SEARCH(("정규교과"),(M104))))</formula>
    </cfRule>
    <cfRule type="containsText" dxfId="438" priority="8900" operator="containsText" text="프로젝트">
      <formula>NOT(ISERROR(SEARCH(("프로젝트"),(M104))))</formula>
    </cfRule>
    <cfRule type="containsText" dxfId="437" priority="8907" operator="containsText" text="정규교과">
      <formula>NOT(ISERROR(SEARCH(("정규교과"),(M104))))</formula>
    </cfRule>
    <cfRule type="containsText" dxfId="436" priority="8911" operator="containsText" text="기타">
      <formula>NOT(ISERROR(SEARCH(("기타"),(M104))))</formula>
    </cfRule>
  </conditionalFormatting>
  <conditionalFormatting sqref="M110">
    <cfRule type="containsText" dxfId="435" priority="6844" operator="containsText" text="기타">
      <formula>NOT(ISERROR(SEARCH(("기타"),(M110))))</formula>
    </cfRule>
    <cfRule type="containsText" dxfId="434" priority="6837" operator="containsText" text="정규교과">
      <formula>NOT(ISERROR(SEARCH(("정규교과"),(M110))))</formula>
    </cfRule>
    <cfRule type="containsText" dxfId="433" priority="6845" operator="containsText" text="프로젝트">
      <formula>NOT(ISERROR(SEARCH(("프로젝트"),(M110))))</formula>
    </cfRule>
    <cfRule type="containsText" dxfId="432" priority="6836" operator="containsText" text="프로젝트">
      <formula>NOT(ISERROR(SEARCH(("프로젝트"),(M110))))</formula>
    </cfRule>
    <cfRule type="containsText" dxfId="431" priority="6835" operator="containsText" text="기타">
      <formula>NOT(ISERROR(SEARCH(("기타"),(M110))))</formula>
    </cfRule>
    <cfRule type="containsText" dxfId="430" priority="6834" operator="containsText" text="정규교과">
      <formula>NOT(ISERROR(SEARCH(("정규교과"),(M110))))</formula>
    </cfRule>
    <cfRule type="containsText" dxfId="429" priority="6832" operator="containsText" text="휴강">
      <formula>NOT(ISERROR(SEARCH(("휴강"),(M110))))</formula>
    </cfRule>
    <cfRule type="containsText" dxfId="428" priority="6846" operator="containsText" text="정규교과">
      <formula>NOT(ISERROR(SEARCH(("정규교과"),(M110))))</formula>
    </cfRule>
    <cfRule type="containsText" dxfId="427" priority="6847" operator="containsText" text="기타">
      <formula>NOT(ISERROR(SEARCH(("기타"),(M110))))</formula>
    </cfRule>
    <cfRule type="containsText" dxfId="426" priority="6833" operator="containsText" text="프로젝트">
      <formula>NOT(ISERROR(SEARCH(("프로젝트"),(M110))))</formula>
    </cfRule>
    <cfRule type="containsText" dxfId="425" priority="6838" operator="containsText" text="기타">
      <formula>NOT(ISERROR(SEARCH(("기타"),(M110))))</formula>
    </cfRule>
    <cfRule type="containsText" dxfId="424" priority="6839" operator="containsText" text="프로젝트">
      <formula>NOT(ISERROR(SEARCH(("프로젝트"),(M110))))</formula>
    </cfRule>
    <cfRule type="containsText" dxfId="423" priority="6840" operator="containsText" text="정규교과">
      <formula>NOT(ISERROR(SEARCH(("정규교과"),(M110))))</formula>
    </cfRule>
    <cfRule type="containsText" dxfId="422" priority="6841" operator="containsText" text="기타">
      <formula>NOT(ISERROR(SEARCH(("기타"),(M110))))</formula>
    </cfRule>
    <cfRule type="containsText" dxfId="421" priority="6842" operator="containsText" text="프로젝트">
      <formula>NOT(ISERROR(SEARCH(("프로젝트"),(M110))))</formula>
    </cfRule>
    <cfRule type="containsText" dxfId="420" priority="6843" operator="containsText" text="정규교과">
      <formula>NOT(ISERROR(SEARCH(("정규교과"),(M110))))</formula>
    </cfRule>
  </conditionalFormatting>
  <conditionalFormatting sqref="M118">
    <cfRule type="containsText" dxfId="419" priority="6824" operator="containsText" text="정규교과">
      <formula>NOT(ISERROR(SEARCH(("정규교과"),(M118))))</formula>
    </cfRule>
    <cfRule type="containsText" dxfId="418" priority="6817" operator="containsText" text="프로젝트">
      <formula>NOT(ISERROR(SEARCH(("프로젝트"),(M118))))</formula>
    </cfRule>
    <cfRule type="containsText" dxfId="417" priority="6816" operator="containsText" text="휴강">
      <formula>NOT(ISERROR(SEARCH(("휴강"),(M118))))</formula>
    </cfRule>
    <cfRule type="containsText" dxfId="416" priority="6825" operator="containsText" text="기타">
      <formula>NOT(ISERROR(SEARCH(("기타"),(M118))))</formula>
    </cfRule>
    <cfRule type="containsText" dxfId="415" priority="6831" operator="containsText" text="기타">
      <formula>NOT(ISERROR(SEARCH(("기타"),(M118))))</formula>
    </cfRule>
    <cfRule type="containsText" dxfId="414" priority="6830" operator="containsText" text="정규교과">
      <formula>NOT(ISERROR(SEARCH(("정규교과"),(M118))))</formula>
    </cfRule>
    <cfRule type="containsText" dxfId="413" priority="6829" operator="containsText" text="프로젝트">
      <formula>NOT(ISERROR(SEARCH(("프로젝트"),(M118))))</formula>
    </cfRule>
    <cfRule type="containsText" dxfId="412" priority="6828" operator="containsText" text="기타">
      <formula>NOT(ISERROR(SEARCH(("기타"),(M118))))</formula>
    </cfRule>
    <cfRule type="containsText" dxfId="411" priority="6827" operator="containsText" text="정규교과">
      <formula>NOT(ISERROR(SEARCH(("정규교과"),(M118))))</formula>
    </cfRule>
    <cfRule type="containsText" dxfId="410" priority="6826" operator="containsText" text="프로젝트">
      <formula>NOT(ISERROR(SEARCH(("프로젝트"),(M118))))</formula>
    </cfRule>
    <cfRule type="containsText" dxfId="409" priority="6818" operator="containsText" text="정규교과">
      <formula>NOT(ISERROR(SEARCH(("정규교과"),(M118))))</formula>
    </cfRule>
    <cfRule type="containsText" dxfId="408" priority="6820" operator="containsText" text="프로젝트">
      <formula>NOT(ISERROR(SEARCH(("프로젝트"),(M118))))</formula>
    </cfRule>
    <cfRule type="containsText" dxfId="407" priority="6821" operator="containsText" text="정규교과">
      <formula>NOT(ISERROR(SEARCH(("정규교과"),(M118))))</formula>
    </cfRule>
    <cfRule type="containsText" dxfId="406" priority="6822" operator="containsText" text="기타">
      <formula>NOT(ISERROR(SEARCH(("기타"),(M118))))</formula>
    </cfRule>
    <cfRule type="containsText" dxfId="405" priority="6823" operator="containsText" text="프로젝트">
      <formula>NOT(ISERROR(SEARCH(("프로젝트"),(M118))))</formula>
    </cfRule>
    <cfRule type="containsText" dxfId="404" priority="6819" operator="containsText" text="기타">
      <formula>NOT(ISERROR(SEARCH(("기타"),(M118))))</formula>
    </cfRule>
  </conditionalFormatting>
  <conditionalFormatting sqref="M123">
    <cfRule type="containsText" dxfId="403" priority="6806" operator="containsText" text="기타">
      <formula>NOT(ISERROR(SEARCH(("기타"),(M123))))</formula>
    </cfRule>
    <cfRule type="containsText" dxfId="402" priority="6805" operator="containsText" text="정규교과">
      <formula>NOT(ISERROR(SEARCH(("정규교과"),(M123))))</formula>
    </cfRule>
    <cfRule type="containsText" dxfId="401" priority="6804" operator="containsText" text="프로젝트">
      <formula>NOT(ISERROR(SEARCH(("프로젝트"),(M123))))</formula>
    </cfRule>
    <cfRule type="containsText" dxfId="400" priority="6803" operator="containsText" text="기타">
      <formula>NOT(ISERROR(SEARCH(("기타"),(M123))))</formula>
    </cfRule>
    <cfRule type="containsText" dxfId="399" priority="6802" operator="containsText" text="정규교과">
      <formula>NOT(ISERROR(SEARCH(("정규교과"),(M123))))</formula>
    </cfRule>
    <cfRule type="containsText" dxfId="398" priority="6800" operator="containsText" text="휴강">
      <formula>NOT(ISERROR(SEARCH(("휴강"),(M123))))</formula>
    </cfRule>
    <cfRule type="containsText" dxfId="397" priority="6801" operator="containsText" text="프로젝트">
      <formula>NOT(ISERROR(SEARCH(("프로젝트"),(M123))))</formula>
    </cfRule>
    <cfRule type="containsText" dxfId="396" priority="6815" operator="containsText" text="기타">
      <formula>NOT(ISERROR(SEARCH(("기타"),(M123))))</formula>
    </cfRule>
    <cfRule type="containsText" dxfId="395" priority="6814" operator="containsText" text="정규교과">
      <formula>NOT(ISERROR(SEARCH(("정규교과"),(M123))))</formula>
    </cfRule>
    <cfRule type="containsText" dxfId="394" priority="6813" operator="containsText" text="프로젝트">
      <formula>NOT(ISERROR(SEARCH(("프로젝트"),(M123))))</formula>
    </cfRule>
    <cfRule type="containsText" dxfId="393" priority="6812" operator="containsText" text="기타">
      <formula>NOT(ISERROR(SEARCH(("기타"),(M123))))</formula>
    </cfRule>
    <cfRule type="containsText" dxfId="392" priority="6811" operator="containsText" text="정규교과">
      <formula>NOT(ISERROR(SEARCH(("정규교과"),(M123))))</formula>
    </cfRule>
    <cfRule type="containsText" dxfId="391" priority="6810" operator="containsText" text="프로젝트">
      <formula>NOT(ISERROR(SEARCH(("프로젝트"),(M123))))</formula>
    </cfRule>
    <cfRule type="containsText" dxfId="390" priority="6809" operator="containsText" text="기타">
      <formula>NOT(ISERROR(SEARCH(("기타"),(M123))))</formula>
    </cfRule>
    <cfRule type="containsText" dxfId="389" priority="6808" operator="containsText" text="정규교과">
      <formula>NOT(ISERROR(SEARCH(("정규교과"),(M123))))</formula>
    </cfRule>
    <cfRule type="containsText" dxfId="388" priority="6807" operator="containsText" text="프로젝트">
      <formula>NOT(ISERROR(SEARCH(("프로젝트"),(M123))))</formula>
    </cfRule>
  </conditionalFormatting>
  <conditionalFormatting sqref="M127">
    <cfRule type="containsText" dxfId="387" priority="6791" operator="containsText" text="프로젝트">
      <formula>NOT(ISERROR(SEARCH(("프로젝트"),(M127))))</formula>
    </cfRule>
    <cfRule type="containsText" dxfId="386" priority="6799" operator="containsText" text="기타">
      <formula>NOT(ISERROR(SEARCH(("기타"),(M127))))</formula>
    </cfRule>
    <cfRule type="containsText" dxfId="385" priority="6798" operator="containsText" text="정규교과">
      <formula>NOT(ISERROR(SEARCH(("정규교과"),(M127))))</formula>
    </cfRule>
    <cfRule type="containsText" dxfId="384" priority="6797" operator="containsText" text="프로젝트">
      <formula>NOT(ISERROR(SEARCH(("프로젝트"),(M127))))</formula>
    </cfRule>
    <cfRule type="containsText" dxfId="383" priority="6796" operator="containsText" text="기타">
      <formula>NOT(ISERROR(SEARCH(("기타"),(M127))))</formula>
    </cfRule>
    <cfRule type="containsText" dxfId="382" priority="6795" operator="containsText" text="정규교과">
      <formula>NOT(ISERROR(SEARCH(("정규교과"),(M127))))</formula>
    </cfRule>
    <cfRule type="containsText" dxfId="381" priority="6794" operator="containsText" text="프로젝트">
      <formula>NOT(ISERROR(SEARCH(("프로젝트"),(M127))))</formula>
    </cfRule>
    <cfRule type="containsText" dxfId="380" priority="6793" operator="containsText" text="기타">
      <formula>NOT(ISERROR(SEARCH(("기타"),(M127))))</formula>
    </cfRule>
    <cfRule type="containsText" dxfId="379" priority="6792" operator="containsText" text="정규교과">
      <formula>NOT(ISERROR(SEARCH(("정규교과"),(M127))))</formula>
    </cfRule>
    <cfRule type="containsText" dxfId="378" priority="6790" operator="containsText" text="기타">
      <formula>NOT(ISERROR(SEARCH(("기타"),(M127))))</formula>
    </cfRule>
    <cfRule type="containsText" dxfId="377" priority="6789" operator="containsText" text="정규교과">
      <formula>NOT(ISERROR(SEARCH(("정규교과"),(M127))))</formula>
    </cfRule>
    <cfRule type="containsText" dxfId="376" priority="6788" operator="containsText" text="프로젝트">
      <formula>NOT(ISERROR(SEARCH(("프로젝트"),(M127))))</formula>
    </cfRule>
    <cfRule type="containsText" dxfId="375" priority="6787" operator="containsText" text="기타">
      <formula>NOT(ISERROR(SEARCH(("기타"),(M127))))</formula>
    </cfRule>
    <cfRule type="containsText" dxfId="374" priority="6786" operator="containsText" text="정규교과">
      <formula>NOT(ISERROR(SEARCH(("정규교과"),(M127))))</formula>
    </cfRule>
    <cfRule type="containsText" dxfId="373" priority="6785" operator="containsText" text="프로젝트">
      <formula>NOT(ISERROR(SEARCH(("프로젝트"),(M127))))</formula>
    </cfRule>
    <cfRule type="containsText" dxfId="372" priority="6784" operator="containsText" text="휴강">
      <formula>NOT(ISERROR(SEARCH(("휴강"),(M127))))</formula>
    </cfRule>
  </conditionalFormatting>
  <conditionalFormatting sqref="M131">
    <cfRule type="containsText" dxfId="371" priority="6773" operator="containsText" text="정규교과">
      <formula>NOT(ISERROR(SEARCH(("정규교과"),(M131))))</formula>
    </cfRule>
    <cfRule type="containsText" dxfId="370" priority="6780" operator="containsText" text="기타">
      <formula>NOT(ISERROR(SEARCH(("기타"),(M131))))</formula>
    </cfRule>
    <cfRule type="containsText" dxfId="369" priority="6783" operator="containsText" text="기타">
      <formula>NOT(ISERROR(SEARCH(("기타"),(M131))))</formula>
    </cfRule>
    <cfRule type="containsText" dxfId="368" priority="6782" operator="containsText" text="정규교과">
      <formula>NOT(ISERROR(SEARCH(("정규교과"),(M131))))</formula>
    </cfRule>
    <cfRule type="containsText" dxfId="367" priority="6768" operator="containsText" text="휴강">
      <formula>NOT(ISERROR(SEARCH(("휴강"),(M131))))</formula>
    </cfRule>
    <cfRule type="containsText" dxfId="366" priority="6779" operator="containsText" text="정규교과">
      <formula>NOT(ISERROR(SEARCH(("정규교과"),(M131))))</formula>
    </cfRule>
    <cfRule type="containsText" dxfId="365" priority="6778" operator="containsText" text="프로젝트">
      <formula>NOT(ISERROR(SEARCH(("프로젝트"),(M131))))</formula>
    </cfRule>
    <cfRule type="containsText" dxfId="364" priority="6777" operator="containsText" text="기타">
      <formula>NOT(ISERROR(SEARCH(("기타"),(M131))))</formula>
    </cfRule>
    <cfRule type="containsText" dxfId="363" priority="6776" operator="containsText" text="정규교과">
      <formula>NOT(ISERROR(SEARCH(("정규교과"),(M131))))</formula>
    </cfRule>
    <cfRule type="containsText" dxfId="362" priority="6775" operator="containsText" text="프로젝트">
      <formula>NOT(ISERROR(SEARCH(("프로젝트"),(M131))))</formula>
    </cfRule>
    <cfRule type="containsText" dxfId="361" priority="6774" operator="containsText" text="기타">
      <formula>NOT(ISERROR(SEARCH(("기타"),(M131))))</formula>
    </cfRule>
    <cfRule type="containsText" dxfId="360" priority="6781" operator="containsText" text="프로젝트">
      <formula>NOT(ISERROR(SEARCH(("프로젝트"),(M131))))</formula>
    </cfRule>
    <cfRule type="containsText" dxfId="359" priority="6772" operator="containsText" text="프로젝트">
      <formula>NOT(ISERROR(SEARCH(("프로젝트"),(M131))))</formula>
    </cfRule>
    <cfRule type="containsText" dxfId="358" priority="6771" operator="containsText" text="기타">
      <formula>NOT(ISERROR(SEARCH(("기타"),(M131))))</formula>
    </cfRule>
    <cfRule type="containsText" dxfId="357" priority="6770" operator="containsText" text="정규교과">
      <formula>NOT(ISERROR(SEARCH(("정규교과"),(M131))))</formula>
    </cfRule>
    <cfRule type="containsText" dxfId="356" priority="6769" operator="containsText" text="프로젝트">
      <formula>NOT(ISERROR(SEARCH(("프로젝트"),(M131))))</formula>
    </cfRule>
  </conditionalFormatting>
  <conditionalFormatting sqref="M135">
    <cfRule type="containsText" dxfId="355" priority="6761" operator="containsText" text="기타">
      <formula>NOT(ISERROR(SEARCH(("기타"),(M135))))</formula>
    </cfRule>
    <cfRule type="containsText" dxfId="354" priority="6760" operator="containsText" text="정규교과">
      <formula>NOT(ISERROR(SEARCH(("정규교과"),(M135))))</formula>
    </cfRule>
    <cfRule type="containsText" dxfId="353" priority="6759" operator="containsText" text="프로젝트">
      <formula>NOT(ISERROR(SEARCH(("프로젝트"),(M135))))</formula>
    </cfRule>
    <cfRule type="containsText" dxfId="352" priority="6758" operator="containsText" text="기타">
      <formula>NOT(ISERROR(SEARCH(("기타"),(M135))))</formula>
    </cfRule>
    <cfRule type="containsText" dxfId="351" priority="6767" operator="containsText" text="기타">
      <formula>NOT(ISERROR(SEARCH(("기타"),(M135))))</formula>
    </cfRule>
    <cfRule type="containsText" dxfId="350" priority="6766" operator="containsText" text="정규교과">
      <formula>NOT(ISERROR(SEARCH(("정규교과"),(M135))))</formula>
    </cfRule>
    <cfRule type="containsText" dxfId="349" priority="6765" operator="containsText" text="프로젝트">
      <formula>NOT(ISERROR(SEARCH(("프로젝트"),(M135))))</formula>
    </cfRule>
    <cfRule type="containsText" dxfId="348" priority="6764" operator="containsText" text="기타">
      <formula>NOT(ISERROR(SEARCH(("기타"),(M135))))</formula>
    </cfRule>
    <cfRule type="containsText" dxfId="347" priority="6763" operator="containsText" text="정규교과">
      <formula>NOT(ISERROR(SEARCH(("정규교과"),(M135))))</formula>
    </cfRule>
    <cfRule type="containsText" dxfId="346" priority="6757" operator="containsText" text="정규교과">
      <formula>NOT(ISERROR(SEARCH(("정규교과"),(M135))))</formula>
    </cfRule>
    <cfRule type="containsText" dxfId="345" priority="6756" operator="containsText" text="프로젝트">
      <formula>NOT(ISERROR(SEARCH(("프로젝트"),(M135))))</formula>
    </cfRule>
    <cfRule type="containsText" dxfId="344" priority="6755" operator="containsText" text="기타">
      <formula>NOT(ISERROR(SEARCH(("기타"),(M135))))</formula>
    </cfRule>
    <cfRule type="containsText" dxfId="343" priority="6754" operator="containsText" text="정규교과">
      <formula>NOT(ISERROR(SEARCH(("정규교과"),(M135))))</formula>
    </cfRule>
    <cfRule type="containsText" dxfId="342" priority="6753" operator="containsText" text="프로젝트">
      <formula>NOT(ISERROR(SEARCH(("프로젝트"),(M135))))</formula>
    </cfRule>
    <cfRule type="containsText" dxfId="341" priority="6752" operator="containsText" text="휴강">
      <formula>NOT(ISERROR(SEARCH(("휴강"),(M135))))</formula>
    </cfRule>
    <cfRule type="containsText" dxfId="340" priority="6762" operator="containsText" text="프로젝트">
      <formula>NOT(ISERROR(SEARCH(("프로젝트"),(M135))))</formula>
    </cfRule>
  </conditionalFormatting>
  <conditionalFormatting sqref="M139">
    <cfRule type="containsText" dxfId="339" priority="6736" operator="containsText" text="휴강">
      <formula>NOT(ISERROR(SEARCH(("휴강"),(M139))))</formula>
    </cfRule>
    <cfRule type="containsText" dxfId="338" priority="6748" operator="containsText" text="기타">
      <formula>NOT(ISERROR(SEARCH(("기타"),(M139))))</formula>
    </cfRule>
    <cfRule type="containsText" dxfId="337" priority="6747" operator="containsText" text="정규교과">
      <formula>NOT(ISERROR(SEARCH(("정규교과"),(M139))))</formula>
    </cfRule>
    <cfRule type="containsText" dxfId="336" priority="6746" operator="containsText" text="프로젝트">
      <formula>NOT(ISERROR(SEARCH(("프로젝트"),(M139))))</formula>
    </cfRule>
    <cfRule type="containsText" dxfId="335" priority="6745" operator="containsText" text="기타">
      <formula>NOT(ISERROR(SEARCH(("기타"),(M139))))</formula>
    </cfRule>
    <cfRule type="containsText" dxfId="334" priority="6744" operator="containsText" text="정규교과">
      <formula>NOT(ISERROR(SEARCH(("정규교과"),(M139))))</formula>
    </cfRule>
    <cfRule type="containsText" dxfId="333" priority="6743" operator="containsText" text="프로젝트">
      <formula>NOT(ISERROR(SEARCH(("프로젝트"),(M139))))</formula>
    </cfRule>
    <cfRule type="containsText" dxfId="332" priority="6742" operator="containsText" text="기타">
      <formula>NOT(ISERROR(SEARCH(("기타"),(M139))))</formula>
    </cfRule>
    <cfRule type="containsText" dxfId="331" priority="6741" operator="containsText" text="정규교과">
      <formula>NOT(ISERROR(SEARCH(("정규교과"),(M139))))</formula>
    </cfRule>
    <cfRule type="containsText" dxfId="330" priority="6739" operator="containsText" text="기타">
      <formula>NOT(ISERROR(SEARCH(("기타"),(M139))))</formula>
    </cfRule>
    <cfRule type="containsText" dxfId="329" priority="6738" operator="containsText" text="정규교과">
      <formula>NOT(ISERROR(SEARCH(("정규교과"),(M139))))</formula>
    </cfRule>
    <cfRule type="containsText" dxfId="328" priority="6737" operator="containsText" text="프로젝트">
      <formula>NOT(ISERROR(SEARCH(("프로젝트"),(M139))))</formula>
    </cfRule>
    <cfRule type="containsText" dxfId="327" priority="6751" operator="containsText" text="기타">
      <formula>NOT(ISERROR(SEARCH(("기타"),(M139))))</formula>
    </cfRule>
    <cfRule type="containsText" dxfId="326" priority="6750" operator="containsText" text="정규교과">
      <formula>NOT(ISERROR(SEARCH(("정규교과"),(M139))))</formula>
    </cfRule>
    <cfRule type="containsText" dxfId="325" priority="6749" operator="containsText" text="프로젝트">
      <formula>NOT(ISERROR(SEARCH(("프로젝트"),(M139))))</formula>
    </cfRule>
    <cfRule type="containsText" dxfId="324" priority="6740" operator="containsText" text="프로젝트">
      <formula>NOT(ISERROR(SEARCH(("프로젝트"),(M139))))</formula>
    </cfRule>
  </conditionalFormatting>
  <conditionalFormatting sqref="M145">
    <cfRule type="containsText" dxfId="323" priority="6180" operator="containsText" text="프로젝트">
      <formula>NOT(ISERROR(SEARCH(("프로젝트"),(M145))))</formula>
    </cfRule>
    <cfRule type="containsText" dxfId="322" priority="6184" operator="containsText" text="정규교과">
      <formula>NOT(ISERROR(SEARCH(("정규교과"),(M145))))</formula>
    </cfRule>
    <cfRule type="containsText" dxfId="321" priority="6183" operator="containsText" text="프로젝트">
      <formula>NOT(ISERROR(SEARCH(("프로젝트"),(M145))))</formula>
    </cfRule>
    <cfRule type="containsText" dxfId="320" priority="6176" operator="containsText" text="휴강">
      <formula>NOT(ISERROR(SEARCH(("휴강"),(M145))))</formula>
    </cfRule>
    <cfRule type="containsText" dxfId="319" priority="6181" operator="containsText" text="정규교과">
      <formula>NOT(ISERROR(SEARCH(("정규교과"),(M145))))</formula>
    </cfRule>
    <cfRule type="containsText" dxfId="318" priority="6182" operator="containsText" text="기타">
      <formula>NOT(ISERROR(SEARCH(("기타"),(M145))))</formula>
    </cfRule>
    <cfRule type="containsText" dxfId="317" priority="6179" operator="containsText" text="기타">
      <formula>NOT(ISERROR(SEARCH(("기타"),(M145))))</formula>
    </cfRule>
    <cfRule type="containsText" dxfId="316" priority="6178" operator="containsText" text="정규교과">
      <formula>NOT(ISERROR(SEARCH(("정규교과"),(M145))))</formula>
    </cfRule>
    <cfRule type="containsText" dxfId="315" priority="6177" operator="containsText" text="프로젝트">
      <formula>NOT(ISERROR(SEARCH(("프로젝트"),(M145))))</formula>
    </cfRule>
    <cfRule type="containsText" dxfId="314" priority="6185" operator="containsText" text="기타">
      <formula>NOT(ISERROR(SEARCH(("기타"),(M145))))</formula>
    </cfRule>
    <cfRule type="containsText" dxfId="313" priority="6186" operator="containsText" text="프로젝트">
      <formula>NOT(ISERROR(SEARCH(("프로젝트"),(M145))))</formula>
    </cfRule>
    <cfRule type="containsText" dxfId="312" priority="6187" operator="containsText" text="정규교과">
      <formula>NOT(ISERROR(SEARCH(("정규교과"),(M145))))</formula>
    </cfRule>
    <cfRule type="containsText" dxfId="311" priority="6188" operator="containsText" text="기타">
      <formula>NOT(ISERROR(SEARCH(("기타"),(M145))))</formula>
    </cfRule>
    <cfRule type="containsText" dxfId="310" priority="6189" operator="containsText" text="프로젝트">
      <formula>NOT(ISERROR(SEARCH(("프로젝트"),(M145))))</formula>
    </cfRule>
    <cfRule type="containsText" dxfId="309" priority="6190" operator="containsText" text="정규교과">
      <formula>NOT(ISERROR(SEARCH(("정규교과"),(M145))))</formula>
    </cfRule>
    <cfRule type="containsText" dxfId="308" priority="6191" operator="containsText" text="기타">
      <formula>NOT(ISERROR(SEARCH(("기타"),(M145))))</formula>
    </cfRule>
  </conditionalFormatting>
  <conditionalFormatting sqref="M149">
    <cfRule type="containsText" dxfId="307" priority="6135" operator="containsText" text="프로젝트">
      <formula>NOT(ISERROR(SEARCH(("프로젝트"),(M149))))</formula>
    </cfRule>
    <cfRule type="containsText" dxfId="306" priority="6136" operator="containsText" text="정규교과">
      <formula>NOT(ISERROR(SEARCH(("정규교과"),(M149))))</formula>
    </cfRule>
    <cfRule type="containsText" dxfId="305" priority="6137" operator="containsText" text="기타">
      <formula>NOT(ISERROR(SEARCH(("기타"),(M149))))</formula>
    </cfRule>
    <cfRule type="containsText" dxfId="304" priority="6138" operator="containsText" text="프로젝트">
      <formula>NOT(ISERROR(SEARCH(("프로젝트"),(M149))))</formula>
    </cfRule>
    <cfRule type="containsText" dxfId="303" priority="6139" operator="containsText" text="정규교과">
      <formula>NOT(ISERROR(SEARCH(("정규교과"),(M149))))</formula>
    </cfRule>
    <cfRule type="containsText" dxfId="302" priority="6140" operator="containsText" text="기타">
      <formula>NOT(ISERROR(SEARCH(("기타"),(M149))))</formula>
    </cfRule>
    <cfRule type="containsText" dxfId="301" priority="6141" operator="containsText" text="프로젝트">
      <formula>NOT(ISERROR(SEARCH(("프로젝트"),(M149))))</formula>
    </cfRule>
    <cfRule type="containsText" dxfId="300" priority="6142" operator="containsText" text="정규교과">
      <formula>NOT(ISERROR(SEARCH(("정규교과"),(M149))))</formula>
    </cfRule>
    <cfRule type="containsText" dxfId="299" priority="6143" operator="containsText" text="기타">
      <formula>NOT(ISERROR(SEARCH(("기타"),(M149))))</formula>
    </cfRule>
    <cfRule type="containsText" dxfId="298" priority="6128" operator="containsText" text="휴강">
      <formula>NOT(ISERROR(SEARCH(("휴강"),(M149))))</formula>
    </cfRule>
    <cfRule type="containsText" dxfId="297" priority="6129" operator="containsText" text="프로젝트">
      <formula>NOT(ISERROR(SEARCH(("프로젝트"),(M149))))</formula>
    </cfRule>
    <cfRule type="containsText" dxfId="296" priority="6130" operator="containsText" text="정규교과">
      <formula>NOT(ISERROR(SEARCH(("정규교과"),(M149))))</formula>
    </cfRule>
    <cfRule type="containsText" dxfId="295" priority="6131" operator="containsText" text="기타">
      <formula>NOT(ISERROR(SEARCH(("기타"),(M149))))</formula>
    </cfRule>
    <cfRule type="containsText" dxfId="294" priority="6132" operator="containsText" text="프로젝트">
      <formula>NOT(ISERROR(SEARCH(("프로젝트"),(M149))))</formula>
    </cfRule>
    <cfRule type="containsText" dxfId="293" priority="6133" operator="containsText" text="정규교과">
      <formula>NOT(ISERROR(SEARCH(("정규교과"),(M149))))</formula>
    </cfRule>
    <cfRule type="containsText" dxfId="292" priority="6134" operator="containsText" text="기타">
      <formula>NOT(ISERROR(SEARCH(("기타"),(M149))))</formula>
    </cfRule>
  </conditionalFormatting>
  <conditionalFormatting sqref="M153">
    <cfRule type="containsText" dxfId="291" priority="6081" operator="containsText" text="프로젝트">
      <formula>NOT(ISERROR(SEARCH(("프로젝트"),(M153))))</formula>
    </cfRule>
    <cfRule type="containsText" dxfId="290" priority="6083" operator="containsText" text="기타">
      <formula>NOT(ISERROR(SEARCH(("기타"),(M153))))</formula>
    </cfRule>
    <cfRule type="containsText" dxfId="289" priority="6082" operator="containsText" text="정규교과">
      <formula>NOT(ISERROR(SEARCH(("정규교과"),(M153))))</formula>
    </cfRule>
    <cfRule type="containsText" dxfId="288" priority="6095" operator="containsText" text="기타">
      <formula>NOT(ISERROR(SEARCH(("기타"),(M153))))</formula>
    </cfRule>
    <cfRule type="containsText" dxfId="287" priority="6094" operator="containsText" text="정규교과">
      <formula>NOT(ISERROR(SEARCH(("정규교과"),(M153))))</formula>
    </cfRule>
    <cfRule type="containsText" dxfId="286" priority="6093" operator="containsText" text="프로젝트">
      <formula>NOT(ISERROR(SEARCH(("프로젝트"),(M153))))</formula>
    </cfRule>
    <cfRule type="containsText" dxfId="285" priority="6080" operator="containsText" text="휴강">
      <formula>NOT(ISERROR(SEARCH(("휴강"),(M153))))</formula>
    </cfRule>
    <cfRule type="containsText" dxfId="284" priority="6091" operator="containsText" text="정규교과">
      <formula>NOT(ISERROR(SEARCH(("정규교과"),(M153))))</formula>
    </cfRule>
    <cfRule type="containsText" dxfId="283" priority="6092" operator="containsText" text="기타">
      <formula>NOT(ISERROR(SEARCH(("기타"),(M153))))</formula>
    </cfRule>
    <cfRule type="containsText" dxfId="282" priority="6090" operator="containsText" text="프로젝트">
      <formula>NOT(ISERROR(SEARCH(("프로젝트"),(M153))))</formula>
    </cfRule>
    <cfRule type="containsText" dxfId="281" priority="6089" operator="containsText" text="기타">
      <formula>NOT(ISERROR(SEARCH(("기타"),(M153))))</formula>
    </cfRule>
    <cfRule type="containsText" dxfId="280" priority="6088" operator="containsText" text="정규교과">
      <formula>NOT(ISERROR(SEARCH(("정규교과"),(M153))))</formula>
    </cfRule>
    <cfRule type="containsText" dxfId="279" priority="6087" operator="containsText" text="프로젝트">
      <formula>NOT(ISERROR(SEARCH(("프로젝트"),(M153))))</formula>
    </cfRule>
    <cfRule type="containsText" dxfId="278" priority="6086" operator="containsText" text="기타">
      <formula>NOT(ISERROR(SEARCH(("기타"),(M153))))</formula>
    </cfRule>
    <cfRule type="containsText" dxfId="277" priority="6085" operator="containsText" text="정규교과">
      <formula>NOT(ISERROR(SEARCH(("정규교과"),(M153))))</formula>
    </cfRule>
    <cfRule type="containsText" dxfId="276" priority="6084" operator="containsText" text="프로젝트">
      <formula>NOT(ISERROR(SEARCH(("프로젝트"),(M153))))</formula>
    </cfRule>
  </conditionalFormatting>
  <conditionalFormatting sqref="M158">
    <cfRule type="containsText" dxfId="275" priority="6040" operator="containsText" text="정규교과">
      <formula>NOT(ISERROR(SEARCH(("정규교과"),(M158))))</formula>
    </cfRule>
    <cfRule type="containsText" dxfId="274" priority="6041" operator="containsText" text="기타">
      <formula>NOT(ISERROR(SEARCH(("기타"),(M158))))</formula>
    </cfRule>
    <cfRule type="containsText" dxfId="273" priority="6042" operator="containsText" text="프로젝트">
      <formula>NOT(ISERROR(SEARCH(("프로젝트"),(M158))))</formula>
    </cfRule>
    <cfRule type="containsText" dxfId="272" priority="6043" operator="containsText" text="정규교과">
      <formula>NOT(ISERROR(SEARCH(("정규교과"),(M158))))</formula>
    </cfRule>
    <cfRule type="containsText" dxfId="271" priority="6044" operator="containsText" text="기타">
      <formula>NOT(ISERROR(SEARCH(("기타"),(M158))))</formula>
    </cfRule>
    <cfRule type="containsText" dxfId="270" priority="6045" operator="containsText" text="프로젝트">
      <formula>NOT(ISERROR(SEARCH(("프로젝트"),(M158))))</formula>
    </cfRule>
    <cfRule type="containsText" dxfId="269" priority="6046" operator="containsText" text="정규교과">
      <formula>NOT(ISERROR(SEARCH(("정규교과"),(M158))))</formula>
    </cfRule>
    <cfRule type="containsText" dxfId="268" priority="6047" operator="containsText" text="기타">
      <formula>NOT(ISERROR(SEARCH(("기타"),(M158))))</formula>
    </cfRule>
    <cfRule type="containsText" dxfId="267" priority="6035" operator="containsText" text="기타">
      <formula>NOT(ISERROR(SEARCH(("기타"),(M158))))</formula>
    </cfRule>
    <cfRule type="containsText" dxfId="266" priority="6036" operator="containsText" text="프로젝트">
      <formula>NOT(ISERROR(SEARCH(("프로젝트"),(M158))))</formula>
    </cfRule>
    <cfRule type="containsText" dxfId="265" priority="6037" operator="containsText" text="정규교과">
      <formula>NOT(ISERROR(SEARCH(("정규교과"),(M158))))</formula>
    </cfRule>
    <cfRule type="containsText" dxfId="264" priority="6032" operator="containsText" text="휴강">
      <formula>NOT(ISERROR(SEARCH(("휴강"),(M158))))</formula>
    </cfRule>
    <cfRule type="containsText" dxfId="263" priority="6033" operator="containsText" text="프로젝트">
      <formula>NOT(ISERROR(SEARCH(("프로젝트"),(M158))))</formula>
    </cfRule>
    <cfRule type="containsText" dxfId="262" priority="6034" operator="containsText" text="정규교과">
      <formula>NOT(ISERROR(SEARCH(("정규교과"),(M158))))</formula>
    </cfRule>
    <cfRule type="containsText" dxfId="261" priority="6038" operator="containsText" text="기타">
      <formula>NOT(ISERROR(SEARCH(("기타"),(M158))))</formula>
    </cfRule>
    <cfRule type="containsText" dxfId="260" priority="6039" operator="containsText" text="프로젝트">
      <formula>NOT(ISERROR(SEARCH(("프로젝트"),(M158))))</formula>
    </cfRule>
  </conditionalFormatting>
  <conditionalFormatting sqref="M162">
    <cfRule type="containsText" dxfId="259" priority="5993" operator="containsText" text="기타">
      <formula>NOT(ISERROR(SEARCH(("기타"),(M162))))</formula>
    </cfRule>
    <cfRule type="containsText" dxfId="258" priority="5992" operator="containsText" text="정규교과">
      <formula>NOT(ISERROR(SEARCH(("정규교과"),(M162))))</formula>
    </cfRule>
    <cfRule type="containsText" dxfId="257" priority="5984" operator="containsText" text="휴강">
      <formula>NOT(ISERROR(SEARCH(("휴강"),(M162))))</formula>
    </cfRule>
    <cfRule type="containsText" dxfId="256" priority="5986" operator="containsText" text="정규교과">
      <formula>NOT(ISERROR(SEARCH(("정규교과"),(M162))))</formula>
    </cfRule>
    <cfRule type="containsText" dxfId="255" priority="5987" operator="containsText" text="기타">
      <formula>NOT(ISERROR(SEARCH(("기타"),(M162))))</formula>
    </cfRule>
    <cfRule type="containsText" dxfId="254" priority="5998" operator="containsText" text="정규교과">
      <formula>NOT(ISERROR(SEARCH(("정규교과"),(M162))))</formula>
    </cfRule>
    <cfRule type="containsText" dxfId="253" priority="5985" operator="containsText" text="프로젝트">
      <formula>NOT(ISERROR(SEARCH(("프로젝트"),(M162))))</formula>
    </cfRule>
    <cfRule type="containsText" dxfId="252" priority="5989" operator="containsText" text="정규교과">
      <formula>NOT(ISERROR(SEARCH(("정규교과"),(M162))))</formula>
    </cfRule>
    <cfRule type="containsText" dxfId="251" priority="5990" operator="containsText" text="기타">
      <formula>NOT(ISERROR(SEARCH(("기타"),(M162))))</formula>
    </cfRule>
    <cfRule type="containsText" dxfId="250" priority="5988" operator="containsText" text="프로젝트">
      <formula>NOT(ISERROR(SEARCH(("프로젝트"),(M162))))</formula>
    </cfRule>
    <cfRule type="containsText" dxfId="249" priority="5999" operator="containsText" text="기타">
      <formula>NOT(ISERROR(SEARCH(("기타"),(M162))))</formula>
    </cfRule>
    <cfRule type="containsText" dxfId="248" priority="5991" operator="containsText" text="프로젝트">
      <formula>NOT(ISERROR(SEARCH(("프로젝트"),(M162))))</formula>
    </cfRule>
    <cfRule type="containsText" dxfId="247" priority="5997" operator="containsText" text="프로젝트">
      <formula>NOT(ISERROR(SEARCH(("프로젝트"),(M162))))</formula>
    </cfRule>
    <cfRule type="containsText" dxfId="246" priority="5996" operator="containsText" text="기타">
      <formula>NOT(ISERROR(SEARCH(("기타"),(M162))))</formula>
    </cfRule>
    <cfRule type="containsText" dxfId="245" priority="5995" operator="containsText" text="정규교과">
      <formula>NOT(ISERROR(SEARCH(("정규교과"),(M162))))</formula>
    </cfRule>
    <cfRule type="containsText" dxfId="244" priority="5994" operator="containsText" text="프로젝트">
      <formula>NOT(ISERROR(SEARCH(("프로젝트"),(M162))))</formula>
    </cfRule>
  </conditionalFormatting>
  <conditionalFormatting sqref="M166">
    <cfRule type="containsText" dxfId="243" priority="5950" operator="containsText" text="정규교과">
      <formula>NOT(ISERROR(SEARCH(("정규교과"),(M166))))</formula>
    </cfRule>
    <cfRule type="containsText" dxfId="242" priority="5951" operator="containsText" text="기타">
      <formula>NOT(ISERROR(SEARCH(("기타"),(M166))))</formula>
    </cfRule>
    <cfRule type="containsText" dxfId="241" priority="5943" operator="containsText" text="프로젝트">
      <formula>NOT(ISERROR(SEARCH(("프로젝트"),(M166))))</formula>
    </cfRule>
    <cfRule type="containsText" dxfId="240" priority="5940" operator="containsText" text="프로젝트">
      <formula>NOT(ISERROR(SEARCH(("프로젝트"),(M166))))</formula>
    </cfRule>
    <cfRule type="containsText" dxfId="239" priority="5947" operator="containsText" text="정규교과">
      <formula>NOT(ISERROR(SEARCH(("정규교과"),(M166))))</formula>
    </cfRule>
    <cfRule type="containsText" dxfId="238" priority="5946" operator="containsText" text="프로젝트">
      <formula>NOT(ISERROR(SEARCH(("프로젝트"),(M166))))</formula>
    </cfRule>
    <cfRule type="containsText" dxfId="237" priority="5945" operator="containsText" text="기타">
      <formula>NOT(ISERROR(SEARCH(("기타"),(M166))))</formula>
    </cfRule>
    <cfRule type="containsText" dxfId="236" priority="5944" operator="containsText" text="정규교과">
      <formula>NOT(ISERROR(SEARCH(("정규교과"),(M166))))</formula>
    </cfRule>
    <cfRule type="containsText" dxfId="235" priority="5942" operator="containsText" text="기타">
      <formula>NOT(ISERROR(SEARCH(("기타"),(M166))))</formula>
    </cfRule>
    <cfRule type="containsText" dxfId="234" priority="5941" operator="containsText" text="정규교과">
      <formula>NOT(ISERROR(SEARCH(("정규교과"),(M166))))</formula>
    </cfRule>
    <cfRule type="containsText" dxfId="233" priority="5948" operator="containsText" text="기타">
      <formula>NOT(ISERROR(SEARCH(("기타"),(M166))))</formula>
    </cfRule>
    <cfRule type="containsText" dxfId="232" priority="5939" operator="containsText" text="기타">
      <formula>NOT(ISERROR(SEARCH(("기타"),(M166))))</formula>
    </cfRule>
    <cfRule type="containsText" dxfId="231" priority="5938" operator="containsText" text="정규교과">
      <formula>NOT(ISERROR(SEARCH(("정규교과"),(M166))))</formula>
    </cfRule>
    <cfRule type="containsText" dxfId="230" priority="5937" operator="containsText" text="프로젝트">
      <formula>NOT(ISERROR(SEARCH(("프로젝트"),(M166))))</formula>
    </cfRule>
    <cfRule type="containsText" dxfId="229" priority="5936" operator="containsText" text="휴강">
      <formula>NOT(ISERROR(SEARCH(("휴강"),(M166))))</formula>
    </cfRule>
    <cfRule type="containsText" dxfId="228" priority="5949" operator="containsText" text="프로젝트">
      <formula>NOT(ISERROR(SEARCH(("프로젝트"),(M166))))</formula>
    </cfRule>
  </conditionalFormatting>
  <conditionalFormatting sqref="M170">
    <cfRule type="containsText" dxfId="227" priority="5895" operator="containsText" text="프로젝트">
      <formula>NOT(ISERROR(SEARCH(("프로젝트"),(M170))))</formula>
    </cfRule>
    <cfRule type="containsText" dxfId="226" priority="5896" operator="containsText" text="정규교과">
      <formula>NOT(ISERROR(SEARCH(("정규교과"),(M170))))</formula>
    </cfRule>
    <cfRule type="containsText" dxfId="225" priority="5897" operator="containsText" text="기타">
      <formula>NOT(ISERROR(SEARCH(("기타"),(M170))))</formula>
    </cfRule>
    <cfRule type="containsText" dxfId="224" priority="5898" operator="containsText" text="프로젝트">
      <formula>NOT(ISERROR(SEARCH(("프로젝트"),(M170))))</formula>
    </cfRule>
    <cfRule type="containsText" dxfId="223" priority="5899" operator="containsText" text="정규교과">
      <formula>NOT(ISERROR(SEARCH(("정규교과"),(M170))))</formula>
    </cfRule>
    <cfRule type="containsText" dxfId="222" priority="5900" operator="containsText" text="기타">
      <formula>NOT(ISERROR(SEARCH(("기타"),(M170))))</formula>
    </cfRule>
    <cfRule type="containsText" dxfId="221" priority="5901" operator="containsText" text="프로젝트">
      <formula>NOT(ISERROR(SEARCH(("프로젝트"),(M170))))</formula>
    </cfRule>
    <cfRule type="containsText" dxfId="220" priority="5902" operator="containsText" text="정규교과">
      <formula>NOT(ISERROR(SEARCH(("정규교과"),(M170))))</formula>
    </cfRule>
    <cfRule type="containsText" dxfId="219" priority="5903" operator="containsText" text="기타">
      <formula>NOT(ISERROR(SEARCH(("기타"),(M170))))</formula>
    </cfRule>
    <cfRule type="containsText" dxfId="218" priority="5888" operator="containsText" text="휴강">
      <formula>NOT(ISERROR(SEARCH(("휴강"),(M170))))</formula>
    </cfRule>
    <cfRule type="containsText" dxfId="217" priority="5889" operator="containsText" text="프로젝트">
      <formula>NOT(ISERROR(SEARCH(("프로젝트"),(M170))))</formula>
    </cfRule>
    <cfRule type="containsText" dxfId="216" priority="5890" operator="containsText" text="정규교과">
      <formula>NOT(ISERROR(SEARCH(("정규교과"),(M170))))</formula>
    </cfRule>
    <cfRule type="containsText" dxfId="215" priority="5891" operator="containsText" text="기타">
      <formula>NOT(ISERROR(SEARCH(("기타"),(M170))))</formula>
    </cfRule>
    <cfRule type="containsText" dxfId="214" priority="5892" operator="containsText" text="프로젝트">
      <formula>NOT(ISERROR(SEARCH(("프로젝트"),(M170))))</formula>
    </cfRule>
    <cfRule type="containsText" dxfId="213" priority="5893" operator="containsText" text="정규교과">
      <formula>NOT(ISERROR(SEARCH(("정규교과"),(M170))))</formula>
    </cfRule>
    <cfRule type="containsText" dxfId="212" priority="5894" operator="containsText" text="기타">
      <formula>NOT(ISERROR(SEARCH(("기타"),(M170))))</formula>
    </cfRule>
  </conditionalFormatting>
  <conditionalFormatting sqref="M174">
    <cfRule type="containsText" dxfId="211" priority="5855" operator="containsText" text="기타">
      <formula>NOT(ISERROR(SEARCH(("기타"),(M174))))</formula>
    </cfRule>
    <cfRule type="containsText" dxfId="210" priority="5854" operator="containsText" text="정규교과">
      <formula>NOT(ISERROR(SEARCH(("정규교과"),(M174))))</formula>
    </cfRule>
    <cfRule type="containsText" dxfId="209" priority="5853" operator="containsText" text="프로젝트">
      <formula>NOT(ISERROR(SEARCH(("프로젝트"),(M174))))</formula>
    </cfRule>
    <cfRule type="containsText" dxfId="208" priority="5852" operator="containsText" text="기타">
      <formula>NOT(ISERROR(SEARCH(("기타"),(M174))))</formula>
    </cfRule>
    <cfRule type="containsText" dxfId="207" priority="5851" operator="containsText" text="정규교과">
      <formula>NOT(ISERROR(SEARCH(("정규교과"),(M174))))</formula>
    </cfRule>
    <cfRule type="containsText" dxfId="206" priority="5842" operator="containsText" text="정규교과">
      <formula>NOT(ISERROR(SEARCH(("정규교과"),(M174))))</formula>
    </cfRule>
    <cfRule type="containsText" dxfId="205" priority="5850" operator="containsText" text="프로젝트">
      <formula>NOT(ISERROR(SEARCH(("프로젝트"),(M174))))</formula>
    </cfRule>
    <cfRule type="containsText" dxfId="204" priority="5841" operator="containsText" text="프로젝트">
      <formula>NOT(ISERROR(SEARCH(("프로젝트"),(M174))))</formula>
    </cfRule>
    <cfRule type="containsText" dxfId="203" priority="5848" operator="containsText" text="정규교과">
      <formula>NOT(ISERROR(SEARCH(("정규교과"),(M174))))</formula>
    </cfRule>
    <cfRule type="containsText" dxfId="202" priority="5844" operator="containsText" text="프로젝트">
      <formula>NOT(ISERROR(SEARCH(("프로젝트"),(M174))))</formula>
    </cfRule>
    <cfRule type="containsText" dxfId="201" priority="5845" operator="containsText" text="정규교과">
      <formula>NOT(ISERROR(SEARCH(("정규교과"),(M174))))</formula>
    </cfRule>
    <cfRule type="containsText" dxfId="200" priority="5846" operator="containsText" text="기타">
      <formula>NOT(ISERROR(SEARCH(("기타"),(M174))))</formula>
    </cfRule>
    <cfRule type="containsText" dxfId="199" priority="5840" operator="containsText" text="휴강">
      <formula>NOT(ISERROR(SEARCH(("휴강"),(M174))))</formula>
    </cfRule>
    <cfRule type="containsText" dxfId="198" priority="5847" operator="containsText" text="프로젝트">
      <formula>NOT(ISERROR(SEARCH(("프로젝트"),(M174))))</formula>
    </cfRule>
    <cfRule type="containsText" dxfId="197" priority="5849" operator="containsText" text="기타">
      <formula>NOT(ISERROR(SEARCH(("기타"),(M174))))</formula>
    </cfRule>
    <cfRule type="containsText" dxfId="196" priority="5843" operator="containsText" text="기타">
      <formula>NOT(ISERROR(SEARCH(("기타"),(M174))))</formula>
    </cfRule>
  </conditionalFormatting>
  <conditionalFormatting sqref="M180 D181:M183 M184 D185:M187 M188 D189:M192 M193 D194:M196 L197:M197 D198:M200 L201:M201 D202:M204 L205:M205 D206:M208 L209:M209 D210:M212">
    <cfRule type="containsText" dxfId="195" priority="14908" operator="containsText" text="프로젝트">
      <formula>NOT(ISERROR(SEARCH(("프로젝트"),(D180))))</formula>
    </cfRule>
  </conditionalFormatting>
  <conditionalFormatting sqref="M180">
    <cfRule type="containsText" dxfId="194" priority="4922" operator="containsText" text="정규교과">
      <formula>NOT(ISERROR(SEARCH(("정규교과"),(M180))))</formula>
    </cfRule>
    <cfRule type="containsText" dxfId="193" priority="4912" operator="containsText" text="프로젝트">
      <formula>NOT(ISERROR(SEARCH(("프로젝트"),(M180))))</formula>
    </cfRule>
    <cfRule type="containsText" dxfId="192" priority="4913" operator="containsText" text="정규교과">
      <formula>NOT(ISERROR(SEARCH(("정규교과"),(M180))))</formula>
    </cfRule>
    <cfRule type="containsText" dxfId="191" priority="4914" operator="containsText" text="기타">
      <formula>NOT(ISERROR(SEARCH(("기타"),(M180))))</formula>
    </cfRule>
    <cfRule type="containsText" dxfId="190" priority="4916" operator="containsText" text="정규교과">
      <formula>NOT(ISERROR(SEARCH(("정규교과"),(M180))))</formula>
    </cfRule>
    <cfRule type="containsText" dxfId="189" priority="4918" operator="containsText" text="프로젝트">
      <formula>NOT(ISERROR(SEARCH(("프로젝트"),(M180))))</formula>
    </cfRule>
    <cfRule type="containsText" dxfId="188" priority="4919" operator="containsText" text="정규교과">
      <formula>NOT(ISERROR(SEARCH(("정규교과"),(M180))))</formula>
    </cfRule>
    <cfRule type="containsText" dxfId="187" priority="4920" operator="containsText" text="기타">
      <formula>NOT(ISERROR(SEARCH(("기타"),(M180))))</formula>
    </cfRule>
    <cfRule type="containsText" dxfId="186" priority="4921" operator="containsText" text="프로젝트">
      <formula>NOT(ISERROR(SEARCH(("프로젝트"),(M180))))</formula>
    </cfRule>
    <cfRule type="containsText" dxfId="185" priority="4917" operator="containsText" text="기타">
      <formula>NOT(ISERROR(SEARCH(("기타"),(M180))))</formula>
    </cfRule>
    <cfRule type="containsText" dxfId="184" priority="4923" operator="containsText" text="기타">
      <formula>NOT(ISERROR(SEARCH(("기타"),(M180))))</formula>
    </cfRule>
    <cfRule type="containsText" dxfId="183" priority="4915" operator="containsText" text="프로젝트">
      <formula>NOT(ISERROR(SEARCH(("프로젝트"),(M180))))</formula>
    </cfRule>
  </conditionalFormatting>
  <conditionalFormatting sqref="M184">
    <cfRule type="containsText" dxfId="182" priority="14912" operator="containsText" text="정규교과">
      <formula>NOT(ISERROR(SEARCH(("정규교과"),(M184))))</formula>
    </cfRule>
    <cfRule type="containsText" dxfId="181" priority="14913" operator="containsText" text="기타">
      <formula>NOT(ISERROR(SEARCH(("기타"),(M184))))</formula>
    </cfRule>
    <cfRule type="containsText" dxfId="180" priority="4909" operator="containsText" text="프로젝트">
      <formula>NOT(ISERROR(SEARCH(("프로젝트"),(M184))))</formula>
    </cfRule>
    <cfRule type="containsText" dxfId="179" priority="14911" operator="containsText" text="프로젝트">
      <formula>NOT(ISERROR(SEARCH(("프로젝트"),(M184))))</formula>
    </cfRule>
    <cfRule type="containsText" dxfId="178" priority="4907" operator="containsText" text="정규교과">
      <formula>NOT(ISERROR(SEARCH(("정규교과"),(M184))))</formula>
    </cfRule>
    <cfRule type="containsText" dxfId="177" priority="4911" operator="containsText" text="기타">
      <formula>NOT(ISERROR(SEARCH(("기타"),(M184))))</formula>
    </cfRule>
    <cfRule type="containsText" dxfId="176" priority="4910" operator="containsText" text="정규교과">
      <formula>NOT(ISERROR(SEARCH(("정규교과"),(M184))))</formula>
    </cfRule>
    <cfRule type="containsText" dxfId="175" priority="4908" operator="containsText" text="기타">
      <formula>NOT(ISERROR(SEARCH(("기타"),(M184))))</formula>
    </cfRule>
    <cfRule type="containsText" dxfId="174" priority="4906" operator="containsText" text="프로젝트">
      <formula>NOT(ISERROR(SEARCH(("프로젝트"),(M184))))</formula>
    </cfRule>
    <cfRule type="containsText" dxfId="173" priority="4905" operator="containsText" text="기타">
      <formula>NOT(ISERROR(SEARCH(("기타"),(M184))))</formula>
    </cfRule>
    <cfRule type="containsText" dxfId="172" priority="4904" operator="containsText" text="정규교과">
      <formula>NOT(ISERROR(SEARCH(("정규교과"),(M184))))</formula>
    </cfRule>
    <cfRule type="containsText" dxfId="171" priority="4903" operator="containsText" text="프로젝트">
      <formula>NOT(ISERROR(SEARCH(("프로젝트"),(M184))))</formula>
    </cfRule>
    <cfRule type="containsText" dxfId="170" priority="4902" operator="containsText" text="기타">
      <formula>NOT(ISERROR(SEARCH(("기타"),(M184))))</formula>
    </cfRule>
    <cfRule type="containsText" dxfId="169" priority="4901" operator="containsText" text="정규교과">
      <formula>NOT(ISERROR(SEARCH(("정규교과"),(M184))))</formula>
    </cfRule>
    <cfRule type="containsText" dxfId="168" priority="4900" operator="containsText" text="프로젝트">
      <formula>NOT(ISERROR(SEARCH(("프로젝트"),(M184))))</formula>
    </cfRule>
  </conditionalFormatting>
  <conditionalFormatting sqref="M188">
    <cfRule type="containsText" dxfId="167" priority="14915" operator="containsText" text="정규교과">
      <formula>NOT(ISERROR(SEARCH(("정규교과"),(M188))))</formula>
    </cfRule>
    <cfRule type="containsText" dxfId="166" priority="14914" operator="containsText" text="프로젝트">
      <formula>NOT(ISERROR(SEARCH(("프로젝트"),(M188))))</formula>
    </cfRule>
    <cfRule type="containsText" dxfId="165" priority="4897" operator="containsText" text="프로젝트">
      <formula>NOT(ISERROR(SEARCH(("프로젝트"),(M188))))</formula>
    </cfRule>
    <cfRule type="containsText" dxfId="164" priority="4890" operator="containsText" text="기타">
      <formula>NOT(ISERROR(SEARCH(("기타"),(M188))))</formula>
    </cfRule>
    <cfRule type="containsText" dxfId="163" priority="4888" operator="containsText" text="프로젝트">
      <formula>NOT(ISERROR(SEARCH(("프로젝트"),(M188))))</formula>
    </cfRule>
    <cfRule type="containsText" dxfId="162" priority="4889" operator="containsText" text="정규교과">
      <formula>NOT(ISERROR(SEARCH(("정규교과"),(M188))))</formula>
    </cfRule>
    <cfRule type="containsText" dxfId="161" priority="4891" operator="containsText" text="프로젝트">
      <formula>NOT(ISERROR(SEARCH(("프로젝트"),(M188))))</formula>
    </cfRule>
    <cfRule type="containsText" dxfId="160" priority="4892" operator="containsText" text="정규교과">
      <formula>NOT(ISERROR(SEARCH(("정규교과"),(M188))))</formula>
    </cfRule>
    <cfRule type="containsText" dxfId="159" priority="4896" operator="containsText" text="기타">
      <formula>NOT(ISERROR(SEARCH(("기타"),(M188))))</formula>
    </cfRule>
    <cfRule type="containsText" dxfId="158" priority="4895" operator="containsText" text="정규교과">
      <formula>NOT(ISERROR(SEARCH(("정규교과"),(M188))))</formula>
    </cfRule>
    <cfRule type="containsText" dxfId="157" priority="4894" operator="containsText" text="프로젝트">
      <formula>NOT(ISERROR(SEARCH(("프로젝트"),(M188))))</formula>
    </cfRule>
    <cfRule type="containsText" dxfId="156" priority="4893" operator="containsText" text="기타">
      <formula>NOT(ISERROR(SEARCH(("기타"),(M188))))</formula>
    </cfRule>
    <cfRule type="containsText" dxfId="155" priority="14919" operator="containsText" text="기타">
      <formula>NOT(ISERROR(SEARCH(("기타"),(M188))))</formula>
    </cfRule>
    <cfRule type="containsText" dxfId="154" priority="14918" operator="containsText" text="정규교과">
      <formula>NOT(ISERROR(SEARCH(("정규교과"),(M188))))</formula>
    </cfRule>
    <cfRule type="containsText" dxfId="153" priority="14917" operator="containsText" text="프로젝트">
      <formula>NOT(ISERROR(SEARCH(("프로젝트"),(M188))))</formula>
    </cfRule>
    <cfRule type="containsText" dxfId="152" priority="14916" operator="containsText" text="기타">
      <formula>NOT(ISERROR(SEARCH(("기타"),(M188))))</formula>
    </cfRule>
    <cfRule type="containsText" dxfId="151" priority="4899" operator="containsText" text="기타">
      <formula>NOT(ISERROR(SEARCH(("기타"),(M188))))</formula>
    </cfRule>
    <cfRule type="containsText" dxfId="150" priority="4898" operator="containsText" text="정규교과">
      <formula>NOT(ISERROR(SEARCH(("정규교과"),(M188))))</formula>
    </cfRule>
  </conditionalFormatting>
  <conditionalFormatting sqref="M193">
    <cfRule type="containsText" dxfId="149" priority="4882" operator="containsText" text="프로젝트">
      <formula>NOT(ISERROR(SEARCH(("프로젝트"),(M193))))</formula>
    </cfRule>
    <cfRule type="containsText" dxfId="148" priority="14923" operator="containsText" text="프로젝트">
      <formula>NOT(ISERROR(SEARCH(("프로젝트"),(M193))))</formula>
    </cfRule>
    <cfRule type="containsText" dxfId="147" priority="4883" operator="containsText" text="정규교과">
      <formula>NOT(ISERROR(SEARCH(("정규교과"),(M193))))</formula>
    </cfRule>
    <cfRule type="containsText" dxfId="146" priority="4884" operator="containsText" text="기타">
      <formula>NOT(ISERROR(SEARCH(("기타"),(M193))))</formula>
    </cfRule>
    <cfRule type="containsText" dxfId="145" priority="4886" operator="containsText" text="정규교과">
      <formula>NOT(ISERROR(SEARCH(("정규교과"),(M193))))</formula>
    </cfRule>
    <cfRule type="containsText" dxfId="144" priority="4887" operator="containsText" text="기타">
      <formula>NOT(ISERROR(SEARCH(("기타"),(M193))))</formula>
    </cfRule>
    <cfRule type="containsText" dxfId="143" priority="14925" operator="containsText" text="기타">
      <formula>NOT(ISERROR(SEARCH(("기타"),(M193))))</formula>
    </cfRule>
    <cfRule type="containsText" dxfId="142" priority="14926" operator="containsText" text="프로젝트">
      <formula>NOT(ISERROR(SEARCH(("프로젝트"),(M193))))</formula>
    </cfRule>
    <cfRule type="containsText" dxfId="141" priority="14927" operator="containsText" text="정규교과">
      <formula>NOT(ISERROR(SEARCH(("정규교과"),(M193))))</formula>
    </cfRule>
    <cfRule type="containsText" dxfId="140" priority="14928" operator="containsText" text="기타">
      <formula>NOT(ISERROR(SEARCH(("기타"),(M193))))</formula>
    </cfRule>
    <cfRule type="containsText" dxfId="139" priority="4877" operator="containsText" text="정규교과">
      <formula>NOT(ISERROR(SEARCH(("정규교과"),(M193))))</formula>
    </cfRule>
    <cfRule type="containsText" dxfId="138" priority="4881" operator="containsText" text="기타">
      <formula>NOT(ISERROR(SEARCH(("기타"),(M193))))</formula>
    </cfRule>
    <cfRule type="containsText" dxfId="137" priority="4876" operator="containsText" text="프로젝트">
      <formula>NOT(ISERROR(SEARCH(("프로젝트"),(M193))))</formula>
    </cfRule>
    <cfRule type="containsText" dxfId="136" priority="4880" operator="containsText" text="정규교과">
      <formula>NOT(ISERROR(SEARCH(("정규교과"),(M193))))</formula>
    </cfRule>
    <cfRule type="containsText" dxfId="135" priority="4879" operator="containsText" text="프로젝트">
      <formula>NOT(ISERROR(SEARCH(("프로젝트"),(M193))))</formula>
    </cfRule>
    <cfRule type="containsText" dxfId="134" priority="14924" operator="containsText" text="정규교과">
      <formula>NOT(ISERROR(SEARCH(("정규교과"),(M193))))</formula>
    </cfRule>
    <cfRule type="containsText" dxfId="133" priority="4878" operator="containsText" text="기타">
      <formula>NOT(ISERROR(SEARCH(("기타"),(M193))))</formula>
    </cfRule>
    <cfRule type="containsText" dxfId="132" priority="4885" operator="containsText" text="프로젝트">
      <formula>NOT(ISERROR(SEARCH(("프로젝트"),(M193))))</formula>
    </cfRule>
  </conditionalFormatting>
  <conditionalFormatting sqref="M201">
    <cfRule type="containsText" dxfId="131" priority="4870" operator="containsText" text="프로젝트">
      <formula>NOT(ISERROR(SEARCH(("프로젝트"),(M201))))</formula>
    </cfRule>
    <cfRule type="containsText" dxfId="130" priority="4871" operator="containsText" text="정규교과">
      <formula>NOT(ISERROR(SEARCH(("정규교과"),(M201))))</formula>
    </cfRule>
    <cfRule type="containsText" dxfId="129" priority="4872" operator="containsText" text="기타">
      <formula>NOT(ISERROR(SEARCH(("기타"),(M201))))</formula>
    </cfRule>
    <cfRule type="containsText" dxfId="128" priority="4873" operator="containsText" text="프로젝트">
      <formula>NOT(ISERROR(SEARCH(("프로젝트"),(M201))))</formula>
    </cfRule>
    <cfRule type="containsText" dxfId="127" priority="4874" operator="containsText" text="정규교과">
      <formula>NOT(ISERROR(SEARCH(("정규교과"),(M201))))</formula>
    </cfRule>
    <cfRule type="containsText" dxfId="126" priority="4875" operator="containsText" text="기타">
      <formula>NOT(ISERROR(SEARCH(("기타"),(M201))))</formula>
    </cfRule>
    <cfRule type="containsText" dxfId="125" priority="4864" operator="containsText" text="프로젝트">
      <formula>NOT(ISERROR(SEARCH(("프로젝트"),(M201))))</formula>
    </cfRule>
    <cfRule type="containsText" dxfId="124" priority="4865" operator="containsText" text="정규교과">
      <formula>NOT(ISERROR(SEARCH(("정규교과"),(M201))))</formula>
    </cfRule>
    <cfRule type="containsText" dxfId="123" priority="4866" operator="containsText" text="기타">
      <formula>NOT(ISERROR(SEARCH(("기타"),(M201))))</formula>
    </cfRule>
    <cfRule type="containsText" dxfId="122" priority="4867" operator="containsText" text="프로젝트">
      <formula>NOT(ISERROR(SEARCH(("프로젝트"),(M201))))</formula>
    </cfRule>
    <cfRule type="containsText" dxfId="121" priority="4868" operator="containsText" text="정규교과">
      <formula>NOT(ISERROR(SEARCH(("정규교과"),(M201))))</formula>
    </cfRule>
    <cfRule type="containsText" dxfId="120" priority="4869" operator="containsText" text="기타">
      <formula>NOT(ISERROR(SEARCH(("기타"),(M201))))</formula>
    </cfRule>
  </conditionalFormatting>
  <conditionalFormatting sqref="M205">
    <cfRule type="containsText" dxfId="119" priority="4861" operator="containsText" text="프로젝트">
      <formula>NOT(ISERROR(SEARCH(("프로젝트"),(M205))))</formula>
    </cfRule>
    <cfRule type="containsText" dxfId="118" priority="4862" operator="containsText" text="정규교과">
      <formula>NOT(ISERROR(SEARCH(("정규교과"),(M205))))</formula>
    </cfRule>
    <cfRule type="containsText" dxfId="117" priority="4863" operator="containsText" text="기타">
      <formula>NOT(ISERROR(SEARCH(("기타"),(M205))))</formula>
    </cfRule>
    <cfRule type="containsText" dxfId="116" priority="4859" operator="containsText" text="정규교과">
      <formula>NOT(ISERROR(SEARCH(("정규교과"),(M205))))</formula>
    </cfRule>
    <cfRule type="containsText" dxfId="115" priority="4852" operator="containsText" text="프로젝트">
      <formula>NOT(ISERROR(SEARCH(("프로젝트"),(M205))))</formula>
    </cfRule>
    <cfRule type="containsText" dxfId="114" priority="4853" operator="containsText" text="정규교과">
      <formula>NOT(ISERROR(SEARCH(("정규교과"),(M205))))</formula>
    </cfRule>
    <cfRule type="containsText" dxfId="113" priority="4854" operator="containsText" text="기타">
      <formula>NOT(ISERROR(SEARCH(("기타"),(M205))))</formula>
    </cfRule>
    <cfRule type="containsText" dxfId="112" priority="4855" operator="containsText" text="프로젝트">
      <formula>NOT(ISERROR(SEARCH(("프로젝트"),(M205))))</formula>
    </cfRule>
    <cfRule type="containsText" dxfId="111" priority="4856" operator="containsText" text="정규교과">
      <formula>NOT(ISERROR(SEARCH(("정규교과"),(M205))))</formula>
    </cfRule>
    <cfRule type="containsText" dxfId="110" priority="4857" operator="containsText" text="기타">
      <formula>NOT(ISERROR(SEARCH(("기타"),(M205))))</formula>
    </cfRule>
    <cfRule type="containsText" dxfId="109" priority="4858" operator="containsText" text="프로젝트">
      <formula>NOT(ISERROR(SEARCH(("프로젝트"),(M205))))</formula>
    </cfRule>
    <cfRule type="containsText" dxfId="108" priority="4860" operator="containsText" text="기타">
      <formula>NOT(ISERROR(SEARCH(("기타"),(M205))))</formula>
    </cfRule>
  </conditionalFormatting>
  <conditionalFormatting sqref="M209">
    <cfRule type="containsText" dxfId="107" priority="4846" operator="containsText" text="프로젝트">
      <formula>NOT(ISERROR(SEARCH(("프로젝트"),(M209))))</formula>
    </cfRule>
    <cfRule type="containsText" dxfId="106" priority="4850" operator="containsText" text="정규교과">
      <formula>NOT(ISERROR(SEARCH(("정규교과"),(M209))))</formula>
    </cfRule>
    <cfRule type="containsText" dxfId="105" priority="4845" operator="containsText" text="기타">
      <formula>NOT(ISERROR(SEARCH(("기타"),(M209))))</formula>
    </cfRule>
    <cfRule type="containsText" dxfId="104" priority="4847" operator="containsText" text="정규교과">
      <formula>NOT(ISERROR(SEARCH(("정규교과"),(M209))))</formula>
    </cfRule>
    <cfRule type="containsText" dxfId="103" priority="4849" operator="containsText" text="프로젝트">
      <formula>NOT(ISERROR(SEARCH(("프로젝트"),(M209))))</formula>
    </cfRule>
    <cfRule type="containsText" dxfId="102" priority="4841" operator="containsText" text="정규교과">
      <formula>NOT(ISERROR(SEARCH(("정규교과"),(M209))))</formula>
    </cfRule>
    <cfRule type="containsText" dxfId="101" priority="4840" operator="containsText" text="프로젝트">
      <formula>NOT(ISERROR(SEARCH(("프로젝트"),(M209))))</formula>
    </cfRule>
    <cfRule type="containsText" dxfId="100" priority="4843" operator="containsText" text="프로젝트">
      <formula>NOT(ISERROR(SEARCH(("프로젝트"),(M209))))</formula>
    </cfRule>
    <cfRule type="containsText" dxfId="99" priority="4844" operator="containsText" text="정규교과">
      <formula>NOT(ISERROR(SEARCH(("정규교과"),(M209))))</formula>
    </cfRule>
    <cfRule type="containsText" dxfId="98" priority="4851" operator="containsText" text="기타">
      <formula>NOT(ISERROR(SEARCH(("기타"),(M209))))</formula>
    </cfRule>
    <cfRule type="containsText" dxfId="97" priority="4848" operator="containsText" text="기타">
      <formula>NOT(ISERROR(SEARCH(("기타"),(M209))))</formula>
    </cfRule>
    <cfRule type="containsText" dxfId="96" priority="4842" operator="containsText" text="기타">
      <formula>NOT(ISERROR(SEARCH(("기타"),(M209))))</formula>
    </cfRule>
  </conditionalFormatting>
  <conditionalFormatting sqref="M215">
    <cfRule type="containsText" dxfId="95" priority="4133" operator="containsText" text="정규교과">
      <formula>NOT(ISERROR(SEARCH(("정규교과"),(M215))))</formula>
    </cfRule>
    <cfRule type="containsText" dxfId="94" priority="4134" operator="containsText" text="기타">
      <formula>NOT(ISERROR(SEARCH(("기타"),(M215))))</formula>
    </cfRule>
    <cfRule type="containsText" dxfId="93" priority="4135" operator="containsText" text="프로젝트">
      <formula>NOT(ISERROR(SEARCH(("프로젝트"),(M215))))</formula>
    </cfRule>
    <cfRule type="containsText" dxfId="92" priority="4132" operator="containsText" text="프로젝트">
      <formula>NOT(ISERROR(SEARCH(("프로젝트"),(M215))))</formula>
    </cfRule>
    <cfRule type="containsText" dxfId="91" priority="4136" operator="containsText" text="정규교과">
      <formula>NOT(ISERROR(SEARCH(("정규교과"),(M215))))</formula>
    </cfRule>
    <cfRule type="containsText" dxfId="90" priority="4143" operator="containsText" text="기타">
      <formula>NOT(ISERROR(SEARCH(("기타"),(M215))))</formula>
    </cfRule>
    <cfRule type="containsText" dxfId="89" priority="4137" operator="containsText" text="기타">
      <formula>NOT(ISERROR(SEARCH(("기타"),(M215))))</formula>
    </cfRule>
    <cfRule type="containsText" dxfId="88" priority="4142" operator="containsText" text="정규교과">
      <formula>NOT(ISERROR(SEARCH(("정규교과"),(M215))))</formula>
    </cfRule>
    <cfRule type="containsText" dxfId="87" priority="4141" operator="containsText" text="프로젝트">
      <formula>NOT(ISERROR(SEARCH(("프로젝트"),(M215))))</formula>
    </cfRule>
    <cfRule type="containsText" dxfId="86" priority="4140" operator="containsText" text="기타">
      <formula>NOT(ISERROR(SEARCH(("기타"),(M215))))</formula>
    </cfRule>
    <cfRule type="containsText" dxfId="85" priority="4139" operator="containsText" text="정규교과">
      <formula>NOT(ISERROR(SEARCH(("정규교과"),(M215))))</formula>
    </cfRule>
    <cfRule type="containsText" dxfId="84" priority="4138" operator="containsText" text="프로젝트">
      <formula>NOT(ISERROR(SEARCH(("프로젝트"),(M215))))</formula>
    </cfRule>
  </conditionalFormatting>
  <conditionalFormatting sqref="M219">
    <cfRule type="containsText" dxfId="83" priority="4108" operator="containsText" text="프로젝트">
      <formula>NOT(ISERROR(SEARCH(("프로젝트"),(M219))))</formula>
    </cfRule>
    <cfRule type="containsText" dxfId="82" priority="4107" operator="containsText" text="기타">
      <formula>NOT(ISERROR(SEARCH(("기타"),(M219))))</formula>
    </cfRule>
    <cfRule type="containsText" dxfId="81" priority="4106" operator="containsText" text="정규교과">
      <formula>NOT(ISERROR(SEARCH(("정규교과"),(M219))))</formula>
    </cfRule>
    <cfRule type="containsText" dxfId="80" priority="4102" operator="containsText" text="프로젝트">
      <formula>NOT(ISERROR(SEARCH(("프로젝트"),(M219))))</formula>
    </cfRule>
    <cfRule type="containsText" dxfId="79" priority="4109" operator="containsText" text="정규교과">
      <formula>NOT(ISERROR(SEARCH(("정규교과"),(M219))))</formula>
    </cfRule>
    <cfRule type="containsText" dxfId="78" priority="4110" operator="containsText" text="기타">
      <formula>NOT(ISERROR(SEARCH(("기타"),(M219))))</formula>
    </cfRule>
    <cfRule type="containsText" dxfId="77" priority="4103" operator="containsText" text="정규교과">
      <formula>NOT(ISERROR(SEARCH(("정규교과"),(M219))))</formula>
    </cfRule>
    <cfRule type="containsText" dxfId="76" priority="4100" operator="containsText" text="정규교과">
      <formula>NOT(ISERROR(SEARCH(("정규교과"),(M219))))</formula>
    </cfRule>
    <cfRule type="containsText" dxfId="75" priority="4099" operator="containsText" text="프로젝트">
      <formula>NOT(ISERROR(SEARCH(("프로젝트"),(M219))))</formula>
    </cfRule>
    <cfRule type="containsText" dxfId="74" priority="4105" operator="containsText" text="프로젝트">
      <formula>NOT(ISERROR(SEARCH(("프로젝트"),(M219))))</formula>
    </cfRule>
    <cfRule type="containsText" dxfId="73" priority="4104" operator="containsText" text="기타">
      <formula>NOT(ISERROR(SEARCH(("기타"),(M219))))</formula>
    </cfRule>
    <cfRule type="containsText" dxfId="72" priority="4101" operator="containsText" text="기타">
      <formula>NOT(ISERROR(SEARCH(("기타"),(M219))))</formula>
    </cfRule>
  </conditionalFormatting>
  <conditionalFormatting sqref="M223">
    <cfRule type="containsText" dxfId="71" priority="4068" operator="containsText" text="기타">
      <formula>NOT(ISERROR(SEARCH(("기타"),(M223))))</formula>
    </cfRule>
    <cfRule type="containsText" dxfId="70" priority="4075" operator="containsText" text="프로젝트">
      <formula>NOT(ISERROR(SEARCH(("프로젝트"),(M223))))</formula>
    </cfRule>
    <cfRule type="containsText" dxfId="69" priority="4076" operator="containsText" text="정규교과">
      <formula>NOT(ISERROR(SEARCH(("정규교과"),(M223))))</formula>
    </cfRule>
    <cfRule type="containsText" dxfId="68" priority="4077" operator="containsText" text="기타">
      <formula>NOT(ISERROR(SEARCH(("기타"),(M223))))</formula>
    </cfRule>
    <cfRule type="containsText" dxfId="67" priority="4067" operator="containsText" text="정규교과">
      <formula>NOT(ISERROR(SEARCH(("정규교과"),(M223))))</formula>
    </cfRule>
    <cfRule type="containsText" dxfId="66" priority="4069" operator="containsText" text="프로젝트">
      <formula>NOT(ISERROR(SEARCH(("프로젝트"),(M223))))</formula>
    </cfRule>
    <cfRule type="containsText" dxfId="65" priority="4066" operator="containsText" text="프로젝트">
      <formula>NOT(ISERROR(SEARCH(("프로젝트"),(M223))))</formula>
    </cfRule>
    <cfRule type="containsText" dxfId="64" priority="4070" operator="containsText" text="정규교과">
      <formula>NOT(ISERROR(SEARCH(("정규교과"),(M223))))</formula>
    </cfRule>
    <cfRule type="containsText" dxfId="63" priority="4071" operator="containsText" text="기타">
      <formula>NOT(ISERROR(SEARCH(("기타"),(M223))))</formula>
    </cfRule>
    <cfRule type="containsText" dxfId="62" priority="4072" operator="containsText" text="프로젝트">
      <formula>NOT(ISERROR(SEARCH(("프로젝트"),(M223))))</formula>
    </cfRule>
    <cfRule type="containsText" dxfId="61" priority="4073" operator="containsText" text="정규교과">
      <formula>NOT(ISERROR(SEARCH(("정규교과"),(M223))))</formula>
    </cfRule>
    <cfRule type="containsText" dxfId="60" priority="4074" operator="containsText" text="기타">
      <formula>NOT(ISERROR(SEARCH(("기타"),(M223))))</formula>
    </cfRule>
  </conditionalFormatting>
  <conditionalFormatting sqref="M228">
    <cfRule type="containsText" dxfId="59" priority="4053" operator="containsText" text="기타">
      <formula>NOT(ISERROR(SEARCH(("기타"),(M228))))</formula>
    </cfRule>
    <cfRule type="containsText" dxfId="58" priority="4050" operator="containsText" text="기타">
      <formula>NOT(ISERROR(SEARCH(("기타"),(M228))))</formula>
    </cfRule>
    <cfRule type="containsText" dxfId="57" priority="4049" operator="containsText" text="정규교과">
      <formula>NOT(ISERROR(SEARCH(("정규교과"),(M228))))</formula>
    </cfRule>
    <cfRule type="containsText" dxfId="56" priority="4048" operator="containsText" text="프로젝트">
      <formula>NOT(ISERROR(SEARCH(("프로젝트"),(M228))))</formula>
    </cfRule>
    <cfRule type="containsText" dxfId="55" priority="4047" operator="containsText" text="기타">
      <formula>NOT(ISERROR(SEARCH(("기타"),(M228))))</formula>
    </cfRule>
    <cfRule type="containsText" dxfId="54" priority="4045" operator="containsText" text="프로젝트">
      <formula>NOT(ISERROR(SEARCH(("프로젝트"),(M228))))</formula>
    </cfRule>
    <cfRule type="containsText" dxfId="53" priority="4052" operator="containsText" text="정규교과">
      <formula>NOT(ISERROR(SEARCH(("정규교과"),(M228))))</formula>
    </cfRule>
    <cfRule type="containsText" dxfId="52" priority="4051" operator="containsText" text="프로젝트">
      <formula>NOT(ISERROR(SEARCH(("프로젝트"),(M228))))</formula>
    </cfRule>
    <cfRule type="containsText" dxfId="51" priority="4044" operator="containsText" text="기타">
      <formula>NOT(ISERROR(SEARCH(("기타"),(M228))))</formula>
    </cfRule>
    <cfRule type="containsText" dxfId="50" priority="4043" operator="containsText" text="정규교과">
      <formula>NOT(ISERROR(SEARCH(("정규교과"),(M228))))</formula>
    </cfRule>
    <cfRule type="containsText" dxfId="49" priority="4042" operator="containsText" text="프로젝트">
      <formula>NOT(ISERROR(SEARCH(("프로젝트"),(M228))))</formula>
    </cfRule>
    <cfRule type="containsText" dxfId="48" priority="4046" operator="containsText" text="정규교과">
      <formula>NOT(ISERROR(SEARCH(("정규교과"),(M228))))</formula>
    </cfRule>
  </conditionalFormatting>
  <conditionalFormatting sqref="M232">
    <cfRule type="containsText" dxfId="47" priority="4010" operator="containsText" text="정규교과">
      <formula>NOT(ISERROR(SEARCH(("정규교과"),(M232))))</formula>
    </cfRule>
    <cfRule type="containsText" dxfId="46" priority="4009" operator="containsText" text="프로젝트">
      <formula>NOT(ISERROR(SEARCH(("프로젝트"),(M232))))</formula>
    </cfRule>
    <cfRule type="containsText" dxfId="45" priority="4019" operator="containsText" text="정규교과">
      <formula>NOT(ISERROR(SEARCH(("정규교과"),(M232))))</formula>
    </cfRule>
    <cfRule type="containsText" dxfId="44" priority="4020" operator="containsText" text="기타">
      <formula>NOT(ISERROR(SEARCH(("기타"),(M232))))</formula>
    </cfRule>
    <cfRule type="containsText" dxfId="43" priority="4012" operator="containsText" text="프로젝트">
      <formula>NOT(ISERROR(SEARCH(("프로젝트"),(M232))))</formula>
    </cfRule>
    <cfRule type="containsText" dxfId="42" priority="4013" operator="containsText" text="정규교과">
      <formula>NOT(ISERROR(SEARCH(("정규교과"),(M232))))</formula>
    </cfRule>
    <cfRule type="containsText" dxfId="41" priority="4011" operator="containsText" text="기타">
      <formula>NOT(ISERROR(SEARCH(("기타"),(M232))))</formula>
    </cfRule>
    <cfRule type="containsText" dxfId="40" priority="4015" operator="containsText" text="프로젝트">
      <formula>NOT(ISERROR(SEARCH(("프로젝트"),(M232))))</formula>
    </cfRule>
    <cfRule type="containsText" dxfId="39" priority="4014" operator="containsText" text="기타">
      <formula>NOT(ISERROR(SEARCH(("기타"),(M232))))</formula>
    </cfRule>
    <cfRule type="containsText" dxfId="38" priority="4016" operator="containsText" text="정규교과">
      <formula>NOT(ISERROR(SEARCH(("정규교과"),(M232))))</formula>
    </cfRule>
    <cfRule type="containsText" dxfId="37" priority="4017" operator="containsText" text="기타">
      <formula>NOT(ISERROR(SEARCH(("기타"),(M232))))</formula>
    </cfRule>
    <cfRule type="containsText" dxfId="36" priority="4018" operator="containsText" text="프로젝트">
      <formula>NOT(ISERROR(SEARCH(("프로젝트"),(M232))))</formula>
    </cfRule>
  </conditionalFormatting>
  <conditionalFormatting sqref="M236">
    <cfRule type="containsText" dxfId="35" priority="3983" operator="containsText" text="정규교과">
      <formula>NOT(ISERROR(SEARCH(("정규교과"),(M236))))</formula>
    </cfRule>
    <cfRule type="containsText" dxfId="34" priority="3984" operator="containsText" text="기타">
      <formula>NOT(ISERROR(SEARCH(("기타"),(M236))))</formula>
    </cfRule>
    <cfRule type="containsText" dxfId="33" priority="3985" operator="containsText" text="프로젝트">
      <formula>NOT(ISERROR(SEARCH(("프로젝트"),(M236))))</formula>
    </cfRule>
    <cfRule type="containsText" dxfId="32" priority="3986" operator="containsText" text="정규교과">
      <formula>NOT(ISERROR(SEARCH(("정규교과"),(M236))))</formula>
    </cfRule>
    <cfRule type="containsText" dxfId="31" priority="3976" operator="containsText" text="프로젝트">
      <formula>NOT(ISERROR(SEARCH(("프로젝트"),(M236))))</formula>
    </cfRule>
    <cfRule type="containsText" dxfId="30" priority="3977" operator="containsText" text="정규교과">
      <formula>NOT(ISERROR(SEARCH(("정규교과"),(M236))))</formula>
    </cfRule>
    <cfRule type="containsText" dxfId="29" priority="3978" operator="containsText" text="기타">
      <formula>NOT(ISERROR(SEARCH(("기타"),(M236))))</formula>
    </cfRule>
    <cfRule type="containsText" dxfId="28" priority="3979" operator="containsText" text="프로젝트">
      <formula>NOT(ISERROR(SEARCH(("프로젝트"),(M236))))</formula>
    </cfRule>
    <cfRule type="containsText" dxfId="27" priority="3980" operator="containsText" text="정규교과">
      <formula>NOT(ISERROR(SEARCH(("정규교과"),(M236))))</formula>
    </cfRule>
    <cfRule type="containsText" dxfId="26" priority="3987" operator="containsText" text="기타">
      <formula>NOT(ISERROR(SEARCH(("기타"),(M236))))</formula>
    </cfRule>
    <cfRule type="containsText" dxfId="25" priority="3982" operator="containsText" text="프로젝트">
      <formula>NOT(ISERROR(SEARCH(("프로젝트"),(M236))))</formula>
    </cfRule>
    <cfRule type="containsText" dxfId="24" priority="3981" operator="containsText" text="기타">
      <formula>NOT(ISERROR(SEARCH(("기타"),(M236))))</formula>
    </cfRule>
  </conditionalFormatting>
  <conditionalFormatting sqref="M240">
    <cfRule type="containsText" dxfId="23" priority="3954" operator="containsText" text="기타">
      <formula>NOT(ISERROR(SEARCH(("기타"),(M240))))</formula>
    </cfRule>
    <cfRule type="containsText" dxfId="22" priority="3951" operator="containsText" text="기타">
      <formula>NOT(ISERROR(SEARCH(("기타"),(M240))))</formula>
    </cfRule>
    <cfRule type="containsText" dxfId="21" priority="3953" operator="containsText" text="정규교과">
      <formula>NOT(ISERROR(SEARCH(("정규교과"),(M240))))</formula>
    </cfRule>
    <cfRule type="containsText" dxfId="20" priority="3950" operator="containsText" text="정규교과">
      <formula>NOT(ISERROR(SEARCH(("정규교과"),(M240))))</formula>
    </cfRule>
    <cfRule type="containsText" dxfId="19" priority="3949" operator="containsText" text="프로젝트">
      <formula>NOT(ISERROR(SEARCH(("프로젝트"),(M240))))</formula>
    </cfRule>
    <cfRule type="containsText" dxfId="18" priority="3948" operator="containsText" text="기타">
      <formula>NOT(ISERROR(SEARCH(("기타"),(M240))))</formula>
    </cfRule>
    <cfRule type="containsText" dxfId="17" priority="3943" operator="containsText" text="프로젝트">
      <formula>NOT(ISERROR(SEARCH(("프로젝트"),(M240))))</formula>
    </cfRule>
    <cfRule type="containsText" dxfId="16" priority="3947" operator="containsText" text="정규교과">
      <formula>NOT(ISERROR(SEARCH(("정규교과"),(M240))))</formula>
    </cfRule>
    <cfRule type="containsText" dxfId="15" priority="3945" operator="containsText" text="기타">
      <formula>NOT(ISERROR(SEARCH(("기타"),(M240))))</formula>
    </cfRule>
    <cfRule type="containsText" dxfId="14" priority="3952" operator="containsText" text="프로젝트">
      <formula>NOT(ISERROR(SEARCH(("프로젝트"),(M240))))</formula>
    </cfRule>
    <cfRule type="containsText" dxfId="13" priority="3944" operator="containsText" text="정규교과">
      <formula>NOT(ISERROR(SEARCH(("정규교과"),(M240))))</formula>
    </cfRule>
    <cfRule type="containsText" dxfId="12" priority="3946" operator="containsText" text="프로젝트">
      <formula>NOT(ISERROR(SEARCH(("프로젝트"),(M240))))</formula>
    </cfRule>
  </conditionalFormatting>
  <conditionalFormatting sqref="M244">
    <cfRule type="containsText" dxfId="11" priority="3910" operator="containsText" text="프로젝트">
      <formula>NOT(ISERROR(SEARCH(("프로젝트"),(M244))))</formula>
    </cfRule>
    <cfRule type="containsText" dxfId="10" priority="3921" operator="containsText" text="기타">
      <formula>NOT(ISERROR(SEARCH(("기타"),(M244))))</formula>
    </cfRule>
    <cfRule type="containsText" dxfId="9" priority="3920" operator="containsText" text="정규교과">
      <formula>NOT(ISERROR(SEARCH(("정규교과"),(M244))))</formula>
    </cfRule>
    <cfRule type="containsText" dxfId="8" priority="3919" operator="containsText" text="프로젝트">
      <formula>NOT(ISERROR(SEARCH(("프로젝트"),(M244))))</formula>
    </cfRule>
    <cfRule type="containsText" dxfId="7" priority="3918" operator="containsText" text="기타">
      <formula>NOT(ISERROR(SEARCH(("기타"),(M244))))</formula>
    </cfRule>
    <cfRule type="containsText" dxfId="6" priority="3917" operator="containsText" text="정규교과">
      <formula>NOT(ISERROR(SEARCH(("정규교과"),(M244))))</formula>
    </cfRule>
    <cfRule type="containsText" dxfId="5" priority="3916" operator="containsText" text="프로젝트">
      <formula>NOT(ISERROR(SEARCH(("프로젝트"),(M244))))</formula>
    </cfRule>
    <cfRule type="containsText" dxfId="4" priority="3914" operator="containsText" text="정규교과">
      <formula>NOT(ISERROR(SEARCH(("정규교과"),(M244))))</formula>
    </cfRule>
    <cfRule type="containsText" dxfId="3" priority="3913" operator="containsText" text="프로젝트">
      <formula>NOT(ISERROR(SEARCH(("프로젝트"),(M244))))</formula>
    </cfRule>
    <cfRule type="containsText" dxfId="2" priority="3915" operator="containsText" text="기타">
      <formula>NOT(ISERROR(SEARCH(("기타"),(M244))))</formula>
    </cfRule>
    <cfRule type="containsText" dxfId="1" priority="3912" operator="containsText" text="기타">
      <formula>NOT(ISERROR(SEARCH(("기타"),(M244))))</formula>
    </cfRule>
    <cfRule type="containsText" dxfId="0" priority="3911" operator="containsText" text="정규교과">
      <formula>NOT(ISERROR(SEARCH(("정규교과"),(M244))))</formula>
    </cfRule>
  </conditionalFormatting>
  <dataValidations count="3">
    <dataValidation type="list" allowBlank="1" showErrorMessage="1" sqref="O2" xr:uid="{00000000-0002-0000-0100-000000000000}">
      <formula1>"백엔드,AI기획,AI개발,인프라보안,프론트엔드,iOS,AI휴먼,AI퀀트"</formula1>
    </dataValidation>
    <dataValidation type="list" allowBlank="1" showErrorMessage="1" sqref="D262:M262 D192:M192 D17:M17 D52:M52 D87:M87 D157:M157 D122:M122 D297:M297 D227:M227 D332:M332 D367:K367" xr:uid="{00000000-0002-0000-0100-000001000000}">
      <formula1>#REF!</formula1>
    </dataValidation>
    <dataValidation type="list" allowBlank="1" showErrorMessage="1" sqref="D170:M170 D201:M201 D263:M263 D26:M26 D48:M48 D293:M293 D149:M149 D153:M153 D158:M158 D139:M139 D166:M166 D127:M127 D145:M145 D205:M205 D193:M193 D197:M197 D184:M184 D180:M180 D174:M174 D135:M135 D92:M92 D223:M223 D275:M275 D306:M306 D302:M302 D337:M337 D285:M285 D289:M289 D279:M279 D298:M298 D188:M188 D18:M18 D22:M22 D355:K355 D30:M30 D61:M61 D57:M57 D40:M40 D65:M65 D69:M69 D34:M34 D44:M44 D100:M100 D96:M96 D75:M75 D79:M79 D83:M83 D53:M53 D88:M88 D123:M123 D131:M131 D162:M162 D114:M114 D118:M118 D104:M104 D110:M110 D240:M240 D232:M232 D219:M219 D215:M215 D236:M236 D209:M209 D228:M228 D271:M271 D250:M250 D254:M254 D258:M258 D244:M244 D267:M267 D324:M324 D341:M341 D310:M310 D314:M314 D320:M320 D328:M328 D376:K376 D333:M333 D349:M349 D380:K380 D359:K359 D368:K368 D363:K363 D345:M345 D372:K372 D5:M5 D13:M13 D9:M9 D384:K384" xr:uid="{00000000-0002-0000-0100-000002000000}">
      <formula1>$O$5:$O$23</formula1>
    </dataValidation>
  </dataValidations>
  <pageMargins left="0.7" right="0.7" top="0.75" bottom="0.75" header="0" footer="0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992"/>
  <sheetViews>
    <sheetView showGridLines="0"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/>
  <cols>
    <col min="1" max="1" width="10.7109375" customWidth="1"/>
    <col min="2" max="2" width="17.42578125" customWidth="1"/>
    <col min="3" max="4" width="10.7109375" customWidth="1"/>
    <col min="5" max="8" width="24.7109375" customWidth="1"/>
    <col min="9" max="9" width="5.5703125" customWidth="1"/>
    <col min="10" max="10" width="7.28515625" customWidth="1"/>
    <col min="11" max="16" width="19.7109375" customWidth="1"/>
  </cols>
  <sheetData>
    <row r="1" spans="1:17" ht="31.5">
      <c r="A1" s="168" t="e" vm="1">
        <v>#VALUE!</v>
      </c>
      <c r="B1" s="161"/>
      <c r="C1" s="161"/>
      <c r="D1" s="161"/>
      <c r="E1" s="161"/>
      <c r="F1" s="161"/>
      <c r="G1" s="161"/>
      <c r="H1" s="161"/>
      <c r="I1" s="9"/>
      <c r="J1" s="169" t="s">
        <v>127</v>
      </c>
      <c r="K1" s="163"/>
      <c r="L1" s="163"/>
      <c r="M1" s="163"/>
      <c r="N1" s="163"/>
      <c r="O1" s="163"/>
      <c r="P1" s="163"/>
      <c r="Q1" s="163"/>
    </row>
    <row r="2" spans="1:17">
      <c r="A2" s="9"/>
      <c r="B2" s="9"/>
      <c r="C2" s="9"/>
      <c r="D2" s="9"/>
      <c r="E2" s="9"/>
      <c r="F2" s="9"/>
      <c r="G2" s="9"/>
      <c r="H2" s="9"/>
      <c r="K2" s="9"/>
      <c r="L2" s="9"/>
      <c r="M2" s="9"/>
      <c r="N2" s="9"/>
      <c r="O2" s="9"/>
      <c r="P2" s="9"/>
    </row>
    <row r="3" spans="1:17" ht="28.5" customHeight="1">
      <c r="A3" s="43" t="s">
        <v>3</v>
      </c>
      <c r="B3" s="44" t="s">
        <v>126</v>
      </c>
      <c r="C3" s="43" t="s">
        <v>128</v>
      </c>
      <c r="D3" s="44" t="s">
        <v>129</v>
      </c>
      <c r="E3" s="44" t="s">
        <v>130</v>
      </c>
      <c r="F3" s="43" t="s">
        <v>131</v>
      </c>
      <c r="G3" s="43" t="s">
        <v>132</v>
      </c>
      <c r="H3" s="43" t="s">
        <v>19</v>
      </c>
      <c r="I3" s="9"/>
      <c r="J3" s="45" t="s">
        <v>125</v>
      </c>
      <c r="K3" s="45" t="s">
        <v>100</v>
      </c>
      <c r="L3" s="45" t="s">
        <v>131</v>
      </c>
      <c r="M3" s="45" t="s">
        <v>132</v>
      </c>
      <c r="N3" s="45" t="s">
        <v>121</v>
      </c>
      <c r="O3" s="45" t="s">
        <v>133</v>
      </c>
      <c r="P3" s="45" t="s">
        <v>134</v>
      </c>
      <c r="Q3" s="45" t="s">
        <v>19</v>
      </c>
    </row>
    <row r="4" spans="1:17" ht="16.5" customHeight="1">
      <c r="A4" s="46" t="s">
        <v>135</v>
      </c>
      <c r="B4" s="47">
        <v>45658</v>
      </c>
      <c r="C4" s="46" t="str">
        <f t="shared" ref="C4:C40" si="0">CHOOSE(WEEKDAY(B4,2),"월","화","수","목","금")</f>
        <v>수</v>
      </c>
      <c r="D4" s="46">
        <v>8</v>
      </c>
      <c r="E4" s="46" t="s">
        <v>123</v>
      </c>
      <c r="F4" s="46" t="s">
        <v>136</v>
      </c>
      <c r="G4" s="46" t="s">
        <v>137</v>
      </c>
      <c r="H4" s="46" t="s">
        <v>138</v>
      </c>
      <c r="I4" s="9"/>
      <c r="J4" s="48" t="s">
        <v>122</v>
      </c>
      <c r="K4" s="49" t="s">
        <v>123</v>
      </c>
      <c r="L4" s="49" t="s">
        <v>105</v>
      </c>
      <c r="M4" s="49" t="s">
        <v>139</v>
      </c>
      <c r="N4" s="49" t="s">
        <v>140</v>
      </c>
      <c r="O4" s="50" t="s">
        <v>141</v>
      </c>
      <c r="P4" s="51">
        <v>130000</v>
      </c>
      <c r="Q4" s="51" t="s">
        <v>124</v>
      </c>
    </row>
    <row r="5" spans="1:17" ht="16.5" customHeight="1">
      <c r="A5" s="52" t="str">
        <f>'1. 과정정보'!$I$2</f>
        <v>5회차</v>
      </c>
      <c r="B5" s="53" t="e" vm="1">
        <v>#VALUE!</v>
      </c>
      <c r="C5" s="52" t="e" vm="2">
        <f t="shared" si="0"/>
        <v>#VALUE!</v>
      </c>
      <c r="D5" s="54"/>
      <c r="E5" s="54" t="s">
        <v>123</v>
      </c>
      <c r="F5" s="54" t="str">
        <f t="shared" ref="F5:F59" si="1">VLOOKUP(E5,$K$4:$Q$8,2,TRUE)</f>
        <v>주강사</v>
      </c>
      <c r="G5" s="54" t="str">
        <f t="shared" ref="G5:G59" si="2">VLOOKUP(E5,$K$4:$Q$8,3,TRUE)</f>
        <v>프리랜서</v>
      </c>
      <c r="H5" s="57" t="str">
        <f t="shared" ref="H5:H59" si="3">VLOOKUP(E5,$K$4:$Q$8,7,TRUE)</f>
        <v>취업특강</v>
      </c>
      <c r="J5" s="55">
        <v>1</v>
      </c>
      <c r="K5" s="49"/>
      <c r="L5" s="49"/>
      <c r="M5" s="49"/>
      <c r="N5" s="49"/>
      <c r="O5" s="49"/>
      <c r="P5" s="49"/>
      <c r="Q5" s="49"/>
    </row>
    <row r="6" spans="1:17" ht="16.5" customHeight="1">
      <c r="A6" s="52" t="str">
        <f>'1. 과정정보'!$I$2</f>
        <v>5회차</v>
      </c>
      <c r="B6" s="56"/>
      <c r="C6" s="52" t="e">
        <f t="shared" si="0"/>
        <v>#VALUE!</v>
      </c>
      <c r="D6" s="54"/>
      <c r="E6" s="54"/>
      <c r="F6" s="54" t="e">
        <f t="shared" si="1"/>
        <v>#N/A</v>
      </c>
      <c r="G6" s="54" t="e">
        <f t="shared" si="2"/>
        <v>#N/A</v>
      </c>
      <c r="H6" s="54" t="e">
        <f t="shared" si="3"/>
        <v>#N/A</v>
      </c>
      <c r="J6" s="55">
        <v>2</v>
      </c>
      <c r="K6" s="49"/>
      <c r="L6" s="49"/>
      <c r="M6" s="49"/>
      <c r="N6" s="49"/>
      <c r="O6" s="49"/>
      <c r="P6" s="49"/>
      <c r="Q6" s="49"/>
    </row>
    <row r="7" spans="1:17" ht="16.5" customHeight="1">
      <c r="A7" s="52" t="str">
        <f>'1. 과정정보'!$I$2</f>
        <v>5회차</v>
      </c>
      <c r="B7" s="56"/>
      <c r="C7" s="52" t="e">
        <f t="shared" si="0"/>
        <v>#VALUE!</v>
      </c>
      <c r="D7" s="54"/>
      <c r="E7" s="54"/>
      <c r="F7" s="54" t="e">
        <f t="shared" si="1"/>
        <v>#N/A</v>
      </c>
      <c r="G7" s="54" t="e">
        <f t="shared" si="2"/>
        <v>#N/A</v>
      </c>
      <c r="H7" s="54" t="e">
        <f t="shared" si="3"/>
        <v>#N/A</v>
      </c>
      <c r="J7" s="55">
        <v>3</v>
      </c>
      <c r="K7" s="49"/>
      <c r="L7" s="49"/>
      <c r="M7" s="49"/>
      <c r="N7" s="49"/>
      <c r="O7" s="49"/>
      <c r="P7" s="49"/>
      <c r="Q7" s="49"/>
    </row>
    <row r="8" spans="1:17" ht="16.5" customHeight="1">
      <c r="A8" s="52" t="str">
        <f>'1. 과정정보'!$I$2</f>
        <v>5회차</v>
      </c>
      <c r="B8" s="56"/>
      <c r="C8" s="52" t="e">
        <f t="shared" si="0"/>
        <v>#VALUE!</v>
      </c>
      <c r="D8" s="54"/>
      <c r="E8" s="54"/>
      <c r="F8" s="54" t="e">
        <f t="shared" si="1"/>
        <v>#N/A</v>
      </c>
      <c r="G8" s="54" t="e">
        <f t="shared" si="2"/>
        <v>#N/A</v>
      </c>
      <c r="H8" s="54" t="e">
        <f t="shared" si="3"/>
        <v>#N/A</v>
      </c>
      <c r="J8" s="55">
        <v>4</v>
      </c>
      <c r="K8" s="49"/>
      <c r="L8" s="49"/>
      <c r="M8" s="49"/>
      <c r="N8" s="49"/>
      <c r="O8" s="49"/>
      <c r="P8" s="49"/>
      <c r="Q8" s="49"/>
    </row>
    <row r="9" spans="1:17" ht="16.5" customHeight="1">
      <c r="A9" s="52" t="str">
        <f>'1. 과정정보'!$I$2</f>
        <v>5회차</v>
      </c>
      <c r="B9" s="56"/>
      <c r="C9" s="52" t="e">
        <f t="shared" si="0"/>
        <v>#VALUE!</v>
      </c>
      <c r="D9" s="54"/>
      <c r="E9" s="54"/>
      <c r="F9" s="54" t="e">
        <f t="shared" si="1"/>
        <v>#N/A</v>
      </c>
      <c r="G9" s="54" t="e">
        <f t="shared" si="2"/>
        <v>#N/A</v>
      </c>
      <c r="H9" s="54" t="e">
        <f t="shared" si="3"/>
        <v>#N/A</v>
      </c>
      <c r="J9" s="55">
        <v>5</v>
      </c>
      <c r="K9" s="49"/>
      <c r="L9" s="49"/>
      <c r="M9" s="49"/>
      <c r="N9" s="49"/>
      <c r="O9" s="49"/>
      <c r="P9" s="49"/>
      <c r="Q9" s="49"/>
    </row>
    <row r="10" spans="1:17" ht="16.5" customHeight="1">
      <c r="A10" s="52" t="str">
        <f>'1. 과정정보'!$I$2</f>
        <v>5회차</v>
      </c>
      <c r="B10" s="56"/>
      <c r="C10" s="52" t="e">
        <f t="shared" si="0"/>
        <v>#VALUE!</v>
      </c>
      <c r="D10" s="54"/>
      <c r="E10" s="54"/>
      <c r="F10" s="54" t="e">
        <f t="shared" si="1"/>
        <v>#N/A</v>
      </c>
      <c r="G10" s="54" t="e">
        <f t="shared" si="2"/>
        <v>#N/A</v>
      </c>
      <c r="H10" s="54" t="e">
        <f t="shared" si="3"/>
        <v>#N/A</v>
      </c>
      <c r="J10" s="55">
        <v>6</v>
      </c>
      <c r="K10" s="49"/>
      <c r="L10" s="49"/>
      <c r="M10" s="49"/>
      <c r="N10" s="49"/>
      <c r="O10" s="49"/>
      <c r="P10" s="49"/>
      <c r="Q10" s="49"/>
    </row>
    <row r="11" spans="1:17" ht="16.5" customHeight="1">
      <c r="A11" s="52" t="str">
        <f>'1. 과정정보'!$I$2</f>
        <v>5회차</v>
      </c>
      <c r="B11" s="56"/>
      <c r="C11" s="52" t="e">
        <f t="shared" si="0"/>
        <v>#VALUE!</v>
      </c>
      <c r="D11" s="54"/>
      <c r="E11" s="54"/>
      <c r="F11" s="54" t="e">
        <f t="shared" si="1"/>
        <v>#N/A</v>
      </c>
      <c r="G11" s="54" t="e">
        <f t="shared" si="2"/>
        <v>#N/A</v>
      </c>
      <c r="H11" s="54" t="e">
        <f t="shared" si="3"/>
        <v>#N/A</v>
      </c>
      <c r="J11" s="55">
        <v>7</v>
      </c>
      <c r="K11" s="49"/>
      <c r="L11" s="49"/>
      <c r="M11" s="49"/>
      <c r="N11" s="49"/>
      <c r="O11" s="49"/>
      <c r="P11" s="49"/>
      <c r="Q11" s="49"/>
    </row>
    <row r="12" spans="1:17" ht="16.5" customHeight="1">
      <c r="A12" s="52" t="str">
        <f>'1. 과정정보'!$I$2</f>
        <v>5회차</v>
      </c>
      <c r="B12" s="56"/>
      <c r="C12" s="52" t="e">
        <f t="shared" si="0"/>
        <v>#VALUE!</v>
      </c>
      <c r="D12" s="54"/>
      <c r="E12" s="54"/>
      <c r="F12" s="54" t="e">
        <f t="shared" si="1"/>
        <v>#N/A</v>
      </c>
      <c r="G12" s="54" t="e">
        <f t="shared" si="2"/>
        <v>#N/A</v>
      </c>
      <c r="H12" s="54" t="e">
        <f t="shared" si="3"/>
        <v>#N/A</v>
      </c>
      <c r="J12" s="55">
        <v>8</v>
      </c>
      <c r="K12" s="49"/>
      <c r="L12" s="49"/>
      <c r="M12" s="49"/>
      <c r="N12" s="49"/>
      <c r="O12" s="49"/>
      <c r="P12" s="49"/>
      <c r="Q12" s="49"/>
    </row>
    <row r="13" spans="1:17" ht="16.5" customHeight="1">
      <c r="A13" s="52" t="str">
        <f>'1. 과정정보'!$I$2</f>
        <v>5회차</v>
      </c>
      <c r="B13" s="56"/>
      <c r="C13" s="52" t="e">
        <f t="shared" si="0"/>
        <v>#VALUE!</v>
      </c>
      <c r="D13" s="54"/>
      <c r="E13" s="54"/>
      <c r="F13" s="54" t="e">
        <f t="shared" si="1"/>
        <v>#N/A</v>
      </c>
      <c r="G13" s="54" t="e">
        <f t="shared" si="2"/>
        <v>#N/A</v>
      </c>
      <c r="H13" s="54" t="e">
        <f t="shared" si="3"/>
        <v>#N/A</v>
      </c>
      <c r="J13" s="55">
        <v>9</v>
      </c>
      <c r="K13" s="49"/>
      <c r="L13" s="49"/>
      <c r="M13" s="49"/>
      <c r="N13" s="49"/>
      <c r="O13" s="49"/>
      <c r="P13" s="49"/>
      <c r="Q13" s="49"/>
    </row>
    <row r="14" spans="1:17" ht="16.5" customHeight="1">
      <c r="A14" s="52" t="str">
        <f>'1. 과정정보'!$I$2</f>
        <v>5회차</v>
      </c>
      <c r="B14" s="56"/>
      <c r="C14" s="52" t="e">
        <f t="shared" si="0"/>
        <v>#VALUE!</v>
      </c>
      <c r="D14" s="54"/>
      <c r="E14" s="54"/>
      <c r="F14" s="54" t="e">
        <f t="shared" si="1"/>
        <v>#N/A</v>
      </c>
      <c r="G14" s="54" t="e">
        <f t="shared" si="2"/>
        <v>#N/A</v>
      </c>
      <c r="H14" s="54" t="e">
        <f t="shared" si="3"/>
        <v>#N/A</v>
      </c>
      <c r="J14" s="55">
        <v>10</v>
      </c>
      <c r="K14" s="49"/>
      <c r="L14" s="49"/>
      <c r="M14" s="49"/>
      <c r="N14" s="49"/>
      <c r="O14" s="49"/>
      <c r="P14" s="49"/>
      <c r="Q14" s="49"/>
    </row>
    <row r="15" spans="1:17" ht="16.5" customHeight="1">
      <c r="A15" s="52" t="str">
        <f>'1. 과정정보'!$I$2</f>
        <v>5회차</v>
      </c>
      <c r="B15" s="56"/>
      <c r="C15" s="52" t="e">
        <f t="shared" si="0"/>
        <v>#VALUE!</v>
      </c>
      <c r="D15" s="54"/>
      <c r="E15" s="54"/>
      <c r="F15" s="54" t="e">
        <f t="shared" si="1"/>
        <v>#N/A</v>
      </c>
      <c r="G15" s="54" t="e">
        <f t="shared" si="2"/>
        <v>#N/A</v>
      </c>
      <c r="H15" s="54" t="e">
        <f t="shared" si="3"/>
        <v>#N/A</v>
      </c>
    </row>
    <row r="16" spans="1:17" ht="16.5" customHeight="1">
      <c r="A16" s="52" t="str">
        <f>'1. 과정정보'!$I$2</f>
        <v>5회차</v>
      </c>
      <c r="B16" s="56"/>
      <c r="C16" s="52" t="e">
        <f t="shared" si="0"/>
        <v>#VALUE!</v>
      </c>
      <c r="D16" s="54"/>
      <c r="E16" s="54"/>
      <c r="F16" s="54" t="e">
        <f t="shared" si="1"/>
        <v>#N/A</v>
      </c>
      <c r="G16" s="54" t="e">
        <f t="shared" si="2"/>
        <v>#N/A</v>
      </c>
      <c r="H16" s="54" t="e">
        <f t="shared" si="3"/>
        <v>#N/A</v>
      </c>
    </row>
    <row r="17" spans="1:8" ht="16.5" customHeight="1">
      <c r="A17" s="52" t="str">
        <f>'1. 과정정보'!$I$2</f>
        <v>5회차</v>
      </c>
      <c r="B17" s="56"/>
      <c r="C17" s="52" t="e">
        <f t="shared" si="0"/>
        <v>#VALUE!</v>
      </c>
      <c r="D17" s="54"/>
      <c r="E17" s="54"/>
      <c r="F17" s="54" t="e">
        <f t="shared" si="1"/>
        <v>#N/A</v>
      </c>
      <c r="G17" s="54" t="e">
        <f t="shared" si="2"/>
        <v>#N/A</v>
      </c>
      <c r="H17" s="54" t="e">
        <f t="shared" si="3"/>
        <v>#N/A</v>
      </c>
    </row>
    <row r="18" spans="1:8" ht="16.5" customHeight="1">
      <c r="A18" s="52" t="str">
        <f>'1. 과정정보'!$I$2</f>
        <v>5회차</v>
      </c>
      <c r="B18" s="56"/>
      <c r="C18" s="52" t="e">
        <f t="shared" si="0"/>
        <v>#VALUE!</v>
      </c>
      <c r="D18" s="54"/>
      <c r="E18" s="54"/>
      <c r="F18" s="54" t="e">
        <f t="shared" si="1"/>
        <v>#N/A</v>
      </c>
      <c r="G18" s="54" t="e">
        <f t="shared" si="2"/>
        <v>#N/A</v>
      </c>
      <c r="H18" s="54" t="e">
        <f t="shared" si="3"/>
        <v>#N/A</v>
      </c>
    </row>
    <row r="19" spans="1:8" ht="16.5" customHeight="1">
      <c r="A19" s="52" t="str">
        <f>'1. 과정정보'!$I$2</f>
        <v>5회차</v>
      </c>
      <c r="B19" s="56"/>
      <c r="C19" s="52" t="e">
        <f t="shared" si="0"/>
        <v>#VALUE!</v>
      </c>
      <c r="D19" s="54"/>
      <c r="E19" s="54"/>
      <c r="F19" s="54" t="e">
        <f t="shared" si="1"/>
        <v>#N/A</v>
      </c>
      <c r="G19" s="54" t="e">
        <f t="shared" si="2"/>
        <v>#N/A</v>
      </c>
      <c r="H19" s="54" t="e">
        <f t="shared" si="3"/>
        <v>#N/A</v>
      </c>
    </row>
    <row r="20" spans="1:8" ht="16.5" customHeight="1">
      <c r="A20" s="52" t="str">
        <f>'1. 과정정보'!$I$2</f>
        <v>5회차</v>
      </c>
      <c r="B20" s="56"/>
      <c r="C20" s="52" t="e">
        <f t="shared" si="0"/>
        <v>#VALUE!</v>
      </c>
      <c r="D20" s="54"/>
      <c r="E20" s="54"/>
      <c r="F20" s="54" t="e">
        <f t="shared" si="1"/>
        <v>#N/A</v>
      </c>
      <c r="G20" s="54" t="e">
        <f t="shared" si="2"/>
        <v>#N/A</v>
      </c>
      <c r="H20" s="54" t="e">
        <f t="shared" si="3"/>
        <v>#N/A</v>
      </c>
    </row>
    <row r="21" spans="1:8" ht="16.5" customHeight="1">
      <c r="A21" s="52" t="str">
        <f>'1. 과정정보'!$I$2</f>
        <v>5회차</v>
      </c>
      <c r="B21" s="56"/>
      <c r="C21" s="52" t="e">
        <f t="shared" si="0"/>
        <v>#VALUE!</v>
      </c>
      <c r="D21" s="54"/>
      <c r="E21" s="54"/>
      <c r="F21" s="54" t="e">
        <f t="shared" si="1"/>
        <v>#N/A</v>
      </c>
      <c r="G21" s="54" t="e">
        <f t="shared" si="2"/>
        <v>#N/A</v>
      </c>
      <c r="H21" s="54" t="e">
        <f t="shared" si="3"/>
        <v>#N/A</v>
      </c>
    </row>
    <row r="22" spans="1:8" ht="16.5" customHeight="1">
      <c r="A22" s="52" t="str">
        <f>'1. 과정정보'!$I$2</f>
        <v>5회차</v>
      </c>
      <c r="B22" s="56"/>
      <c r="C22" s="52" t="e">
        <f t="shared" si="0"/>
        <v>#VALUE!</v>
      </c>
      <c r="D22" s="54"/>
      <c r="E22" s="54"/>
      <c r="F22" s="54" t="e">
        <f t="shared" si="1"/>
        <v>#N/A</v>
      </c>
      <c r="G22" s="54" t="e">
        <f t="shared" si="2"/>
        <v>#N/A</v>
      </c>
      <c r="H22" s="54" t="e">
        <f t="shared" si="3"/>
        <v>#N/A</v>
      </c>
    </row>
    <row r="23" spans="1:8" ht="16.5" customHeight="1">
      <c r="A23" s="52" t="str">
        <f>'1. 과정정보'!$I$2</f>
        <v>5회차</v>
      </c>
      <c r="B23" s="56"/>
      <c r="C23" s="52" t="e">
        <f t="shared" si="0"/>
        <v>#VALUE!</v>
      </c>
      <c r="D23" s="54"/>
      <c r="E23" s="54"/>
      <c r="F23" s="54" t="e">
        <f t="shared" si="1"/>
        <v>#N/A</v>
      </c>
      <c r="G23" s="54" t="e">
        <f t="shared" si="2"/>
        <v>#N/A</v>
      </c>
      <c r="H23" s="54" t="e">
        <f t="shared" si="3"/>
        <v>#N/A</v>
      </c>
    </row>
    <row r="24" spans="1:8" ht="16.5" customHeight="1">
      <c r="A24" s="52" t="str">
        <f>'1. 과정정보'!$I$2</f>
        <v>5회차</v>
      </c>
      <c r="B24" s="56"/>
      <c r="C24" s="52" t="e">
        <f t="shared" si="0"/>
        <v>#VALUE!</v>
      </c>
      <c r="D24" s="54"/>
      <c r="E24" s="54"/>
      <c r="F24" s="54" t="e">
        <f t="shared" si="1"/>
        <v>#N/A</v>
      </c>
      <c r="G24" s="54" t="e">
        <f t="shared" si="2"/>
        <v>#N/A</v>
      </c>
      <c r="H24" s="54" t="e">
        <f t="shared" si="3"/>
        <v>#N/A</v>
      </c>
    </row>
    <row r="25" spans="1:8" ht="16.5" customHeight="1">
      <c r="A25" s="52" t="str">
        <f>'1. 과정정보'!$I$2</f>
        <v>5회차</v>
      </c>
      <c r="B25" s="56"/>
      <c r="C25" s="52" t="e">
        <f t="shared" si="0"/>
        <v>#VALUE!</v>
      </c>
      <c r="D25" s="54"/>
      <c r="E25" s="54"/>
      <c r="F25" s="54" t="e">
        <f t="shared" si="1"/>
        <v>#N/A</v>
      </c>
      <c r="G25" s="54" t="e">
        <f t="shared" si="2"/>
        <v>#N/A</v>
      </c>
      <c r="H25" s="54" t="e">
        <f t="shared" si="3"/>
        <v>#N/A</v>
      </c>
    </row>
    <row r="26" spans="1:8" ht="16.5" customHeight="1">
      <c r="A26" s="52" t="str">
        <f>'1. 과정정보'!$I$2</f>
        <v>5회차</v>
      </c>
      <c r="B26" s="56"/>
      <c r="C26" s="52" t="e">
        <f t="shared" si="0"/>
        <v>#VALUE!</v>
      </c>
      <c r="D26" s="54"/>
      <c r="E26" s="54"/>
      <c r="F26" s="54" t="e">
        <f t="shared" si="1"/>
        <v>#N/A</v>
      </c>
      <c r="G26" s="54" t="e">
        <f t="shared" si="2"/>
        <v>#N/A</v>
      </c>
      <c r="H26" s="54" t="e">
        <f t="shared" si="3"/>
        <v>#N/A</v>
      </c>
    </row>
    <row r="27" spans="1:8" ht="16.5" customHeight="1">
      <c r="A27" s="52" t="str">
        <f>'1. 과정정보'!$I$2</f>
        <v>5회차</v>
      </c>
      <c r="B27" s="56"/>
      <c r="C27" s="52" t="e">
        <f t="shared" si="0"/>
        <v>#VALUE!</v>
      </c>
      <c r="D27" s="54"/>
      <c r="E27" s="54"/>
      <c r="F27" s="54" t="e">
        <f t="shared" si="1"/>
        <v>#N/A</v>
      </c>
      <c r="G27" s="54" t="e">
        <f t="shared" si="2"/>
        <v>#N/A</v>
      </c>
      <c r="H27" s="54" t="e">
        <f t="shared" si="3"/>
        <v>#N/A</v>
      </c>
    </row>
    <row r="28" spans="1:8" ht="16.5" customHeight="1">
      <c r="A28" s="52" t="str">
        <f>'1. 과정정보'!$I$2</f>
        <v>5회차</v>
      </c>
      <c r="B28" s="56"/>
      <c r="C28" s="52" t="e">
        <f t="shared" si="0"/>
        <v>#VALUE!</v>
      </c>
      <c r="D28" s="54"/>
      <c r="E28" s="54"/>
      <c r="F28" s="54" t="e">
        <f t="shared" si="1"/>
        <v>#N/A</v>
      </c>
      <c r="G28" s="54" t="e">
        <f t="shared" si="2"/>
        <v>#N/A</v>
      </c>
      <c r="H28" s="54" t="e">
        <f t="shared" si="3"/>
        <v>#N/A</v>
      </c>
    </row>
    <row r="29" spans="1:8" ht="16.5" customHeight="1">
      <c r="A29" s="52" t="str">
        <f>'1. 과정정보'!$I$2</f>
        <v>5회차</v>
      </c>
      <c r="B29" s="56"/>
      <c r="C29" s="52" t="e">
        <f t="shared" si="0"/>
        <v>#VALUE!</v>
      </c>
      <c r="D29" s="54"/>
      <c r="E29" s="54"/>
      <c r="F29" s="54" t="e">
        <f t="shared" si="1"/>
        <v>#N/A</v>
      </c>
      <c r="G29" s="54" t="e">
        <f t="shared" si="2"/>
        <v>#N/A</v>
      </c>
      <c r="H29" s="54" t="e">
        <f t="shared" si="3"/>
        <v>#N/A</v>
      </c>
    </row>
    <row r="30" spans="1:8" ht="16.5" customHeight="1">
      <c r="A30" s="52" t="str">
        <f>'1. 과정정보'!$I$2</f>
        <v>5회차</v>
      </c>
      <c r="B30" s="56"/>
      <c r="C30" s="52" t="e">
        <f t="shared" si="0"/>
        <v>#VALUE!</v>
      </c>
      <c r="D30" s="54"/>
      <c r="E30" s="54"/>
      <c r="F30" s="54" t="e">
        <f t="shared" si="1"/>
        <v>#N/A</v>
      </c>
      <c r="G30" s="54" t="e">
        <f t="shared" si="2"/>
        <v>#N/A</v>
      </c>
      <c r="H30" s="54" t="e">
        <f t="shared" si="3"/>
        <v>#N/A</v>
      </c>
    </row>
    <row r="31" spans="1:8" ht="16.5" customHeight="1">
      <c r="A31" s="52" t="str">
        <f>'1. 과정정보'!$I$2</f>
        <v>5회차</v>
      </c>
      <c r="B31" s="56"/>
      <c r="C31" s="52" t="e">
        <f t="shared" si="0"/>
        <v>#VALUE!</v>
      </c>
      <c r="D31" s="54"/>
      <c r="E31" s="54"/>
      <c r="F31" s="54" t="e">
        <f t="shared" si="1"/>
        <v>#N/A</v>
      </c>
      <c r="G31" s="54" t="e">
        <f t="shared" si="2"/>
        <v>#N/A</v>
      </c>
      <c r="H31" s="54" t="e">
        <f t="shared" si="3"/>
        <v>#N/A</v>
      </c>
    </row>
    <row r="32" spans="1:8" ht="16.5" customHeight="1">
      <c r="A32" s="52" t="str">
        <f>'1. 과정정보'!$I$2</f>
        <v>5회차</v>
      </c>
      <c r="B32" s="56"/>
      <c r="C32" s="52" t="e">
        <f t="shared" si="0"/>
        <v>#VALUE!</v>
      </c>
      <c r="D32" s="54"/>
      <c r="E32" s="54"/>
      <c r="F32" s="54" t="e">
        <f t="shared" si="1"/>
        <v>#N/A</v>
      </c>
      <c r="G32" s="54" t="e">
        <f t="shared" si="2"/>
        <v>#N/A</v>
      </c>
      <c r="H32" s="54" t="e">
        <f t="shared" si="3"/>
        <v>#N/A</v>
      </c>
    </row>
    <row r="33" spans="1:8" ht="16.5" customHeight="1">
      <c r="A33" s="52" t="str">
        <f>'1. 과정정보'!$I$2</f>
        <v>5회차</v>
      </c>
      <c r="B33" s="56"/>
      <c r="C33" s="52" t="e">
        <f t="shared" si="0"/>
        <v>#VALUE!</v>
      </c>
      <c r="D33" s="54"/>
      <c r="E33" s="54"/>
      <c r="F33" s="54" t="e">
        <f t="shared" si="1"/>
        <v>#N/A</v>
      </c>
      <c r="G33" s="54" t="e">
        <f t="shared" si="2"/>
        <v>#N/A</v>
      </c>
      <c r="H33" s="54" t="e">
        <f t="shared" si="3"/>
        <v>#N/A</v>
      </c>
    </row>
    <row r="34" spans="1:8" ht="16.5" customHeight="1">
      <c r="A34" s="52" t="str">
        <f>'1. 과정정보'!$I$2</f>
        <v>5회차</v>
      </c>
      <c r="B34" s="56"/>
      <c r="C34" s="52" t="e">
        <f t="shared" si="0"/>
        <v>#VALUE!</v>
      </c>
      <c r="D34" s="54"/>
      <c r="E34" s="54"/>
      <c r="F34" s="54" t="e">
        <f t="shared" si="1"/>
        <v>#N/A</v>
      </c>
      <c r="G34" s="54" t="e">
        <f t="shared" si="2"/>
        <v>#N/A</v>
      </c>
      <c r="H34" s="54" t="e">
        <f t="shared" si="3"/>
        <v>#N/A</v>
      </c>
    </row>
    <row r="35" spans="1:8" ht="16.5" customHeight="1">
      <c r="A35" s="52" t="str">
        <f>'1. 과정정보'!$I$2</f>
        <v>5회차</v>
      </c>
      <c r="B35" s="56"/>
      <c r="C35" s="52" t="e">
        <f t="shared" si="0"/>
        <v>#VALUE!</v>
      </c>
      <c r="D35" s="54"/>
      <c r="E35" s="54"/>
      <c r="F35" s="54" t="e">
        <f t="shared" si="1"/>
        <v>#N/A</v>
      </c>
      <c r="G35" s="54" t="e">
        <f t="shared" si="2"/>
        <v>#N/A</v>
      </c>
      <c r="H35" s="54" t="e">
        <f t="shared" si="3"/>
        <v>#N/A</v>
      </c>
    </row>
    <row r="36" spans="1:8" ht="16.5" customHeight="1">
      <c r="A36" s="52" t="str">
        <f>'1. 과정정보'!$I$2</f>
        <v>5회차</v>
      </c>
      <c r="B36" s="56"/>
      <c r="C36" s="52" t="e">
        <f t="shared" si="0"/>
        <v>#VALUE!</v>
      </c>
      <c r="D36" s="54"/>
      <c r="E36" s="54"/>
      <c r="F36" s="54" t="e">
        <f t="shared" si="1"/>
        <v>#N/A</v>
      </c>
      <c r="G36" s="54" t="e">
        <f t="shared" si="2"/>
        <v>#N/A</v>
      </c>
      <c r="H36" s="54" t="e">
        <f t="shared" si="3"/>
        <v>#N/A</v>
      </c>
    </row>
    <row r="37" spans="1:8" ht="16.5" customHeight="1">
      <c r="A37" s="52" t="str">
        <f>'1. 과정정보'!$I$2</f>
        <v>5회차</v>
      </c>
      <c r="B37" s="56"/>
      <c r="C37" s="52" t="e">
        <f t="shared" si="0"/>
        <v>#VALUE!</v>
      </c>
      <c r="D37" s="54"/>
      <c r="E37" s="54"/>
      <c r="F37" s="54" t="e">
        <f t="shared" si="1"/>
        <v>#N/A</v>
      </c>
      <c r="G37" s="54" t="e">
        <f t="shared" si="2"/>
        <v>#N/A</v>
      </c>
      <c r="H37" s="54" t="e">
        <f t="shared" si="3"/>
        <v>#N/A</v>
      </c>
    </row>
    <row r="38" spans="1:8" ht="16.5" customHeight="1">
      <c r="A38" s="52" t="str">
        <f>'1. 과정정보'!$I$2</f>
        <v>5회차</v>
      </c>
      <c r="B38" s="56"/>
      <c r="C38" s="52" t="e">
        <f t="shared" si="0"/>
        <v>#VALUE!</v>
      </c>
      <c r="D38" s="54"/>
      <c r="E38" s="54"/>
      <c r="F38" s="54" t="e">
        <f t="shared" si="1"/>
        <v>#N/A</v>
      </c>
      <c r="G38" s="54" t="e">
        <f t="shared" si="2"/>
        <v>#N/A</v>
      </c>
      <c r="H38" s="54" t="e">
        <f t="shared" si="3"/>
        <v>#N/A</v>
      </c>
    </row>
    <row r="39" spans="1:8" ht="16.5" customHeight="1">
      <c r="A39" s="52" t="str">
        <f>'1. 과정정보'!$I$2</f>
        <v>5회차</v>
      </c>
      <c r="B39" s="56"/>
      <c r="C39" s="52" t="e">
        <f t="shared" si="0"/>
        <v>#VALUE!</v>
      </c>
      <c r="D39" s="54"/>
      <c r="E39" s="54"/>
      <c r="F39" s="54" t="e">
        <f t="shared" si="1"/>
        <v>#N/A</v>
      </c>
      <c r="G39" s="54" t="e">
        <f t="shared" si="2"/>
        <v>#N/A</v>
      </c>
      <c r="H39" s="54" t="e">
        <f t="shared" si="3"/>
        <v>#N/A</v>
      </c>
    </row>
    <row r="40" spans="1:8" ht="16.5" customHeight="1">
      <c r="A40" s="52" t="str">
        <f>'1. 과정정보'!$I$2</f>
        <v>5회차</v>
      </c>
      <c r="B40" s="56"/>
      <c r="C40" s="52" t="e">
        <f t="shared" si="0"/>
        <v>#VALUE!</v>
      </c>
      <c r="D40" s="54"/>
      <c r="E40" s="54"/>
      <c r="F40" s="54" t="e">
        <f t="shared" si="1"/>
        <v>#N/A</v>
      </c>
      <c r="G40" s="54" t="e">
        <f t="shared" si="2"/>
        <v>#N/A</v>
      </c>
      <c r="H40" s="54" t="e">
        <f t="shared" si="3"/>
        <v>#N/A</v>
      </c>
    </row>
    <row r="41" spans="1:8" ht="16.5" customHeight="1">
      <c r="A41" s="52" t="str">
        <f>'1. 과정정보'!$I$2</f>
        <v>5회차</v>
      </c>
      <c r="B41" s="56"/>
      <c r="C41" s="56"/>
      <c r="D41" s="54"/>
      <c r="E41" s="54"/>
      <c r="F41" s="54" t="e">
        <f t="shared" si="1"/>
        <v>#N/A</v>
      </c>
      <c r="G41" s="54" t="e">
        <f t="shared" si="2"/>
        <v>#N/A</v>
      </c>
      <c r="H41" s="54" t="e">
        <f t="shared" si="3"/>
        <v>#N/A</v>
      </c>
    </row>
    <row r="42" spans="1:8" ht="16.5" customHeight="1">
      <c r="A42" s="52" t="str">
        <f>'1. 과정정보'!$I$2</f>
        <v>5회차</v>
      </c>
      <c r="B42" s="56"/>
      <c r="C42" s="56"/>
      <c r="D42" s="54"/>
      <c r="E42" s="54"/>
      <c r="F42" s="54" t="e">
        <f t="shared" si="1"/>
        <v>#N/A</v>
      </c>
      <c r="G42" s="54" t="e">
        <f t="shared" si="2"/>
        <v>#N/A</v>
      </c>
      <c r="H42" s="54" t="e">
        <f t="shared" si="3"/>
        <v>#N/A</v>
      </c>
    </row>
    <row r="43" spans="1:8" ht="16.5" customHeight="1">
      <c r="A43" s="52" t="str">
        <f>'1. 과정정보'!$I$2</f>
        <v>5회차</v>
      </c>
      <c r="B43" s="56"/>
      <c r="C43" s="56"/>
      <c r="D43" s="54"/>
      <c r="E43" s="54"/>
      <c r="F43" s="54" t="e">
        <f t="shared" si="1"/>
        <v>#N/A</v>
      </c>
      <c r="G43" s="54" t="e">
        <f t="shared" si="2"/>
        <v>#N/A</v>
      </c>
      <c r="H43" s="54" t="e">
        <f t="shared" si="3"/>
        <v>#N/A</v>
      </c>
    </row>
    <row r="44" spans="1:8" ht="16.5" customHeight="1">
      <c r="A44" s="52" t="str">
        <f>'1. 과정정보'!$I$2</f>
        <v>5회차</v>
      </c>
      <c r="B44" s="56"/>
      <c r="C44" s="56"/>
      <c r="D44" s="54"/>
      <c r="E44" s="54"/>
      <c r="F44" s="54" t="e">
        <f t="shared" si="1"/>
        <v>#N/A</v>
      </c>
      <c r="G44" s="54" t="e">
        <f t="shared" si="2"/>
        <v>#N/A</v>
      </c>
      <c r="H44" s="54" t="e">
        <f t="shared" si="3"/>
        <v>#N/A</v>
      </c>
    </row>
    <row r="45" spans="1:8" ht="16.5" customHeight="1">
      <c r="A45" s="52" t="str">
        <f>'1. 과정정보'!$I$2</f>
        <v>5회차</v>
      </c>
      <c r="B45" s="56"/>
      <c r="C45" s="56"/>
      <c r="D45" s="54"/>
      <c r="E45" s="54"/>
      <c r="F45" s="54" t="e">
        <f t="shared" si="1"/>
        <v>#N/A</v>
      </c>
      <c r="G45" s="54" t="e">
        <f t="shared" si="2"/>
        <v>#N/A</v>
      </c>
      <c r="H45" s="54" t="e">
        <f t="shared" si="3"/>
        <v>#N/A</v>
      </c>
    </row>
    <row r="46" spans="1:8" ht="16.5" customHeight="1">
      <c r="A46" s="52" t="str">
        <f>'1. 과정정보'!$I$2</f>
        <v>5회차</v>
      </c>
      <c r="B46" s="56"/>
      <c r="C46" s="56"/>
      <c r="D46" s="54"/>
      <c r="E46" s="54"/>
      <c r="F46" s="54" t="e">
        <f t="shared" si="1"/>
        <v>#N/A</v>
      </c>
      <c r="G46" s="54" t="e">
        <f t="shared" si="2"/>
        <v>#N/A</v>
      </c>
      <c r="H46" s="54" t="e">
        <f t="shared" si="3"/>
        <v>#N/A</v>
      </c>
    </row>
    <row r="47" spans="1:8" ht="16.5" customHeight="1">
      <c r="A47" s="52" t="str">
        <f>'1. 과정정보'!$I$2</f>
        <v>5회차</v>
      </c>
      <c r="B47" s="56"/>
      <c r="C47" s="56"/>
      <c r="D47" s="54"/>
      <c r="E47" s="54"/>
      <c r="F47" s="54" t="e">
        <f t="shared" si="1"/>
        <v>#N/A</v>
      </c>
      <c r="G47" s="54" t="e">
        <f t="shared" si="2"/>
        <v>#N/A</v>
      </c>
      <c r="H47" s="54" t="e">
        <f t="shared" si="3"/>
        <v>#N/A</v>
      </c>
    </row>
    <row r="48" spans="1:8" ht="16.5" customHeight="1">
      <c r="A48" s="52" t="str">
        <f>'1. 과정정보'!$I$2</f>
        <v>5회차</v>
      </c>
      <c r="B48" s="56"/>
      <c r="C48" s="56"/>
      <c r="D48" s="54"/>
      <c r="E48" s="54"/>
      <c r="F48" s="54" t="e">
        <f t="shared" si="1"/>
        <v>#N/A</v>
      </c>
      <c r="G48" s="54" t="e">
        <f t="shared" si="2"/>
        <v>#N/A</v>
      </c>
      <c r="H48" s="54" t="e">
        <f t="shared" si="3"/>
        <v>#N/A</v>
      </c>
    </row>
    <row r="49" spans="1:8" ht="16.5" customHeight="1">
      <c r="A49" s="52" t="str">
        <f>'1. 과정정보'!$I$2</f>
        <v>5회차</v>
      </c>
      <c r="B49" s="56"/>
      <c r="C49" s="56"/>
      <c r="D49" s="54"/>
      <c r="E49" s="54"/>
      <c r="F49" s="54" t="e">
        <f t="shared" si="1"/>
        <v>#N/A</v>
      </c>
      <c r="G49" s="54" t="e">
        <f t="shared" si="2"/>
        <v>#N/A</v>
      </c>
      <c r="H49" s="54" t="e">
        <f t="shared" si="3"/>
        <v>#N/A</v>
      </c>
    </row>
    <row r="50" spans="1:8" ht="16.5" customHeight="1">
      <c r="A50" s="52" t="str">
        <f>'1. 과정정보'!$I$2</f>
        <v>5회차</v>
      </c>
      <c r="B50" s="56"/>
      <c r="C50" s="56"/>
      <c r="D50" s="54"/>
      <c r="E50" s="54"/>
      <c r="F50" s="54" t="e">
        <f t="shared" si="1"/>
        <v>#N/A</v>
      </c>
      <c r="G50" s="54" t="e">
        <f t="shared" si="2"/>
        <v>#N/A</v>
      </c>
      <c r="H50" s="54" t="e">
        <f t="shared" si="3"/>
        <v>#N/A</v>
      </c>
    </row>
    <row r="51" spans="1:8" ht="16.5" customHeight="1">
      <c r="A51" s="52" t="str">
        <f>'1. 과정정보'!$I$2</f>
        <v>5회차</v>
      </c>
      <c r="B51" s="56"/>
      <c r="C51" s="56"/>
      <c r="D51" s="54"/>
      <c r="E51" s="54"/>
      <c r="F51" s="54" t="e">
        <f t="shared" si="1"/>
        <v>#N/A</v>
      </c>
      <c r="G51" s="54" t="e">
        <f t="shared" si="2"/>
        <v>#N/A</v>
      </c>
      <c r="H51" s="54" t="e">
        <f t="shared" si="3"/>
        <v>#N/A</v>
      </c>
    </row>
    <row r="52" spans="1:8" ht="16.5" customHeight="1">
      <c r="A52" s="52" t="str">
        <f>'1. 과정정보'!$I$2</f>
        <v>5회차</v>
      </c>
      <c r="B52" s="56"/>
      <c r="C52" s="56"/>
      <c r="D52" s="54"/>
      <c r="E52" s="54"/>
      <c r="F52" s="54" t="e">
        <f t="shared" si="1"/>
        <v>#N/A</v>
      </c>
      <c r="G52" s="54" t="e">
        <f t="shared" si="2"/>
        <v>#N/A</v>
      </c>
      <c r="H52" s="54" t="e">
        <f t="shared" si="3"/>
        <v>#N/A</v>
      </c>
    </row>
    <row r="53" spans="1:8" ht="16.5" customHeight="1">
      <c r="A53" s="52" t="str">
        <f>'1. 과정정보'!$I$2</f>
        <v>5회차</v>
      </c>
      <c r="B53" s="56"/>
      <c r="C53" s="56"/>
      <c r="D53" s="54"/>
      <c r="E53" s="54"/>
      <c r="F53" s="54" t="e">
        <f t="shared" si="1"/>
        <v>#N/A</v>
      </c>
      <c r="G53" s="54" t="e">
        <f t="shared" si="2"/>
        <v>#N/A</v>
      </c>
      <c r="H53" s="54" t="e">
        <f t="shared" si="3"/>
        <v>#N/A</v>
      </c>
    </row>
    <row r="54" spans="1:8" ht="16.5" customHeight="1">
      <c r="A54" s="52" t="str">
        <f>'1. 과정정보'!$I$2</f>
        <v>5회차</v>
      </c>
      <c r="B54" s="56"/>
      <c r="C54" s="56"/>
      <c r="D54" s="54"/>
      <c r="E54" s="54"/>
      <c r="F54" s="54" t="e">
        <f t="shared" si="1"/>
        <v>#N/A</v>
      </c>
      <c r="G54" s="54" t="e">
        <f t="shared" si="2"/>
        <v>#N/A</v>
      </c>
      <c r="H54" s="54" t="e">
        <f t="shared" si="3"/>
        <v>#N/A</v>
      </c>
    </row>
    <row r="55" spans="1:8" ht="16.5" customHeight="1">
      <c r="A55" s="52" t="str">
        <f>'1. 과정정보'!$I$2</f>
        <v>5회차</v>
      </c>
      <c r="B55" s="56"/>
      <c r="C55" s="56"/>
      <c r="D55" s="54"/>
      <c r="E55" s="54"/>
      <c r="F55" s="54" t="e">
        <f t="shared" si="1"/>
        <v>#N/A</v>
      </c>
      <c r="G55" s="54" t="e">
        <f t="shared" si="2"/>
        <v>#N/A</v>
      </c>
      <c r="H55" s="54" t="e">
        <f t="shared" si="3"/>
        <v>#N/A</v>
      </c>
    </row>
    <row r="56" spans="1:8" ht="16.5" customHeight="1">
      <c r="A56" s="52" t="str">
        <f>'1. 과정정보'!$I$2</f>
        <v>5회차</v>
      </c>
      <c r="B56" s="56"/>
      <c r="C56" s="56"/>
      <c r="D56" s="54"/>
      <c r="E56" s="54"/>
      <c r="F56" s="54" t="e">
        <f t="shared" si="1"/>
        <v>#N/A</v>
      </c>
      <c r="G56" s="54" t="e">
        <f t="shared" si="2"/>
        <v>#N/A</v>
      </c>
      <c r="H56" s="54" t="e">
        <f t="shared" si="3"/>
        <v>#N/A</v>
      </c>
    </row>
    <row r="57" spans="1:8" ht="16.5" customHeight="1">
      <c r="A57" s="52" t="str">
        <f>'1. 과정정보'!$I$2</f>
        <v>5회차</v>
      </c>
      <c r="B57" s="56"/>
      <c r="C57" s="56"/>
      <c r="D57" s="54"/>
      <c r="E57" s="54"/>
      <c r="F57" s="54" t="e">
        <f t="shared" si="1"/>
        <v>#N/A</v>
      </c>
      <c r="G57" s="54" t="e">
        <f t="shared" si="2"/>
        <v>#N/A</v>
      </c>
      <c r="H57" s="54" t="e">
        <f t="shared" si="3"/>
        <v>#N/A</v>
      </c>
    </row>
    <row r="58" spans="1:8" ht="16.5" customHeight="1">
      <c r="A58" s="52" t="str">
        <f>'1. 과정정보'!$I$2</f>
        <v>5회차</v>
      </c>
      <c r="B58" s="56"/>
      <c r="C58" s="56"/>
      <c r="D58" s="54"/>
      <c r="E58" s="54"/>
      <c r="F58" s="54" t="e">
        <f t="shared" si="1"/>
        <v>#N/A</v>
      </c>
      <c r="G58" s="54" t="e">
        <f t="shared" si="2"/>
        <v>#N/A</v>
      </c>
      <c r="H58" s="54" t="e">
        <f t="shared" si="3"/>
        <v>#N/A</v>
      </c>
    </row>
    <row r="59" spans="1:8" ht="16.5" customHeight="1">
      <c r="A59" s="52" t="str">
        <f>'1. 과정정보'!$I$2</f>
        <v>5회차</v>
      </c>
      <c r="B59" s="56"/>
      <c r="C59" s="56"/>
      <c r="D59" s="54"/>
      <c r="E59" s="54"/>
      <c r="F59" s="54" t="e">
        <f t="shared" si="1"/>
        <v>#N/A</v>
      </c>
      <c r="G59" s="54" t="e">
        <f t="shared" si="2"/>
        <v>#N/A</v>
      </c>
      <c r="H59" s="54" t="e">
        <f t="shared" si="3"/>
        <v>#N/A</v>
      </c>
    </row>
    <row r="60" spans="1:8" ht="16.5" customHeight="1">
      <c r="A60" s="42"/>
      <c r="B60" s="42"/>
      <c r="C60" s="42"/>
      <c r="D60" s="42"/>
      <c r="E60" s="42"/>
      <c r="F60" s="42"/>
      <c r="G60" s="42"/>
      <c r="H60" s="42"/>
    </row>
    <row r="61" spans="1:8" ht="16.5" customHeight="1">
      <c r="A61" s="42"/>
      <c r="B61" s="42"/>
      <c r="C61" s="42"/>
      <c r="D61" s="42"/>
      <c r="E61" s="42"/>
      <c r="F61" s="42"/>
      <c r="G61" s="42"/>
      <c r="H61" s="42"/>
    </row>
    <row r="62" spans="1:8" ht="16.5" customHeight="1">
      <c r="A62" s="42"/>
      <c r="B62" s="42"/>
      <c r="C62" s="42"/>
      <c r="D62" s="42"/>
      <c r="E62" s="42"/>
      <c r="F62" s="42"/>
      <c r="G62" s="42"/>
      <c r="H62" s="42"/>
    </row>
    <row r="63" spans="1:8" ht="16.5" customHeight="1">
      <c r="A63" s="42"/>
      <c r="B63" s="42"/>
      <c r="C63" s="42"/>
      <c r="D63" s="42"/>
      <c r="E63" s="42"/>
      <c r="F63" s="42"/>
      <c r="G63" s="42"/>
      <c r="H63" s="42"/>
    </row>
    <row r="64" spans="1:8" ht="16.5" customHeight="1">
      <c r="A64" s="42"/>
      <c r="B64" s="42"/>
      <c r="C64" s="42"/>
      <c r="D64" s="42"/>
      <c r="E64" s="42"/>
      <c r="F64" s="42"/>
      <c r="G64" s="42"/>
      <c r="H64" s="42"/>
    </row>
    <row r="65" spans="1:8" ht="16.5" customHeight="1">
      <c r="A65" s="42"/>
      <c r="B65" s="42"/>
      <c r="C65" s="42"/>
      <c r="D65" s="42"/>
      <c r="E65" s="42"/>
      <c r="F65" s="42"/>
      <c r="G65" s="42"/>
      <c r="H65" s="42"/>
    </row>
    <row r="66" spans="1:8" ht="16.5" customHeight="1">
      <c r="A66" s="42"/>
      <c r="B66" s="42"/>
      <c r="C66" s="42"/>
      <c r="D66" s="42"/>
      <c r="E66" s="42"/>
      <c r="F66" s="42"/>
      <c r="G66" s="42"/>
      <c r="H66" s="42"/>
    </row>
    <row r="67" spans="1:8" ht="16.5" customHeight="1">
      <c r="A67" s="42"/>
      <c r="B67" s="42"/>
      <c r="C67" s="42"/>
      <c r="D67" s="42"/>
      <c r="E67" s="42"/>
      <c r="F67" s="42"/>
      <c r="G67" s="42"/>
      <c r="H67" s="42"/>
    </row>
    <row r="68" spans="1:8" ht="16.5" customHeight="1">
      <c r="A68" s="42"/>
      <c r="B68" s="42"/>
      <c r="C68" s="42"/>
      <c r="D68" s="42"/>
      <c r="E68" s="42"/>
      <c r="F68" s="42"/>
      <c r="G68" s="42"/>
      <c r="H68" s="42"/>
    </row>
    <row r="69" spans="1:8" ht="16.5" customHeight="1">
      <c r="A69" s="42"/>
      <c r="B69" s="42"/>
      <c r="C69" s="42"/>
      <c r="D69" s="42"/>
      <c r="E69" s="42"/>
      <c r="F69" s="42"/>
      <c r="G69" s="42"/>
      <c r="H69" s="42"/>
    </row>
    <row r="70" spans="1:8" ht="16.5" customHeight="1">
      <c r="A70" s="42"/>
      <c r="B70" s="42"/>
      <c r="C70" s="42"/>
      <c r="D70" s="42"/>
      <c r="E70" s="42"/>
      <c r="F70" s="42"/>
      <c r="G70" s="42"/>
      <c r="H70" s="42"/>
    </row>
    <row r="71" spans="1:8" ht="16.5" customHeight="1">
      <c r="A71" s="42"/>
      <c r="B71" s="42"/>
      <c r="C71" s="42"/>
      <c r="D71" s="42"/>
      <c r="E71" s="42"/>
      <c r="F71" s="42"/>
      <c r="G71" s="42"/>
      <c r="H71" s="42"/>
    </row>
    <row r="72" spans="1:8" ht="16.5" customHeight="1">
      <c r="A72" s="42"/>
      <c r="B72" s="42"/>
      <c r="C72" s="42"/>
      <c r="D72" s="42"/>
      <c r="E72" s="42"/>
      <c r="F72" s="42"/>
      <c r="G72" s="42"/>
      <c r="H72" s="42"/>
    </row>
    <row r="73" spans="1:8" ht="16.5" customHeight="1">
      <c r="A73" s="42"/>
      <c r="B73" s="42"/>
      <c r="C73" s="42"/>
      <c r="D73" s="42"/>
      <c r="E73" s="42"/>
      <c r="F73" s="42"/>
      <c r="G73" s="42"/>
      <c r="H73" s="42"/>
    </row>
    <row r="74" spans="1:8" ht="16.5" customHeight="1">
      <c r="A74" s="42"/>
      <c r="B74" s="42"/>
      <c r="C74" s="42"/>
      <c r="D74" s="42"/>
      <c r="E74" s="42"/>
      <c r="F74" s="42"/>
      <c r="G74" s="42"/>
      <c r="H74" s="42"/>
    </row>
    <row r="75" spans="1:8" ht="16.5" customHeight="1">
      <c r="A75" s="42"/>
      <c r="B75" s="42"/>
      <c r="C75" s="42"/>
      <c r="D75" s="42"/>
      <c r="E75" s="42"/>
      <c r="F75" s="42"/>
      <c r="G75" s="42"/>
      <c r="H75" s="42"/>
    </row>
    <row r="76" spans="1:8" ht="16.5" customHeight="1">
      <c r="A76" s="42"/>
      <c r="B76" s="42"/>
      <c r="C76" s="42"/>
      <c r="D76" s="42"/>
      <c r="E76" s="42"/>
      <c r="F76" s="42"/>
      <c r="G76" s="42"/>
      <c r="H76" s="42"/>
    </row>
    <row r="77" spans="1:8" ht="16.5" customHeight="1">
      <c r="A77" s="42"/>
      <c r="B77" s="42"/>
      <c r="C77" s="42"/>
      <c r="D77" s="42"/>
      <c r="E77" s="42"/>
      <c r="F77" s="42"/>
      <c r="G77" s="42"/>
      <c r="H77" s="42"/>
    </row>
    <row r="78" spans="1:8" ht="16.5" customHeight="1">
      <c r="A78" s="42"/>
      <c r="B78" s="42"/>
      <c r="C78" s="42"/>
      <c r="D78" s="42"/>
      <c r="E78" s="42"/>
      <c r="F78" s="42"/>
      <c r="G78" s="42"/>
      <c r="H78" s="42"/>
    </row>
    <row r="79" spans="1:8" ht="16.5" customHeight="1">
      <c r="A79" s="42"/>
      <c r="B79" s="42"/>
      <c r="C79" s="42"/>
      <c r="D79" s="42"/>
      <c r="E79" s="42"/>
      <c r="F79" s="42"/>
      <c r="G79" s="42"/>
      <c r="H79" s="42"/>
    </row>
    <row r="80" spans="1:8" ht="16.5" customHeight="1">
      <c r="A80" s="42"/>
      <c r="B80" s="42"/>
      <c r="C80" s="42"/>
      <c r="D80" s="42"/>
      <c r="E80" s="42"/>
      <c r="F80" s="42"/>
      <c r="G80" s="42"/>
      <c r="H80" s="42"/>
    </row>
    <row r="81" spans="1:8" ht="16.5" customHeight="1">
      <c r="A81" s="42"/>
      <c r="B81" s="42"/>
      <c r="C81" s="42"/>
      <c r="D81" s="42"/>
      <c r="E81" s="42"/>
      <c r="F81" s="42"/>
      <c r="G81" s="42"/>
      <c r="H81" s="42"/>
    </row>
    <row r="82" spans="1:8" ht="16.5" customHeight="1">
      <c r="A82" s="42"/>
      <c r="B82" s="42"/>
      <c r="C82" s="42"/>
      <c r="D82" s="42"/>
      <c r="E82" s="42"/>
      <c r="F82" s="42"/>
      <c r="G82" s="42"/>
      <c r="H82" s="42"/>
    </row>
    <row r="83" spans="1:8" ht="16.5" customHeight="1">
      <c r="A83" s="42"/>
      <c r="B83" s="42"/>
      <c r="C83" s="42"/>
      <c r="D83" s="42"/>
      <c r="E83" s="42"/>
      <c r="F83" s="42"/>
      <c r="G83" s="42"/>
      <c r="H83" s="42"/>
    </row>
    <row r="84" spans="1:8" ht="16.5" customHeight="1">
      <c r="A84" s="42"/>
      <c r="B84" s="42"/>
      <c r="C84" s="42"/>
      <c r="D84" s="42"/>
      <c r="E84" s="42"/>
      <c r="F84" s="42"/>
      <c r="G84" s="42"/>
      <c r="H84" s="42"/>
    </row>
    <row r="85" spans="1:8" ht="16.5" customHeight="1">
      <c r="A85" s="42"/>
      <c r="B85" s="42"/>
      <c r="C85" s="42"/>
      <c r="D85" s="42"/>
      <c r="E85" s="42"/>
      <c r="F85" s="42"/>
      <c r="G85" s="42"/>
      <c r="H85" s="42"/>
    </row>
    <row r="86" spans="1:8" ht="16.5" customHeight="1">
      <c r="A86" s="42"/>
      <c r="B86" s="42"/>
      <c r="C86" s="42"/>
      <c r="D86" s="42"/>
      <c r="E86" s="42"/>
      <c r="F86" s="42"/>
      <c r="G86" s="42"/>
      <c r="H86" s="42"/>
    </row>
    <row r="87" spans="1:8" ht="16.5" customHeight="1">
      <c r="A87" s="42"/>
      <c r="B87" s="42"/>
      <c r="C87" s="42"/>
      <c r="D87" s="42"/>
      <c r="E87" s="42"/>
      <c r="F87" s="42"/>
      <c r="G87" s="42"/>
      <c r="H87" s="42"/>
    </row>
    <row r="88" spans="1:8" ht="16.5" customHeight="1">
      <c r="A88" s="42"/>
      <c r="B88" s="42"/>
      <c r="C88" s="42"/>
      <c r="D88" s="42"/>
      <c r="E88" s="42"/>
      <c r="F88" s="42"/>
      <c r="G88" s="42"/>
      <c r="H88" s="42"/>
    </row>
    <row r="89" spans="1:8" ht="16.5" customHeight="1">
      <c r="A89" s="42"/>
      <c r="B89" s="42"/>
      <c r="C89" s="42"/>
      <c r="D89" s="42"/>
      <c r="E89" s="42"/>
      <c r="F89" s="42"/>
      <c r="G89" s="42"/>
      <c r="H89" s="42"/>
    </row>
    <row r="90" spans="1:8" ht="16.5" customHeight="1">
      <c r="A90" s="42"/>
      <c r="B90" s="42"/>
      <c r="C90" s="42"/>
      <c r="D90" s="42"/>
      <c r="E90" s="42"/>
      <c r="F90" s="42"/>
      <c r="G90" s="42"/>
      <c r="H90" s="42"/>
    </row>
    <row r="91" spans="1:8" ht="16.5" customHeight="1">
      <c r="A91" s="42"/>
      <c r="B91" s="42"/>
      <c r="C91" s="42"/>
      <c r="D91" s="42"/>
      <c r="E91" s="42"/>
      <c r="F91" s="42"/>
      <c r="G91" s="42"/>
      <c r="H91" s="42"/>
    </row>
    <row r="92" spans="1:8" ht="16.5" customHeight="1">
      <c r="A92" s="42"/>
      <c r="B92" s="42"/>
      <c r="C92" s="42"/>
      <c r="D92" s="42"/>
      <c r="E92" s="42"/>
      <c r="F92" s="42"/>
      <c r="G92" s="42"/>
      <c r="H92" s="42"/>
    </row>
    <row r="93" spans="1:8" ht="16.5" customHeight="1">
      <c r="A93" s="42"/>
      <c r="B93" s="42"/>
      <c r="C93" s="42"/>
      <c r="D93" s="42"/>
      <c r="E93" s="42"/>
      <c r="F93" s="42"/>
      <c r="G93" s="42"/>
      <c r="H93" s="42"/>
    </row>
    <row r="94" spans="1:8" ht="16.5" customHeight="1">
      <c r="A94" s="42"/>
      <c r="B94" s="42"/>
      <c r="C94" s="42"/>
      <c r="D94" s="42"/>
      <c r="E94" s="42"/>
      <c r="F94" s="42"/>
      <c r="G94" s="42"/>
      <c r="H94" s="42"/>
    </row>
    <row r="95" spans="1:8" ht="16.5" customHeight="1">
      <c r="A95" s="42"/>
      <c r="B95" s="42"/>
      <c r="C95" s="42"/>
      <c r="D95" s="42"/>
      <c r="E95" s="42"/>
      <c r="F95" s="42"/>
      <c r="G95" s="42"/>
      <c r="H95" s="42"/>
    </row>
    <row r="96" spans="1:8" ht="16.5" customHeight="1">
      <c r="A96" s="42"/>
      <c r="B96" s="42"/>
      <c r="C96" s="42"/>
      <c r="D96" s="42"/>
      <c r="E96" s="42"/>
      <c r="F96" s="42"/>
      <c r="G96" s="42"/>
      <c r="H96" s="42"/>
    </row>
    <row r="97" spans="1:8" ht="16.5" customHeight="1">
      <c r="A97" s="42"/>
      <c r="B97" s="42"/>
      <c r="C97" s="42"/>
      <c r="D97" s="42"/>
      <c r="E97" s="42"/>
      <c r="F97" s="42"/>
      <c r="G97" s="42"/>
      <c r="H97" s="42"/>
    </row>
    <row r="98" spans="1:8" ht="16.5" customHeight="1">
      <c r="A98" s="42"/>
      <c r="B98" s="42"/>
      <c r="C98" s="42"/>
      <c r="D98" s="42"/>
      <c r="E98" s="42"/>
      <c r="F98" s="42"/>
      <c r="G98" s="42"/>
      <c r="H98" s="42"/>
    </row>
    <row r="99" spans="1:8" ht="16.5" customHeight="1">
      <c r="A99" s="42"/>
      <c r="B99" s="42"/>
      <c r="C99" s="42"/>
      <c r="D99" s="42"/>
      <c r="E99" s="42"/>
      <c r="F99" s="42"/>
      <c r="G99" s="42"/>
      <c r="H99" s="42"/>
    </row>
    <row r="100" spans="1:8" ht="16.5" customHeight="1">
      <c r="A100" s="42"/>
      <c r="B100" s="42"/>
      <c r="C100" s="42"/>
      <c r="D100" s="42"/>
      <c r="E100" s="42"/>
      <c r="F100" s="42"/>
      <c r="G100" s="42"/>
      <c r="H100" s="42"/>
    </row>
    <row r="101" spans="1:8" ht="16.5" customHeight="1">
      <c r="A101" s="42"/>
      <c r="B101" s="42"/>
      <c r="C101" s="42"/>
      <c r="D101" s="42"/>
      <c r="E101" s="42"/>
      <c r="F101" s="42"/>
      <c r="G101" s="42"/>
      <c r="H101" s="42"/>
    </row>
    <row r="102" spans="1:8" ht="16.5" customHeight="1">
      <c r="A102" s="42"/>
      <c r="B102" s="42"/>
      <c r="C102" s="42"/>
      <c r="D102" s="42"/>
      <c r="E102" s="42"/>
      <c r="F102" s="42"/>
      <c r="G102" s="42"/>
      <c r="H102" s="42"/>
    </row>
    <row r="103" spans="1:8" ht="16.5" customHeight="1">
      <c r="A103" s="42"/>
      <c r="B103" s="42"/>
      <c r="C103" s="42"/>
      <c r="D103" s="42"/>
      <c r="E103" s="42"/>
      <c r="F103" s="42"/>
      <c r="G103" s="42"/>
      <c r="H103" s="42"/>
    </row>
    <row r="104" spans="1:8" ht="16.5" customHeight="1">
      <c r="A104" s="42"/>
      <c r="B104" s="42"/>
      <c r="C104" s="42"/>
      <c r="D104" s="42"/>
      <c r="E104" s="42"/>
      <c r="F104" s="42"/>
      <c r="G104" s="42"/>
      <c r="H104" s="42"/>
    </row>
    <row r="105" spans="1:8" ht="16.5" customHeight="1">
      <c r="A105" s="42"/>
      <c r="B105" s="42"/>
      <c r="C105" s="42"/>
      <c r="D105" s="42"/>
      <c r="E105" s="42"/>
      <c r="F105" s="42"/>
      <c r="G105" s="42"/>
      <c r="H105" s="42"/>
    </row>
    <row r="106" spans="1:8" ht="16.5" customHeight="1">
      <c r="A106" s="42"/>
      <c r="B106" s="42"/>
      <c r="C106" s="42"/>
      <c r="D106" s="42"/>
      <c r="E106" s="42"/>
      <c r="F106" s="42"/>
      <c r="G106" s="42"/>
      <c r="H106" s="42"/>
    </row>
    <row r="107" spans="1:8" ht="16.5" customHeight="1">
      <c r="A107" s="42"/>
      <c r="B107" s="42"/>
      <c r="C107" s="42"/>
      <c r="D107" s="42"/>
      <c r="E107" s="42"/>
      <c r="F107" s="42"/>
      <c r="G107" s="42"/>
      <c r="H107" s="42"/>
    </row>
    <row r="108" spans="1:8" ht="16.5" customHeight="1">
      <c r="A108" s="42"/>
      <c r="B108" s="42"/>
      <c r="C108" s="42"/>
      <c r="D108" s="42"/>
      <c r="E108" s="42"/>
      <c r="F108" s="42"/>
      <c r="G108" s="42"/>
      <c r="H108" s="42"/>
    </row>
    <row r="109" spans="1:8" ht="16.5" customHeight="1">
      <c r="A109" s="42"/>
      <c r="B109" s="42"/>
      <c r="C109" s="42"/>
      <c r="D109" s="42"/>
      <c r="E109" s="42"/>
      <c r="F109" s="42"/>
      <c r="G109" s="42"/>
      <c r="H109" s="42"/>
    </row>
    <row r="110" spans="1:8" ht="16.5" customHeight="1">
      <c r="A110" s="42"/>
      <c r="B110" s="42"/>
      <c r="C110" s="42"/>
      <c r="D110" s="42"/>
      <c r="E110" s="42"/>
      <c r="F110" s="42"/>
      <c r="G110" s="42"/>
      <c r="H110" s="42"/>
    </row>
    <row r="111" spans="1:8" ht="16.5" customHeight="1">
      <c r="A111" s="42"/>
      <c r="B111" s="42"/>
      <c r="C111" s="42"/>
      <c r="D111" s="42"/>
      <c r="E111" s="42"/>
      <c r="F111" s="42"/>
      <c r="G111" s="42"/>
      <c r="H111" s="42"/>
    </row>
    <row r="112" spans="1:8" ht="16.5" customHeight="1">
      <c r="A112" s="42"/>
      <c r="B112" s="42"/>
      <c r="C112" s="42"/>
      <c r="D112" s="42"/>
      <c r="E112" s="42"/>
      <c r="F112" s="42"/>
      <c r="G112" s="42"/>
      <c r="H112" s="42"/>
    </row>
    <row r="113" spans="1:8" ht="16.5" customHeight="1">
      <c r="A113" s="42"/>
      <c r="B113" s="42"/>
      <c r="C113" s="42"/>
      <c r="D113" s="42"/>
      <c r="E113" s="42"/>
      <c r="F113" s="42"/>
      <c r="G113" s="42"/>
      <c r="H113" s="42"/>
    </row>
    <row r="114" spans="1:8" ht="16.5" customHeight="1">
      <c r="A114" s="42"/>
      <c r="B114" s="42"/>
      <c r="C114" s="42"/>
      <c r="D114" s="42"/>
      <c r="E114" s="42"/>
      <c r="F114" s="42"/>
      <c r="G114" s="42"/>
      <c r="H114" s="42"/>
    </row>
    <row r="115" spans="1:8" ht="16.5" customHeight="1">
      <c r="A115" s="42"/>
      <c r="B115" s="42"/>
      <c r="C115" s="42"/>
      <c r="D115" s="42"/>
      <c r="E115" s="42"/>
      <c r="F115" s="42"/>
      <c r="G115" s="42"/>
      <c r="H115" s="42"/>
    </row>
    <row r="116" spans="1:8" ht="16.5" customHeight="1">
      <c r="A116" s="42"/>
      <c r="B116" s="42"/>
      <c r="C116" s="42"/>
      <c r="D116" s="42"/>
      <c r="E116" s="42"/>
      <c r="F116" s="42"/>
      <c r="G116" s="42"/>
      <c r="H116" s="42"/>
    </row>
    <row r="117" spans="1:8" ht="16.5" customHeight="1">
      <c r="A117" s="42"/>
      <c r="B117" s="42"/>
      <c r="C117" s="42"/>
      <c r="D117" s="42"/>
      <c r="E117" s="42"/>
      <c r="F117" s="42"/>
      <c r="G117" s="42"/>
      <c r="H117" s="42"/>
    </row>
    <row r="118" spans="1:8" ht="16.5" customHeight="1">
      <c r="A118" s="42"/>
      <c r="B118" s="42"/>
      <c r="C118" s="42"/>
      <c r="D118" s="42"/>
      <c r="E118" s="42"/>
      <c r="F118" s="42"/>
      <c r="G118" s="42"/>
      <c r="H118" s="42"/>
    </row>
    <row r="119" spans="1:8" ht="16.5" customHeight="1">
      <c r="A119" s="42"/>
      <c r="B119" s="42"/>
      <c r="C119" s="42"/>
      <c r="D119" s="42"/>
      <c r="E119" s="42"/>
      <c r="F119" s="42"/>
      <c r="G119" s="42"/>
      <c r="H119" s="42"/>
    </row>
    <row r="120" spans="1:8" ht="16.5" customHeight="1">
      <c r="A120" s="42"/>
      <c r="B120" s="42"/>
      <c r="C120" s="42"/>
      <c r="D120" s="42"/>
      <c r="E120" s="42"/>
      <c r="F120" s="42"/>
      <c r="G120" s="42"/>
      <c r="H120" s="42"/>
    </row>
    <row r="121" spans="1:8" ht="16.5" customHeight="1">
      <c r="A121" s="42"/>
      <c r="B121" s="42"/>
      <c r="C121" s="42"/>
      <c r="D121" s="42"/>
      <c r="E121" s="42"/>
      <c r="F121" s="42"/>
      <c r="G121" s="42"/>
      <c r="H121" s="42"/>
    </row>
    <row r="122" spans="1:8" ht="16.5" customHeight="1">
      <c r="A122" s="42"/>
      <c r="B122" s="42"/>
      <c r="C122" s="42"/>
      <c r="D122" s="42"/>
      <c r="E122" s="42"/>
      <c r="F122" s="42"/>
      <c r="G122" s="42"/>
      <c r="H122" s="42"/>
    </row>
    <row r="123" spans="1:8" ht="16.5" customHeight="1">
      <c r="A123" s="42"/>
      <c r="B123" s="42"/>
      <c r="C123" s="42"/>
      <c r="D123" s="42"/>
      <c r="E123" s="42"/>
      <c r="F123" s="42"/>
      <c r="G123" s="42"/>
      <c r="H123" s="42"/>
    </row>
    <row r="124" spans="1:8" ht="16.5" customHeight="1">
      <c r="A124" s="42"/>
      <c r="B124" s="42"/>
      <c r="C124" s="42"/>
      <c r="D124" s="42"/>
      <c r="E124" s="42"/>
      <c r="F124" s="42"/>
      <c r="G124" s="42"/>
      <c r="H124" s="42"/>
    </row>
    <row r="125" spans="1:8" ht="16.5" customHeight="1">
      <c r="A125" s="42"/>
      <c r="B125" s="42"/>
      <c r="C125" s="42"/>
      <c r="D125" s="42"/>
      <c r="E125" s="42"/>
      <c r="F125" s="42"/>
      <c r="G125" s="42"/>
      <c r="H125" s="42"/>
    </row>
    <row r="126" spans="1:8" ht="16.5" customHeight="1">
      <c r="A126" s="42"/>
      <c r="B126" s="42"/>
      <c r="C126" s="42"/>
      <c r="D126" s="42"/>
      <c r="E126" s="42"/>
      <c r="F126" s="42"/>
      <c r="G126" s="42"/>
      <c r="H126" s="42"/>
    </row>
    <row r="127" spans="1:8" ht="16.5" customHeight="1">
      <c r="A127" s="42"/>
      <c r="B127" s="42"/>
      <c r="C127" s="42"/>
      <c r="D127" s="42"/>
      <c r="E127" s="42"/>
      <c r="F127" s="42"/>
      <c r="G127" s="42"/>
      <c r="H127" s="42"/>
    </row>
    <row r="128" spans="1:8" ht="16.5" customHeight="1">
      <c r="A128" s="42"/>
      <c r="B128" s="42"/>
      <c r="C128" s="42"/>
      <c r="D128" s="42"/>
      <c r="E128" s="42"/>
      <c r="F128" s="42"/>
      <c r="G128" s="42"/>
      <c r="H128" s="42"/>
    </row>
    <row r="129" spans="1:8" ht="16.5" customHeight="1">
      <c r="A129" s="42"/>
      <c r="B129" s="42"/>
      <c r="C129" s="42"/>
      <c r="D129" s="42"/>
      <c r="E129" s="42"/>
      <c r="F129" s="42"/>
      <c r="G129" s="42"/>
      <c r="H129" s="42"/>
    </row>
    <row r="130" spans="1:8" ht="16.5" customHeight="1">
      <c r="A130" s="42"/>
      <c r="B130" s="42"/>
      <c r="C130" s="42"/>
      <c r="D130" s="42"/>
      <c r="E130" s="42"/>
      <c r="F130" s="42"/>
      <c r="G130" s="42"/>
      <c r="H130" s="42"/>
    </row>
    <row r="131" spans="1:8" ht="16.5" customHeight="1">
      <c r="A131" s="42"/>
      <c r="B131" s="42"/>
      <c r="C131" s="42"/>
      <c r="D131" s="42"/>
      <c r="E131" s="42"/>
      <c r="F131" s="42"/>
      <c r="G131" s="42"/>
      <c r="H131" s="42"/>
    </row>
    <row r="132" spans="1:8" ht="16.5" customHeight="1">
      <c r="A132" s="42"/>
      <c r="B132" s="42"/>
      <c r="C132" s="42"/>
      <c r="D132" s="42"/>
      <c r="E132" s="42"/>
      <c r="F132" s="42"/>
      <c r="G132" s="42"/>
      <c r="H132" s="42"/>
    </row>
    <row r="133" spans="1:8" ht="16.5" customHeight="1">
      <c r="A133" s="42"/>
      <c r="B133" s="42"/>
      <c r="C133" s="42"/>
      <c r="D133" s="42"/>
      <c r="E133" s="42"/>
      <c r="F133" s="42"/>
      <c r="G133" s="42"/>
      <c r="H133" s="42"/>
    </row>
    <row r="134" spans="1:8" ht="16.5" customHeight="1">
      <c r="A134" s="42"/>
      <c r="B134" s="42"/>
      <c r="C134" s="42"/>
      <c r="D134" s="42"/>
      <c r="E134" s="42"/>
      <c r="F134" s="42"/>
      <c r="G134" s="42"/>
      <c r="H134" s="42"/>
    </row>
    <row r="135" spans="1:8" ht="16.5" customHeight="1">
      <c r="A135" s="42"/>
      <c r="B135" s="42"/>
      <c r="C135" s="42"/>
      <c r="D135" s="42"/>
      <c r="E135" s="42"/>
      <c r="F135" s="42"/>
      <c r="G135" s="42"/>
      <c r="H135" s="42"/>
    </row>
    <row r="136" spans="1:8" ht="16.5" customHeight="1">
      <c r="A136" s="42"/>
      <c r="B136" s="42"/>
      <c r="C136" s="42"/>
      <c r="D136" s="42"/>
      <c r="E136" s="42"/>
      <c r="F136" s="42"/>
      <c r="G136" s="42"/>
      <c r="H136" s="42"/>
    </row>
    <row r="137" spans="1:8" ht="16.5" customHeight="1">
      <c r="A137" s="42"/>
      <c r="B137" s="42"/>
      <c r="C137" s="42"/>
      <c r="D137" s="42"/>
      <c r="E137" s="42"/>
      <c r="F137" s="42"/>
      <c r="G137" s="42"/>
      <c r="H137" s="42"/>
    </row>
    <row r="138" spans="1:8" ht="16.5" customHeight="1">
      <c r="A138" s="42"/>
      <c r="B138" s="42"/>
      <c r="C138" s="42"/>
      <c r="D138" s="42"/>
      <c r="E138" s="42"/>
      <c r="F138" s="42"/>
      <c r="G138" s="42"/>
      <c r="H138" s="42"/>
    </row>
    <row r="139" spans="1:8" ht="16.5" customHeight="1">
      <c r="A139" s="42"/>
      <c r="B139" s="42"/>
      <c r="C139" s="42"/>
      <c r="D139" s="42"/>
      <c r="E139" s="42"/>
      <c r="F139" s="42"/>
      <c r="G139" s="42"/>
      <c r="H139" s="42"/>
    </row>
    <row r="140" spans="1:8" ht="16.5" customHeight="1">
      <c r="A140" s="42"/>
      <c r="B140" s="42"/>
      <c r="C140" s="42"/>
      <c r="D140" s="42"/>
      <c r="E140" s="42"/>
      <c r="F140" s="42"/>
      <c r="G140" s="42"/>
      <c r="H140" s="42"/>
    </row>
    <row r="141" spans="1:8" ht="16.5" customHeight="1">
      <c r="A141" s="42"/>
      <c r="B141" s="42"/>
      <c r="C141" s="42"/>
      <c r="D141" s="42"/>
      <c r="E141" s="42"/>
      <c r="F141" s="42"/>
      <c r="G141" s="42"/>
      <c r="H141" s="42"/>
    </row>
    <row r="142" spans="1:8" ht="16.5" customHeight="1">
      <c r="A142" s="42"/>
      <c r="B142" s="42"/>
      <c r="C142" s="42"/>
      <c r="D142" s="42"/>
      <c r="E142" s="42"/>
      <c r="F142" s="42"/>
      <c r="G142" s="42"/>
      <c r="H142" s="42"/>
    </row>
    <row r="143" spans="1:8" ht="16.5" customHeight="1">
      <c r="A143" s="42"/>
      <c r="B143" s="42"/>
      <c r="C143" s="42"/>
      <c r="D143" s="42"/>
      <c r="E143" s="42"/>
      <c r="F143" s="42"/>
      <c r="G143" s="42"/>
      <c r="H143" s="42"/>
    </row>
    <row r="144" spans="1:8" ht="16.5" customHeight="1">
      <c r="A144" s="42"/>
      <c r="B144" s="42"/>
      <c r="C144" s="42"/>
      <c r="D144" s="42"/>
      <c r="E144" s="42"/>
      <c r="F144" s="42"/>
      <c r="G144" s="42"/>
      <c r="H144" s="42"/>
    </row>
    <row r="145" spans="1:8" ht="16.5" customHeight="1">
      <c r="A145" s="42"/>
      <c r="B145" s="42"/>
      <c r="C145" s="42"/>
      <c r="D145" s="42"/>
      <c r="E145" s="42"/>
      <c r="F145" s="42"/>
      <c r="G145" s="42"/>
      <c r="H145" s="42"/>
    </row>
    <row r="146" spans="1:8" ht="16.5" customHeight="1">
      <c r="A146" s="42"/>
      <c r="B146" s="42"/>
      <c r="C146" s="42"/>
      <c r="D146" s="42"/>
      <c r="E146" s="42"/>
      <c r="F146" s="42"/>
      <c r="G146" s="42"/>
      <c r="H146" s="42"/>
    </row>
    <row r="147" spans="1:8" ht="16.5" customHeight="1">
      <c r="A147" s="42"/>
      <c r="B147" s="42"/>
      <c r="C147" s="42"/>
      <c r="D147" s="42"/>
      <c r="E147" s="42"/>
      <c r="F147" s="42"/>
      <c r="G147" s="42"/>
      <c r="H147" s="42"/>
    </row>
    <row r="148" spans="1:8" ht="16.5" customHeight="1">
      <c r="A148" s="42"/>
      <c r="B148" s="42"/>
      <c r="C148" s="42"/>
      <c r="D148" s="42"/>
      <c r="E148" s="42"/>
      <c r="F148" s="42"/>
      <c r="G148" s="42"/>
      <c r="H148" s="42"/>
    </row>
    <row r="149" spans="1:8" ht="16.5" customHeight="1">
      <c r="A149" s="42"/>
      <c r="B149" s="42"/>
      <c r="C149" s="42"/>
      <c r="D149" s="42"/>
      <c r="E149" s="42"/>
      <c r="F149" s="42"/>
      <c r="G149" s="42"/>
      <c r="H149" s="42"/>
    </row>
    <row r="150" spans="1:8" ht="16.5" customHeight="1">
      <c r="A150" s="42"/>
      <c r="B150" s="42"/>
      <c r="C150" s="42"/>
      <c r="D150" s="42"/>
      <c r="E150" s="42"/>
      <c r="F150" s="42"/>
      <c r="G150" s="42"/>
      <c r="H150" s="42"/>
    </row>
    <row r="151" spans="1:8" ht="16.5" customHeight="1">
      <c r="A151" s="42"/>
      <c r="B151" s="42"/>
      <c r="C151" s="42"/>
      <c r="D151" s="42"/>
      <c r="E151" s="42"/>
      <c r="F151" s="42"/>
      <c r="G151" s="42"/>
      <c r="H151" s="42"/>
    </row>
    <row r="152" spans="1:8" ht="16.5" customHeight="1">
      <c r="A152" s="42"/>
      <c r="B152" s="42"/>
      <c r="C152" s="42"/>
      <c r="D152" s="42"/>
      <c r="E152" s="42"/>
      <c r="F152" s="42"/>
      <c r="G152" s="42"/>
      <c r="H152" s="42"/>
    </row>
    <row r="153" spans="1:8" ht="16.5" customHeight="1">
      <c r="A153" s="42"/>
      <c r="B153" s="42"/>
      <c r="C153" s="42"/>
      <c r="D153" s="42"/>
      <c r="E153" s="42"/>
      <c r="F153" s="42"/>
      <c r="G153" s="42"/>
      <c r="H153" s="42"/>
    </row>
    <row r="154" spans="1:8" ht="16.5" customHeight="1">
      <c r="A154" s="42"/>
      <c r="B154" s="42"/>
      <c r="C154" s="42"/>
      <c r="D154" s="42"/>
      <c r="E154" s="42"/>
      <c r="F154" s="42"/>
      <c r="G154" s="42"/>
      <c r="H154" s="42"/>
    </row>
    <row r="155" spans="1:8" ht="16.5" customHeight="1">
      <c r="A155" s="42"/>
      <c r="B155" s="42"/>
      <c r="C155" s="42"/>
      <c r="D155" s="42"/>
      <c r="E155" s="42"/>
      <c r="F155" s="42"/>
      <c r="G155" s="42"/>
      <c r="H155" s="42"/>
    </row>
    <row r="156" spans="1:8" ht="16.5" customHeight="1">
      <c r="A156" s="42"/>
      <c r="B156" s="42"/>
      <c r="C156" s="42"/>
      <c r="D156" s="42"/>
      <c r="E156" s="42"/>
      <c r="F156" s="42"/>
      <c r="G156" s="42"/>
      <c r="H156" s="42"/>
    </row>
    <row r="157" spans="1:8" ht="16.5" customHeight="1">
      <c r="A157" s="42"/>
      <c r="B157" s="42"/>
      <c r="C157" s="42"/>
      <c r="D157" s="42"/>
      <c r="E157" s="42"/>
      <c r="F157" s="42"/>
      <c r="G157" s="42"/>
      <c r="H157" s="42"/>
    </row>
    <row r="158" spans="1:8" ht="16.5" customHeight="1">
      <c r="A158" s="42"/>
      <c r="B158" s="42"/>
      <c r="C158" s="42"/>
      <c r="D158" s="42"/>
      <c r="E158" s="42"/>
      <c r="F158" s="42"/>
      <c r="G158" s="42"/>
      <c r="H158" s="42"/>
    </row>
    <row r="159" spans="1:8" ht="16.5" customHeight="1">
      <c r="A159" s="42"/>
      <c r="B159" s="42"/>
      <c r="C159" s="42"/>
      <c r="D159" s="42"/>
      <c r="E159" s="42"/>
      <c r="F159" s="42"/>
      <c r="G159" s="42"/>
      <c r="H159" s="42"/>
    </row>
    <row r="160" spans="1:8" ht="16.5" customHeight="1">
      <c r="A160" s="42"/>
      <c r="B160" s="42"/>
      <c r="C160" s="42"/>
      <c r="D160" s="42"/>
      <c r="E160" s="42"/>
      <c r="F160" s="42"/>
      <c r="G160" s="42"/>
      <c r="H160" s="42"/>
    </row>
    <row r="161" spans="1:8" ht="16.5" customHeight="1">
      <c r="A161" s="42"/>
      <c r="B161" s="42"/>
      <c r="C161" s="42"/>
      <c r="D161" s="42"/>
      <c r="E161" s="42"/>
      <c r="F161" s="42"/>
      <c r="G161" s="42"/>
      <c r="H161" s="42"/>
    </row>
    <row r="162" spans="1:8" ht="16.5" customHeight="1">
      <c r="A162" s="42"/>
      <c r="B162" s="42"/>
      <c r="C162" s="42"/>
      <c r="D162" s="42"/>
      <c r="E162" s="42"/>
      <c r="F162" s="42"/>
      <c r="G162" s="42"/>
      <c r="H162" s="42"/>
    </row>
    <row r="163" spans="1:8" ht="16.5" customHeight="1">
      <c r="A163" s="42"/>
      <c r="B163" s="42"/>
      <c r="C163" s="42"/>
      <c r="D163" s="42"/>
      <c r="E163" s="42"/>
      <c r="F163" s="42"/>
      <c r="G163" s="42"/>
      <c r="H163" s="42"/>
    </row>
    <row r="164" spans="1:8" ht="16.5" customHeight="1">
      <c r="A164" s="42"/>
      <c r="B164" s="42"/>
      <c r="C164" s="42"/>
      <c r="D164" s="42"/>
      <c r="E164" s="42"/>
      <c r="F164" s="42"/>
      <c r="G164" s="42"/>
      <c r="H164" s="42"/>
    </row>
    <row r="165" spans="1:8" ht="16.5" customHeight="1">
      <c r="A165" s="42"/>
      <c r="B165" s="42"/>
      <c r="C165" s="42"/>
      <c r="D165" s="42"/>
      <c r="E165" s="42"/>
      <c r="F165" s="42"/>
      <c r="G165" s="42"/>
      <c r="H165" s="42"/>
    </row>
    <row r="166" spans="1:8" ht="16.5" customHeight="1">
      <c r="A166" s="42"/>
      <c r="B166" s="42"/>
      <c r="C166" s="42"/>
      <c r="D166" s="42"/>
      <c r="E166" s="42"/>
      <c r="F166" s="42"/>
      <c r="G166" s="42"/>
      <c r="H166" s="42"/>
    </row>
    <row r="167" spans="1:8" ht="16.5" customHeight="1">
      <c r="A167" s="42"/>
      <c r="B167" s="42"/>
      <c r="C167" s="42"/>
      <c r="D167" s="42"/>
      <c r="E167" s="42"/>
      <c r="F167" s="42"/>
      <c r="G167" s="42"/>
      <c r="H167" s="42"/>
    </row>
    <row r="168" spans="1:8" ht="16.5" customHeight="1">
      <c r="A168" s="42"/>
      <c r="B168" s="42"/>
      <c r="C168" s="42"/>
      <c r="D168" s="42"/>
      <c r="E168" s="42"/>
      <c r="F168" s="42"/>
      <c r="G168" s="42"/>
      <c r="H168" s="42"/>
    </row>
    <row r="169" spans="1:8" ht="16.5" customHeight="1">
      <c r="A169" s="42"/>
      <c r="B169" s="42"/>
      <c r="C169" s="42"/>
      <c r="D169" s="42"/>
      <c r="E169" s="42"/>
      <c r="F169" s="42"/>
      <c r="G169" s="42"/>
      <c r="H169" s="42"/>
    </row>
    <row r="170" spans="1:8" ht="16.5" customHeight="1">
      <c r="A170" s="42"/>
      <c r="B170" s="42"/>
      <c r="C170" s="42"/>
      <c r="D170" s="42"/>
      <c r="E170" s="42"/>
      <c r="F170" s="42"/>
      <c r="G170" s="42"/>
      <c r="H170" s="42"/>
    </row>
    <row r="171" spans="1:8" ht="16.5" customHeight="1">
      <c r="A171" s="42"/>
      <c r="B171" s="42"/>
      <c r="C171" s="42"/>
      <c r="D171" s="42"/>
      <c r="E171" s="42"/>
      <c r="F171" s="42"/>
      <c r="G171" s="42"/>
      <c r="H171" s="42"/>
    </row>
    <row r="172" spans="1:8" ht="16.5" customHeight="1">
      <c r="A172" s="42"/>
      <c r="B172" s="42"/>
      <c r="C172" s="42"/>
      <c r="D172" s="42"/>
      <c r="E172" s="42"/>
      <c r="F172" s="42"/>
      <c r="G172" s="42"/>
      <c r="H172" s="42"/>
    </row>
    <row r="173" spans="1:8" ht="16.5" customHeight="1">
      <c r="A173" s="42"/>
      <c r="B173" s="42"/>
      <c r="C173" s="42"/>
      <c r="D173" s="42"/>
      <c r="E173" s="42"/>
      <c r="F173" s="42"/>
      <c r="G173" s="42"/>
      <c r="H173" s="42"/>
    </row>
    <row r="174" spans="1:8" ht="16.5" customHeight="1">
      <c r="A174" s="42"/>
      <c r="B174" s="42"/>
      <c r="C174" s="42"/>
      <c r="D174" s="42"/>
      <c r="E174" s="42"/>
      <c r="F174" s="42"/>
      <c r="G174" s="42"/>
      <c r="H174" s="42"/>
    </row>
    <row r="175" spans="1:8" ht="16.5" customHeight="1">
      <c r="A175" s="42"/>
      <c r="B175" s="42"/>
      <c r="C175" s="42"/>
      <c r="D175" s="42"/>
      <c r="E175" s="42"/>
      <c r="F175" s="42"/>
      <c r="G175" s="42"/>
      <c r="H175" s="42"/>
    </row>
    <row r="176" spans="1:8" ht="16.5" customHeight="1">
      <c r="A176" s="42"/>
      <c r="B176" s="42"/>
      <c r="C176" s="42"/>
      <c r="D176" s="42"/>
      <c r="E176" s="42"/>
      <c r="F176" s="42"/>
      <c r="G176" s="42"/>
      <c r="H176" s="42"/>
    </row>
    <row r="177" spans="1:8" ht="16.5" customHeight="1">
      <c r="A177" s="42"/>
      <c r="B177" s="42"/>
      <c r="C177" s="42"/>
      <c r="D177" s="42"/>
      <c r="E177" s="42"/>
      <c r="F177" s="42"/>
      <c r="G177" s="42"/>
      <c r="H177" s="42"/>
    </row>
    <row r="178" spans="1:8" ht="16.5" customHeight="1">
      <c r="A178" s="42"/>
      <c r="B178" s="42"/>
      <c r="C178" s="42"/>
      <c r="D178" s="42"/>
      <c r="E178" s="42"/>
      <c r="F178" s="42"/>
      <c r="G178" s="42"/>
      <c r="H178" s="42"/>
    </row>
    <row r="179" spans="1:8" ht="16.5" customHeight="1">
      <c r="A179" s="42"/>
      <c r="B179" s="42"/>
      <c r="C179" s="42"/>
      <c r="D179" s="42"/>
      <c r="E179" s="42"/>
      <c r="F179" s="42"/>
      <c r="G179" s="42"/>
      <c r="H179" s="42"/>
    </row>
    <row r="180" spans="1:8" ht="16.5" customHeight="1">
      <c r="A180" s="42"/>
      <c r="B180" s="42"/>
      <c r="C180" s="42"/>
      <c r="D180" s="42"/>
      <c r="E180" s="42"/>
      <c r="F180" s="42"/>
      <c r="G180" s="42"/>
      <c r="H180" s="42"/>
    </row>
    <row r="181" spans="1:8" ht="16.5" customHeight="1">
      <c r="A181" s="42"/>
      <c r="B181" s="42"/>
      <c r="C181" s="42"/>
      <c r="D181" s="42"/>
      <c r="E181" s="42"/>
      <c r="F181" s="42"/>
      <c r="G181" s="42"/>
      <c r="H181" s="42"/>
    </row>
    <row r="182" spans="1:8" ht="16.5" customHeight="1">
      <c r="A182" s="42"/>
      <c r="B182" s="42"/>
      <c r="C182" s="42"/>
      <c r="D182" s="42"/>
      <c r="E182" s="42"/>
      <c r="F182" s="42"/>
      <c r="G182" s="42"/>
      <c r="H182" s="42"/>
    </row>
    <row r="183" spans="1:8" ht="16.5" customHeight="1">
      <c r="A183" s="42"/>
      <c r="B183" s="42"/>
      <c r="C183" s="42"/>
      <c r="D183" s="42"/>
      <c r="E183" s="42"/>
      <c r="F183" s="42"/>
      <c r="G183" s="42"/>
      <c r="H183" s="42"/>
    </row>
    <row r="184" spans="1:8" ht="16.5" customHeight="1">
      <c r="A184" s="42"/>
      <c r="B184" s="42"/>
      <c r="C184" s="42"/>
      <c r="D184" s="42"/>
      <c r="E184" s="42"/>
      <c r="F184" s="42"/>
      <c r="G184" s="42"/>
      <c r="H184" s="42"/>
    </row>
    <row r="185" spans="1:8" ht="16.5" customHeight="1">
      <c r="A185" s="42"/>
      <c r="B185" s="42"/>
      <c r="C185" s="42"/>
      <c r="D185" s="42"/>
      <c r="E185" s="42"/>
      <c r="F185" s="42"/>
      <c r="G185" s="42"/>
      <c r="H185" s="42"/>
    </row>
    <row r="186" spans="1:8" ht="16.5" customHeight="1">
      <c r="A186" s="42"/>
      <c r="B186" s="42"/>
      <c r="C186" s="42"/>
      <c r="D186" s="42"/>
      <c r="E186" s="42"/>
      <c r="F186" s="42"/>
      <c r="G186" s="42"/>
      <c r="H186" s="42"/>
    </row>
    <row r="187" spans="1:8" ht="16.5" customHeight="1">
      <c r="A187" s="42"/>
      <c r="B187" s="42"/>
      <c r="C187" s="42"/>
      <c r="D187" s="42"/>
      <c r="E187" s="42"/>
      <c r="F187" s="42"/>
      <c r="G187" s="42"/>
      <c r="H187" s="42"/>
    </row>
    <row r="188" spans="1:8" ht="16.5" customHeight="1">
      <c r="A188" s="42"/>
      <c r="B188" s="42"/>
      <c r="C188" s="42"/>
      <c r="D188" s="42"/>
      <c r="E188" s="42"/>
      <c r="F188" s="42"/>
      <c r="G188" s="42"/>
      <c r="H188" s="42"/>
    </row>
    <row r="189" spans="1:8" ht="16.5" customHeight="1">
      <c r="A189" s="42"/>
      <c r="B189" s="42"/>
      <c r="C189" s="42"/>
      <c r="D189" s="42"/>
      <c r="E189" s="42"/>
      <c r="F189" s="42"/>
      <c r="G189" s="42"/>
      <c r="H189" s="42"/>
    </row>
    <row r="190" spans="1:8" ht="16.5" customHeight="1">
      <c r="A190" s="42"/>
      <c r="B190" s="42"/>
      <c r="C190" s="42"/>
      <c r="D190" s="42"/>
      <c r="E190" s="42"/>
      <c r="F190" s="42"/>
      <c r="G190" s="42"/>
      <c r="H190" s="42"/>
    </row>
    <row r="191" spans="1:8" ht="16.5" customHeight="1">
      <c r="A191" s="42"/>
      <c r="B191" s="42"/>
      <c r="C191" s="42"/>
      <c r="D191" s="42"/>
      <c r="E191" s="42"/>
      <c r="F191" s="42"/>
      <c r="G191" s="42"/>
      <c r="H191" s="42"/>
    </row>
    <row r="192" spans="1:8" ht="16.5" customHeight="1">
      <c r="A192" s="42"/>
      <c r="B192" s="42"/>
      <c r="C192" s="42"/>
      <c r="D192" s="42"/>
      <c r="E192" s="42"/>
      <c r="F192" s="42"/>
      <c r="G192" s="42"/>
      <c r="H192" s="42"/>
    </row>
    <row r="193" spans="1:8" ht="16.5" customHeight="1">
      <c r="A193" s="42"/>
      <c r="B193" s="42"/>
      <c r="C193" s="42"/>
      <c r="D193" s="42"/>
      <c r="E193" s="42"/>
      <c r="F193" s="42"/>
      <c r="G193" s="42"/>
      <c r="H193" s="42"/>
    </row>
    <row r="194" spans="1:8" ht="16.5" customHeight="1">
      <c r="A194" s="42"/>
      <c r="B194" s="42"/>
      <c r="C194" s="42"/>
      <c r="D194" s="42"/>
      <c r="E194" s="42"/>
      <c r="F194" s="42"/>
      <c r="G194" s="42"/>
      <c r="H194" s="42"/>
    </row>
    <row r="195" spans="1:8" ht="16.5" customHeight="1">
      <c r="A195" s="42"/>
      <c r="B195" s="42"/>
      <c r="C195" s="42"/>
      <c r="D195" s="42"/>
      <c r="E195" s="42"/>
      <c r="F195" s="42"/>
      <c r="G195" s="42"/>
      <c r="H195" s="42"/>
    </row>
    <row r="196" spans="1:8" ht="16.5" customHeight="1">
      <c r="A196" s="42"/>
      <c r="B196" s="42"/>
      <c r="C196" s="42"/>
      <c r="D196" s="42"/>
      <c r="E196" s="42"/>
      <c r="F196" s="42"/>
      <c r="G196" s="42"/>
      <c r="H196" s="42"/>
    </row>
    <row r="197" spans="1:8" ht="16.5" customHeight="1">
      <c r="A197" s="42"/>
      <c r="B197" s="42"/>
      <c r="C197" s="42"/>
      <c r="D197" s="42"/>
      <c r="E197" s="42"/>
      <c r="F197" s="42"/>
      <c r="G197" s="42"/>
      <c r="H197" s="42"/>
    </row>
    <row r="198" spans="1:8" ht="16.5" customHeight="1">
      <c r="A198" s="42"/>
      <c r="B198" s="42"/>
      <c r="C198" s="42"/>
      <c r="D198" s="42"/>
      <c r="E198" s="42"/>
      <c r="F198" s="42"/>
      <c r="G198" s="42"/>
      <c r="H198" s="42"/>
    </row>
    <row r="199" spans="1:8" ht="16.5" customHeight="1">
      <c r="A199" s="42"/>
      <c r="B199" s="42"/>
      <c r="C199" s="42"/>
      <c r="D199" s="42"/>
      <c r="E199" s="42"/>
      <c r="F199" s="42"/>
      <c r="G199" s="42"/>
      <c r="H199" s="42"/>
    </row>
    <row r="200" spans="1:8" ht="16.5" customHeight="1">
      <c r="A200" s="42"/>
      <c r="B200" s="42"/>
      <c r="C200" s="42"/>
      <c r="D200" s="42"/>
      <c r="E200" s="42"/>
      <c r="F200" s="42"/>
      <c r="G200" s="42"/>
      <c r="H200" s="42"/>
    </row>
    <row r="201" spans="1:8" ht="16.5" customHeight="1">
      <c r="A201" s="42"/>
      <c r="B201" s="42"/>
      <c r="C201" s="42"/>
      <c r="D201" s="42"/>
      <c r="E201" s="42"/>
      <c r="F201" s="42"/>
      <c r="G201" s="42"/>
      <c r="H201" s="42"/>
    </row>
    <row r="202" spans="1:8" ht="16.5" customHeight="1">
      <c r="A202" s="42"/>
      <c r="B202" s="42"/>
      <c r="C202" s="42"/>
      <c r="D202" s="42"/>
      <c r="E202" s="42"/>
      <c r="F202" s="42"/>
      <c r="G202" s="42"/>
      <c r="H202" s="42"/>
    </row>
    <row r="203" spans="1:8" ht="16.5" customHeight="1">
      <c r="A203" s="42"/>
      <c r="B203" s="42"/>
      <c r="C203" s="42"/>
      <c r="D203" s="42"/>
      <c r="E203" s="42"/>
      <c r="F203" s="42"/>
      <c r="G203" s="42"/>
      <c r="H203" s="42"/>
    </row>
    <row r="204" spans="1:8" ht="16.5" customHeight="1">
      <c r="A204" s="42"/>
      <c r="B204" s="42"/>
      <c r="C204" s="42"/>
      <c r="D204" s="42"/>
      <c r="E204" s="42"/>
      <c r="F204" s="42"/>
      <c r="G204" s="42"/>
      <c r="H204" s="42"/>
    </row>
    <row r="205" spans="1:8" ht="16.5" customHeight="1">
      <c r="A205" s="42"/>
      <c r="B205" s="42"/>
      <c r="C205" s="42"/>
      <c r="D205" s="42"/>
      <c r="E205" s="42"/>
      <c r="F205" s="42"/>
      <c r="G205" s="42"/>
      <c r="H205" s="42"/>
    </row>
    <row r="206" spans="1:8" ht="16.5" customHeight="1">
      <c r="A206" s="42"/>
      <c r="B206" s="42"/>
      <c r="C206" s="42"/>
      <c r="D206" s="42"/>
      <c r="E206" s="42"/>
      <c r="F206" s="42"/>
      <c r="G206" s="42"/>
      <c r="H206" s="42"/>
    </row>
    <row r="207" spans="1:8" ht="16.5" customHeight="1">
      <c r="A207" s="42"/>
      <c r="B207" s="42"/>
      <c r="C207" s="42"/>
      <c r="D207" s="42"/>
      <c r="E207" s="42"/>
      <c r="F207" s="42"/>
      <c r="G207" s="42"/>
      <c r="H207" s="42"/>
    </row>
    <row r="208" spans="1:8" ht="16.5" customHeight="1">
      <c r="A208" s="42"/>
      <c r="B208" s="42"/>
      <c r="C208" s="42"/>
      <c r="D208" s="42"/>
      <c r="E208" s="42"/>
      <c r="F208" s="42"/>
      <c r="G208" s="42"/>
      <c r="H208" s="42"/>
    </row>
    <row r="209" spans="1:8" ht="16.5" customHeight="1">
      <c r="A209" s="42"/>
      <c r="B209" s="42"/>
      <c r="C209" s="42"/>
      <c r="D209" s="42"/>
      <c r="E209" s="42"/>
      <c r="F209" s="42"/>
      <c r="G209" s="42"/>
      <c r="H209" s="42"/>
    </row>
    <row r="210" spans="1:8" ht="16.5" customHeight="1">
      <c r="A210" s="42"/>
      <c r="B210" s="42"/>
      <c r="C210" s="42"/>
      <c r="D210" s="42"/>
      <c r="E210" s="42"/>
      <c r="F210" s="42"/>
      <c r="G210" s="42"/>
      <c r="H210" s="42"/>
    </row>
    <row r="211" spans="1:8" ht="16.5" customHeight="1">
      <c r="A211" s="42"/>
      <c r="B211" s="42"/>
      <c r="C211" s="42"/>
      <c r="D211" s="42"/>
      <c r="E211" s="42"/>
      <c r="F211" s="42"/>
      <c r="G211" s="42"/>
      <c r="H211" s="42"/>
    </row>
    <row r="212" spans="1:8" ht="16.5" customHeight="1">
      <c r="A212" s="42"/>
      <c r="B212" s="42"/>
      <c r="C212" s="42"/>
      <c r="D212" s="42"/>
      <c r="E212" s="42"/>
      <c r="F212" s="42"/>
      <c r="G212" s="42"/>
      <c r="H212" s="42"/>
    </row>
    <row r="213" spans="1:8" ht="16.5" customHeight="1">
      <c r="A213" s="42"/>
      <c r="B213" s="42"/>
      <c r="C213" s="42"/>
      <c r="D213" s="42"/>
      <c r="E213" s="42"/>
      <c r="F213" s="42"/>
      <c r="G213" s="42"/>
      <c r="H213" s="42"/>
    </row>
    <row r="214" spans="1:8" ht="16.5" customHeight="1">
      <c r="A214" s="42"/>
      <c r="B214" s="42"/>
      <c r="C214" s="42"/>
      <c r="D214" s="42"/>
      <c r="E214" s="42"/>
      <c r="F214" s="42"/>
      <c r="G214" s="42"/>
      <c r="H214" s="42"/>
    </row>
    <row r="215" spans="1:8" ht="16.5" customHeight="1">
      <c r="A215" s="42"/>
      <c r="B215" s="42"/>
      <c r="C215" s="42"/>
      <c r="D215" s="42"/>
      <c r="E215" s="42"/>
      <c r="F215" s="42"/>
      <c r="G215" s="42"/>
      <c r="H215" s="42"/>
    </row>
    <row r="216" spans="1:8" ht="16.5" customHeight="1">
      <c r="A216" s="42"/>
      <c r="B216" s="42"/>
      <c r="C216" s="42"/>
      <c r="D216" s="42"/>
      <c r="E216" s="42"/>
      <c r="F216" s="42"/>
      <c r="G216" s="42"/>
      <c r="H216" s="42"/>
    </row>
    <row r="217" spans="1:8" ht="16.5" customHeight="1">
      <c r="A217" s="42"/>
      <c r="B217" s="42"/>
      <c r="C217" s="42"/>
      <c r="D217" s="42"/>
      <c r="E217" s="42"/>
      <c r="F217" s="42"/>
      <c r="G217" s="42"/>
      <c r="H217" s="42"/>
    </row>
    <row r="218" spans="1:8" ht="16.5" customHeight="1">
      <c r="A218" s="42"/>
      <c r="B218" s="42"/>
      <c r="C218" s="42"/>
      <c r="D218" s="42"/>
      <c r="E218" s="42"/>
      <c r="F218" s="42"/>
      <c r="G218" s="42"/>
      <c r="H218" s="42"/>
    </row>
    <row r="219" spans="1:8" ht="16.5" customHeight="1">
      <c r="A219" s="42"/>
      <c r="B219" s="42"/>
      <c r="C219" s="42"/>
      <c r="D219" s="42"/>
      <c r="E219" s="42"/>
      <c r="F219" s="42"/>
      <c r="G219" s="42"/>
      <c r="H219" s="42"/>
    </row>
    <row r="220" spans="1:8" ht="16.5" customHeight="1">
      <c r="A220" s="42"/>
      <c r="B220" s="42"/>
      <c r="C220" s="42"/>
      <c r="D220" s="42"/>
      <c r="E220" s="42"/>
      <c r="F220" s="42"/>
      <c r="G220" s="42"/>
      <c r="H220" s="42"/>
    </row>
    <row r="221" spans="1:8" ht="16.5" customHeight="1">
      <c r="A221" s="42"/>
      <c r="B221" s="42"/>
      <c r="C221" s="42"/>
      <c r="D221" s="42"/>
      <c r="E221" s="42"/>
      <c r="F221" s="42"/>
      <c r="G221" s="42"/>
      <c r="H221" s="42"/>
    </row>
    <row r="222" spans="1:8" ht="16.5" customHeight="1">
      <c r="A222" s="42"/>
      <c r="B222" s="42"/>
      <c r="C222" s="42"/>
      <c r="D222" s="42"/>
      <c r="E222" s="42"/>
      <c r="F222" s="42"/>
      <c r="G222" s="42"/>
      <c r="H222" s="42"/>
    </row>
    <row r="223" spans="1:8" ht="16.5" customHeight="1">
      <c r="A223" s="42"/>
      <c r="B223" s="42"/>
      <c r="C223" s="42"/>
      <c r="D223" s="42"/>
      <c r="E223" s="42"/>
      <c r="F223" s="42"/>
      <c r="G223" s="42"/>
      <c r="H223" s="42"/>
    </row>
    <row r="224" spans="1:8" ht="16.5" customHeight="1">
      <c r="A224" s="42"/>
      <c r="B224" s="42"/>
      <c r="C224" s="42"/>
      <c r="D224" s="42"/>
      <c r="E224" s="42"/>
      <c r="F224" s="42"/>
      <c r="G224" s="42"/>
      <c r="H224" s="42"/>
    </row>
    <row r="225" spans="1:8" ht="16.5" customHeight="1">
      <c r="A225" s="42"/>
      <c r="B225" s="42"/>
      <c r="C225" s="42"/>
      <c r="D225" s="42"/>
      <c r="E225" s="42"/>
      <c r="F225" s="42"/>
      <c r="G225" s="42"/>
      <c r="H225" s="42"/>
    </row>
    <row r="226" spans="1:8" ht="16.5" customHeight="1">
      <c r="A226" s="42"/>
      <c r="B226" s="42"/>
      <c r="C226" s="42"/>
      <c r="D226" s="42"/>
      <c r="E226" s="42"/>
      <c r="F226" s="42"/>
      <c r="G226" s="42"/>
      <c r="H226" s="42"/>
    </row>
    <row r="227" spans="1:8" ht="16.5" customHeight="1">
      <c r="A227" s="42"/>
      <c r="B227" s="42"/>
      <c r="C227" s="42"/>
      <c r="D227" s="42"/>
      <c r="E227" s="42"/>
      <c r="F227" s="42"/>
      <c r="G227" s="42"/>
      <c r="H227" s="42"/>
    </row>
    <row r="228" spans="1:8" ht="16.5" customHeight="1">
      <c r="A228" s="42"/>
      <c r="B228" s="42"/>
      <c r="C228" s="42"/>
      <c r="D228" s="42"/>
      <c r="E228" s="42"/>
      <c r="F228" s="42"/>
      <c r="G228" s="42"/>
      <c r="H228" s="42"/>
    </row>
    <row r="229" spans="1:8" ht="16.5" customHeight="1">
      <c r="A229" s="42"/>
      <c r="B229" s="42"/>
      <c r="C229" s="42"/>
      <c r="D229" s="42"/>
      <c r="E229" s="42"/>
      <c r="F229" s="42"/>
      <c r="G229" s="42"/>
      <c r="H229" s="42"/>
    </row>
    <row r="230" spans="1:8" ht="16.5" customHeight="1">
      <c r="A230" s="42"/>
      <c r="B230" s="42"/>
      <c r="C230" s="42"/>
      <c r="D230" s="42"/>
      <c r="E230" s="42"/>
      <c r="F230" s="42"/>
      <c r="G230" s="42"/>
      <c r="H230" s="42"/>
    </row>
    <row r="231" spans="1:8" ht="16.5" customHeight="1">
      <c r="A231" s="42"/>
      <c r="B231" s="42"/>
      <c r="C231" s="42"/>
      <c r="D231" s="42"/>
      <c r="E231" s="42"/>
      <c r="F231" s="42"/>
      <c r="G231" s="42"/>
      <c r="H231" s="42"/>
    </row>
    <row r="232" spans="1:8" ht="16.5" customHeight="1">
      <c r="A232" s="42"/>
      <c r="B232" s="42"/>
      <c r="C232" s="42"/>
      <c r="D232" s="42"/>
      <c r="E232" s="42"/>
      <c r="F232" s="42"/>
      <c r="G232" s="42"/>
      <c r="H232" s="42"/>
    </row>
    <row r="233" spans="1:8" ht="16.5" customHeight="1">
      <c r="A233" s="42"/>
      <c r="B233" s="42"/>
      <c r="C233" s="42"/>
      <c r="D233" s="42"/>
      <c r="E233" s="42"/>
      <c r="F233" s="42"/>
      <c r="G233" s="42"/>
      <c r="H233" s="42"/>
    </row>
    <row r="234" spans="1:8" ht="16.5" customHeight="1">
      <c r="A234" s="42"/>
      <c r="B234" s="42"/>
      <c r="C234" s="42"/>
      <c r="D234" s="42"/>
      <c r="E234" s="42"/>
      <c r="F234" s="42"/>
      <c r="G234" s="42"/>
      <c r="H234" s="42"/>
    </row>
    <row r="235" spans="1:8" ht="16.5" customHeight="1">
      <c r="A235" s="42"/>
      <c r="B235" s="42"/>
      <c r="C235" s="42"/>
      <c r="D235" s="42"/>
      <c r="E235" s="42"/>
      <c r="F235" s="42"/>
      <c r="G235" s="42"/>
      <c r="H235" s="42"/>
    </row>
    <row r="236" spans="1:8" ht="16.5" customHeight="1">
      <c r="A236" s="42"/>
      <c r="B236" s="42"/>
      <c r="C236" s="42"/>
      <c r="D236" s="42"/>
      <c r="E236" s="42"/>
      <c r="F236" s="42"/>
      <c r="G236" s="42"/>
      <c r="H236" s="42"/>
    </row>
    <row r="237" spans="1:8" ht="16.5" customHeight="1">
      <c r="A237" s="42"/>
      <c r="B237" s="42"/>
      <c r="C237" s="42"/>
      <c r="D237" s="42"/>
      <c r="E237" s="42"/>
      <c r="F237" s="42"/>
      <c r="G237" s="42"/>
      <c r="H237" s="42"/>
    </row>
    <row r="238" spans="1:8" ht="16.5" customHeight="1">
      <c r="A238" s="42"/>
      <c r="B238" s="42"/>
      <c r="C238" s="42"/>
      <c r="D238" s="42"/>
      <c r="E238" s="42"/>
      <c r="F238" s="42"/>
      <c r="G238" s="42"/>
      <c r="H238" s="42"/>
    </row>
    <row r="239" spans="1:8" ht="16.5" customHeight="1">
      <c r="A239" s="42"/>
      <c r="B239" s="42"/>
      <c r="C239" s="42"/>
      <c r="D239" s="42"/>
      <c r="E239" s="42"/>
      <c r="F239" s="42"/>
      <c r="G239" s="42"/>
      <c r="H239" s="42"/>
    </row>
    <row r="240" spans="1:8" ht="16.5" customHeight="1">
      <c r="A240" s="42"/>
      <c r="B240" s="42"/>
      <c r="C240" s="42"/>
      <c r="D240" s="42"/>
      <c r="E240" s="42"/>
      <c r="F240" s="42"/>
      <c r="G240" s="42"/>
      <c r="H240" s="42"/>
    </row>
    <row r="241" spans="1:8" ht="16.5" customHeight="1">
      <c r="A241" s="42"/>
      <c r="B241" s="42"/>
      <c r="C241" s="42"/>
      <c r="D241" s="42"/>
      <c r="E241" s="42"/>
      <c r="F241" s="42"/>
      <c r="G241" s="42"/>
      <c r="H241" s="42"/>
    </row>
    <row r="242" spans="1:8" ht="16.5" customHeight="1">
      <c r="A242" s="42"/>
      <c r="B242" s="42"/>
      <c r="C242" s="42"/>
      <c r="D242" s="42"/>
      <c r="E242" s="42"/>
      <c r="F242" s="42"/>
      <c r="G242" s="42"/>
      <c r="H242" s="42"/>
    </row>
    <row r="243" spans="1:8" ht="16.5" customHeight="1">
      <c r="A243" s="42"/>
      <c r="B243" s="42"/>
      <c r="C243" s="42"/>
      <c r="D243" s="42"/>
      <c r="E243" s="42"/>
      <c r="F243" s="42"/>
      <c r="G243" s="42"/>
      <c r="H243" s="42"/>
    </row>
    <row r="244" spans="1:8" ht="16.5" customHeight="1">
      <c r="A244" s="42"/>
      <c r="B244" s="42"/>
      <c r="C244" s="42"/>
      <c r="D244" s="42"/>
      <c r="E244" s="42"/>
      <c r="F244" s="42"/>
      <c r="G244" s="42"/>
      <c r="H244" s="42"/>
    </row>
    <row r="245" spans="1:8" ht="16.5" customHeight="1">
      <c r="A245" s="42"/>
      <c r="B245" s="42"/>
      <c r="C245" s="42"/>
      <c r="D245" s="42"/>
      <c r="E245" s="42"/>
      <c r="F245" s="42"/>
      <c r="G245" s="42"/>
      <c r="H245" s="42"/>
    </row>
    <row r="246" spans="1:8" ht="16.5" customHeight="1">
      <c r="A246" s="42"/>
      <c r="B246" s="42"/>
      <c r="C246" s="42"/>
      <c r="D246" s="42"/>
      <c r="E246" s="42"/>
      <c r="F246" s="42"/>
      <c r="G246" s="42"/>
      <c r="H246" s="42"/>
    </row>
    <row r="247" spans="1:8" ht="16.5" customHeight="1">
      <c r="A247" s="42"/>
      <c r="B247" s="42"/>
      <c r="C247" s="42"/>
      <c r="D247" s="42"/>
      <c r="E247" s="42"/>
      <c r="F247" s="42"/>
      <c r="G247" s="42"/>
      <c r="H247" s="42"/>
    </row>
    <row r="248" spans="1:8" ht="16.5" customHeight="1">
      <c r="A248" s="42"/>
      <c r="B248" s="42"/>
      <c r="C248" s="42"/>
      <c r="D248" s="42"/>
      <c r="E248" s="42"/>
      <c r="F248" s="42"/>
      <c r="G248" s="42"/>
      <c r="H248" s="42"/>
    </row>
    <row r="249" spans="1:8" ht="16.5" customHeight="1">
      <c r="A249" s="42"/>
      <c r="B249" s="42"/>
      <c r="C249" s="42"/>
      <c r="D249" s="42"/>
      <c r="E249" s="42"/>
      <c r="F249" s="42"/>
      <c r="G249" s="42"/>
      <c r="H249" s="42"/>
    </row>
    <row r="250" spans="1:8" ht="16.5" customHeight="1">
      <c r="A250" s="42"/>
      <c r="B250" s="42"/>
      <c r="C250" s="42"/>
      <c r="D250" s="42"/>
      <c r="E250" s="42"/>
      <c r="F250" s="42"/>
      <c r="G250" s="42"/>
      <c r="H250" s="42"/>
    </row>
    <row r="251" spans="1:8" ht="16.5" customHeight="1">
      <c r="A251" s="42"/>
      <c r="B251" s="42"/>
      <c r="C251" s="42"/>
      <c r="D251" s="42"/>
      <c r="E251" s="42"/>
      <c r="F251" s="42"/>
      <c r="G251" s="42"/>
      <c r="H251" s="42"/>
    </row>
    <row r="252" spans="1:8" ht="16.5" customHeight="1">
      <c r="A252" s="42"/>
      <c r="B252" s="42"/>
      <c r="C252" s="42"/>
      <c r="D252" s="42"/>
      <c r="E252" s="42"/>
      <c r="F252" s="42"/>
      <c r="G252" s="42"/>
      <c r="H252" s="42"/>
    </row>
    <row r="253" spans="1:8" ht="16.5" customHeight="1">
      <c r="A253" s="42"/>
      <c r="B253" s="42"/>
      <c r="C253" s="42"/>
      <c r="D253" s="42"/>
      <c r="E253" s="42"/>
      <c r="F253" s="42"/>
      <c r="G253" s="42"/>
      <c r="H253" s="42"/>
    </row>
    <row r="254" spans="1:8" ht="16.5" customHeight="1">
      <c r="A254" s="42"/>
      <c r="B254" s="42"/>
      <c r="C254" s="42"/>
      <c r="D254" s="42"/>
      <c r="E254" s="42"/>
      <c r="F254" s="42"/>
      <c r="G254" s="42"/>
      <c r="H254" s="42"/>
    </row>
    <row r="255" spans="1:8" ht="16.5" customHeight="1">
      <c r="A255" s="42"/>
      <c r="B255" s="42"/>
      <c r="C255" s="42"/>
      <c r="D255" s="42"/>
      <c r="E255" s="42"/>
      <c r="F255" s="42"/>
      <c r="G255" s="42"/>
      <c r="H255" s="42"/>
    </row>
    <row r="256" spans="1:8" ht="16.5" customHeight="1">
      <c r="A256" s="42"/>
      <c r="B256" s="42"/>
      <c r="C256" s="42"/>
      <c r="D256" s="42"/>
      <c r="E256" s="42"/>
      <c r="F256" s="42"/>
      <c r="G256" s="42"/>
      <c r="H256" s="42"/>
    </row>
    <row r="257" spans="1:8" ht="16.5" customHeight="1">
      <c r="A257" s="42"/>
      <c r="B257" s="42"/>
      <c r="C257" s="42"/>
      <c r="D257" s="42"/>
      <c r="E257" s="42"/>
      <c r="F257" s="42"/>
      <c r="G257" s="42"/>
      <c r="H257" s="42"/>
    </row>
    <row r="258" spans="1:8" ht="16.5" customHeight="1">
      <c r="A258" s="42"/>
      <c r="B258" s="42"/>
      <c r="C258" s="42"/>
      <c r="D258" s="42"/>
      <c r="E258" s="42"/>
      <c r="F258" s="42"/>
      <c r="G258" s="42"/>
      <c r="H258" s="42"/>
    </row>
    <row r="259" spans="1:8" ht="16.5" customHeight="1">
      <c r="A259" s="42"/>
      <c r="B259" s="42"/>
      <c r="C259" s="42"/>
      <c r="D259" s="42"/>
      <c r="E259" s="42"/>
      <c r="F259" s="42"/>
      <c r="G259" s="42"/>
      <c r="H259" s="42"/>
    </row>
    <row r="260" spans="1:8" ht="16.5" customHeight="1">
      <c r="A260" s="42"/>
      <c r="B260" s="42"/>
      <c r="C260" s="42"/>
      <c r="D260" s="42"/>
      <c r="E260" s="42"/>
      <c r="F260" s="42"/>
      <c r="G260" s="42"/>
      <c r="H260" s="42"/>
    </row>
    <row r="261" spans="1:8" ht="16.5" customHeight="1">
      <c r="A261" s="42"/>
      <c r="B261" s="42"/>
      <c r="C261" s="42"/>
      <c r="D261" s="42"/>
      <c r="E261" s="42"/>
      <c r="F261" s="42"/>
      <c r="G261" s="42"/>
      <c r="H261" s="42"/>
    </row>
    <row r="262" spans="1:8" ht="16.5" customHeight="1">
      <c r="A262" s="42"/>
      <c r="B262" s="42"/>
      <c r="C262" s="42"/>
      <c r="D262" s="42"/>
      <c r="E262" s="42"/>
      <c r="F262" s="42"/>
      <c r="G262" s="42"/>
      <c r="H262" s="42"/>
    </row>
    <row r="263" spans="1:8" ht="16.5" customHeight="1">
      <c r="A263" s="42"/>
      <c r="B263" s="42"/>
      <c r="C263" s="42"/>
      <c r="D263" s="42"/>
      <c r="E263" s="42"/>
      <c r="F263" s="42"/>
      <c r="G263" s="42"/>
      <c r="H263" s="42"/>
    </row>
    <row r="264" spans="1:8" ht="16.5" customHeight="1">
      <c r="A264" s="42"/>
      <c r="B264" s="42"/>
      <c r="C264" s="42"/>
      <c r="D264" s="42"/>
      <c r="E264" s="42"/>
      <c r="F264" s="42"/>
      <c r="G264" s="42"/>
      <c r="H264" s="42"/>
    </row>
    <row r="265" spans="1:8" ht="16.5" customHeight="1">
      <c r="A265" s="42"/>
      <c r="B265" s="42"/>
      <c r="C265" s="42"/>
      <c r="D265" s="42"/>
      <c r="E265" s="42"/>
      <c r="F265" s="42"/>
      <c r="G265" s="42"/>
      <c r="H265" s="42"/>
    </row>
    <row r="266" spans="1:8" ht="16.5" customHeight="1">
      <c r="A266" s="42"/>
      <c r="B266" s="42"/>
      <c r="C266" s="42"/>
      <c r="D266" s="42"/>
      <c r="E266" s="42"/>
      <c r="F266" s="42"/>
      <c r="G266" s="42"/>
      <c r="H266" s="42"/>
    </row>
    <row r="267" spans="1:8" ht="16.5" customHeight="1">
      <c r="A267" s="42"/>
      <c r="B267" s="42"/>
      <c r="C267" s="42"/>
      <c r="D267" s="42"/>
      <c r="E267" s="42"/>
      <c r="F267" s="42"/>
      <c r="G267" s="42"/>
      <c r="H267" s="42"/>
    </row>
    <row r="268" spans="1:8" ht="16.5" customHeight="1">
      <c r="A268" s="42"/>
      <c r="B268" s="42"/>
      <c r="C268" s="42"/>
      <c r="D268" s="42"/>
      <c r="E268" s="42"/>
      <c r="F268" s="42"/>
      <c r="G268" s="42"/>
      <c r="H268" s="42"/>
    </row>
    <row r="269" spans="1:8" ht="16.5" customHeight="1">
      <c r="A269" s="42"/>
      <c r="B269" s="42"/>
      <c r="C269" s="42"/>
      <c r="D269" s="42"/>
      <c r="E269" s="42"/>
      <c r="F269" s="42"/>
      <c r="G269" s="42"/>
      <c r="H269" s="42"/>
    </row>
    <row r="270" spans="1:8" ht="16.5" customHeight="1">
      <c r="A270" s="42"/>
      <c r="B270" s="42"/>
      <c r="C270" s="42"/>
      <c r="D270" s="42"/>
      <c r="E270" s="42"/>
      <c r="F270" s="42"/>
      <c r="G270" s="42"/>
      <c r="H270" s="42"/>
    </row>
    <row r="271" spans="1:8" ht="16.5" customHeight="1">
      <c r="A271" s="42"/>
      <c r="B271" s="42"/>
      <c r="C271" s="42"/>
      <c r="D271" s="42"/>
      <c r="E271" s="42"/>
      <c r="F271" s="42"/>
      <c r="G271" s="42"/>
      <c r="H271" s="42"/>
    </row>
    <row r="272" spans="1:8" ht="16.5" customHeight="1">
      <c r="A272" s="42"/>
      <c r="B272" s="42"/>
      <c r="C272" s="42"/>
      <c r="D272" s="42"/>
      <c r="E272" s="42"/>
      <c r="F272" s="42"/>
      <c r="G272" s="42"/>
      <c r="H272" s="42"/>
    </row>
    <row r="273" spans="1:8" ht="16.5" customHeight="1">
      <c r="A273" s="42"/>
      <c r="B273" s="42"/>
      <c r="C273" s="42"/>
      <c r="D273" s="42"/>
      <c r="E273" s="42"/>
      <c r="F273" s="42"/>
      <c r="G273" s="42"/>
      <c r="H273" s="42"/>
    </row>
    <row r="274" spans="1:8" ht="16.5" customHeight="1">
      <c r="A274" s="42"/>
      <c r="B274" s="42"/>
      <c r="C274" s="42"/>
      <c r="D274" s="42"/>
      <c r="E274" s="42"/>
      <c r="F274" s="42"/>
      <c r="G274" s="42"/>
      <c r="H274" s="42"/>
    </row>
    <row r="275" spans="1:8" ht="16.5" customHeight="1">
      <c r="A275" s="42"/>
      <c r="B275" s="42"/>
      <c r="C275" s="42"/>
      <c r="D275" s="42"/>
      <c r="E275" s="42"/>
      <c r="F275" s="42"/>
      <c r="G275" s="42"/>
      <c r="H275" s="42"/>
    </row>
    <row r="276" spans="1:8" ht="16.5" customHeight="1">
      <c r="A276" s="42"/>
      <c r="B276" s="42"/>
      <c r="C276" s="42"/>
      <c r="D276" s="42"/>
      <c r="E276" s="42"/>
      <c r="F276" s="42"/>
      <c r="G276" s="42"/>
      <c r="H276" s="42"/>
    </row>
    <row r="277" spans="1:8" ht="16.5" customHeight="1">
      <c r="A277" s="42"/>
      <c r="B277" s="42"/>
      <c r="C277" s="42"/>
      <c r="D277" s="42"/>
      <c r="E277" s="42"/>
      <c r="F277" s="42"/>
      <c r="G277" s="42"/>
      <c r="H277" s="42"/>
    </row>
    <row r="278" spans="1:8" ht="16.5" customHeight="1">
      <c r="A278" s="42"/>
      <c r="B278" s="42"/>
      <c r="C278" s="42"/>
      <c r="D278" s="42"/>
      <c r="E278" s="42"/>
      <c r="F278" s="42"/>
      <c r="G278" s="42"/>
      <c r="H278" s="42"/>
    </row>
    <row r="279" spans="1:8" ht="16.5" customHeight="1">
      <c r="A279" s="42"/>
      <c r="B279" s="42"/>
      <c r="C279" s="42"/>
      <c r="D279" s="42"/>
      <c r="E279" s="42"/>
      <c r="F279" s="42"/>
      <c r="G279" s="42"/>
      <c r="H279" s="42"/>
    </row>
    <row r="280" spans="1:8" ht="16.5" customHeight="1">
      <c r="A280" s="42"/>
      <c r="B280" s="42"/>
      <c r="C280" s="42"/>
      <c r="D280" s="42"/>
      <c r="E280" s="42"/>
      <c r="F280" s="42"/>
      <c r="G280" s="42"/>
      <c r="H280" s="42"/>
    </row>
    <row r="281" spans="1:8" ht="16.5" customHeight="1">
      <c r="A281" s="42"/>
      <c r="B281" s="42"/>
      <c r="C281" s="42"/>
      <c r="D281" s="42"/>
      <c r="E281" s="42"/>
      <c r="F281" s="42"/>
      <c r="G281" s="42"/>
      <c r="H281" s="42"/>
    </row>
    <row r="282" spans="1:8" ht="16.5" customHeight="1">
      <c r="A282" s="42"/>
      <c r="B282" s="42"/>
      <c r="C282" s="42"/>
      <c r="D282" s="42"/>
      <c r="E282" s="42"/>
      <c r="F282" s="42"/>
      <c r="G282" s="42"/>
      <c r="H282" s="42"/>
    </row>
    <row r="283" spans="1:8" ht="16.5" customHeight="1">
      <c r="A283" s="42"/>
      <c r="B283" s="42"/>
      <c r="C283" s="42"/>
      <c r="D283" s="42"/>
      <c r="E283" s="42"/>
      <c r="F283" s="42"/>
      <c r="G283" s="42"/>
      <c r="H283" s="42"/>
    </row>
    <row r="284" spans="1:8" ht="16.5" customHeight="1">
      <c r="A284" s="42"/>
      <c r="B284" s="42"/>
      <c r="C284" s="42"/>
      <c r="D284" s="42"/>
      <c r="E284" s="42"/>
      <c r="F284" s="42"/>
      <c r="G284" s="42"/>
      <c r="H284" s="42"/>
    </row>
    <row r="285" spans="1:8" ht="16.5" customHeight="1">
      <c r="A285" s="42"/>
      <c r="B285" s="42"/>
      <c r="C285" s="42"/>
      <c r="D285" s="42"/>
      <c r="E285" s="42"/>
      <c r="F285" s="42"/>
      <c r="G285" s="42"/>
      <c r="H285" s="42"/>
    </row>
    <row r="286" spans="1:8" ht="16.5" customHeight="1">
      <c r="A286" s="42"/>
      <c r="B286" s="42"/>
      <c r="C286" s="42"/>
      <c r="D286" s="42"/>
      <c r="E286" s="42"/>
      <c r="F286" s="42"/>
      <c r="G286" s="42"/>
      <c r="H286" s="42"/>
    </row>
    <row r="287" spans="1:8" ht="16.5" customHeight="1">
      <c r="A287" s="42"/>
      <c r="B287" s="42"/>
      <c r="C287" s="42"/>
      <c r="D287" s="42"/>
      <c r="E287" s="42"/>
      <c r="F287" s="42"/>
      <c r="G287" s="42"/>
      <c r="H287" s="42"/>
    </row>
    <row r="288" spans="1:8" ht="16.5" customHeight="1">
      <c r="A288" s="42"/>
      <c r="B288" s="42"/>
      <c r="C288" s="42"/>
      <c r="D288" s="42"/>
      <c r="E288" s="42"/>
      <c r="F288" s="42"/>
      <c r="G288" s="42"/>
      <c r="H288" s="42"/>
    </row>
    <row r="289" spans="1:8" ht="16.5" customHeight="1">
      <c r="A289" s="42"/>
      <c r="B289" s="42"/>
      <c r="C289" s="42"/>
      <c r="D289" s="42"/>
      <c r="E289" s="42"/>
      <c r="F289" s="42"/>
      <c r="G289" s="42"/>
      <c r="H289" s="42"/>
    </row>
    <row r="290" spans="1:8" ht="16.5" customHeight="1">
      <c r="A290" s="42"/>
      <c r="B290" s="42"/>
      <c r="C290" s="42"/>
      <c r="D290" s="42"/>
      <c r="E290" s="42"/>
      <c r="F290" s="42"/>
      <c r="G290" s="42"/>
      <c r="H290" s="42"/>
    </row>
    <row r="291" spans="1:8" ht="16.5" customHeight="1">
      <c r="A291" s="42"/>
      <c r="B291" s="42"/>
      <c r="C291" s="42"/>
      <c r="D291" s="42"/>
      <c r="E291" s="42"/>
      <c r="F291" s="42"/>
      <c r="G291" s="42"/>
      <c r="H291" s="42"/>
    </row>
    <row r="292" spans="1:8" ht="16.5" customHeight="1">
      <c r="A292" s="42"/>
      <c r="B292" s="42"/>
      <c r="C292" s="42"/>
      <c r="D292" s="42"/>
      <c r="E292" s="42"/>
      <c r="F292" s="42"/>
      <c r="G292" s="42"/>
      <c r="H292" s="42"/>
    </row>
    <row r="293" spans="1:8" ht="16.5" customHeight="1">
      <c r="A293" s="42"/>
      <c r="B293" s="42"/>
      <c r="C293" s="42"/>
      <c r="D293" s="42"/>
      <c r="E293" s="42"/>
      <c r="F293" s="42"/>
      <c r="G293" s="42"/>
      <c r="H293" s="42"/>
    </row>
    <row r="294" spans="1:8" ht="16.5" customHeight="1">
      <c r="A294" s="42"/>
      <c r="B294" s="42"/>
      <c r="C294" s="42"/>
      <c r="D294" s="42"/>
      <c r="E294" s="42"/>
      <c r="F294" s="42"/>
      <c r="G294" s="42"/>
      <c r="H294" s="42"/>
    </row>
    <row r="295" spans="1:8" ht="16.5" customHeight="1">
      <c r="A295" s="42"/>
      <c r="B295" s="42"/>
      <c r="C295" s="42"/>
      <c r="D295" s="42"/>
      <c r="E295" s="42"/>
      <c r="F295" s="42"/>
      <c r="G295" s="42"/>
      <c r="H295" s="42"/>
    </row>
    <row r="296" spans="1:8" ht="16.5" customHeight="1">
      <c r="A296" s="42"/>
      <c r="B296" s="42"/>
      <c r="C296" s="42"/>
      <c r="D296" s="42"/>
      <c r="E296" s="42"/>
      <c r="F296" s="42"/>
      <c r="G296" s="42"/>
      <c r="H296" s="42"/>
    </row>
    <row r="297" spans="1:8" ht="16.5" customHeight="1">
      <c r="A297" s="42"/>
      <c r="B297" s="42"/>
      <c r="C297" s="42"/>
      <c r="D297" s="42"/>
      <c r="E297" s="42"/>
      <c r="F297" s="42"/>
      <c r="G297" s="42"/>
      <c r="H297" s="42"/>
    </row>
    <row r="298" spans="1:8" ht="16.5" customHeight="1">
      <c r="A298" s="42"/>
      <c r="B298" s="42"/>
      <c r="C298" s="42"/>
      <c r="D298" s="42"/>
      <c r="E298" s="42"/>
      <c r="F298" s="42"/>
      <c r="G298" s="42"/>
      <c r="H298" s="42"/>
    </row>
    <row r="299" spans="1:8" ht="16.5" customHeight="1">
      <c r="A299" s="42"/>
      <c r="B299" s="42"/>
      <c r="C299" s="42"/>
      <c r="D299" s="42"/>
      <c r="E299" s="42"/>
      <c r="F299" s="42"/>
      <c r="G299" s="42"/>
      <c r="H299" s="42"/>
    </row>
    <row r="300" spans="1:8" ht="16.5" customHeight="1">
      <c r="A300" s="42"/>
      <c r="B300" s="42"/>
      <c r="C300" s="42"/>
      <c r="D300" s="42"/>
      <c r="E300" s="42"/>
      <c r="F300" s="42"/>
      <c r="G300" s="42"/>
      <c r="H300" s="42"/>
    </row>
    <row r="301" spans="1:8" ht="16.5" customHeight="1">
      <c r="A301" s="42"/>
      <c r="B301" s="42"/>
      <c r="C301" s="42"/>
      <c r="D301" s="42"/>
      <c r="E301" s="42"/>
      <c r="F301" s="42"/>
      <c r="G301" s="42"/>
      <c r="H301" s="42"/>
    </row>
    <row r="302" spans="1:8" ht="16.5" customHeight="1">
      <c r="A302" s="42"/>
      <c r="B302" s="42"/>
      <c r="C302" s="42"/>
      <c r="D302" s="42"/>
      <c r="E302" s="42"/>
      <c r="F302" s="42"/>
      <c r="G302" s="42"/>
      <c r="H302" s="42"/>
    </row>
    <row r="303" spans="1:8" ht="16.5" customHeight="1">
      <c r="A303" s="42"/>
      <c r="B303" s="42"/>
      <c r="C303" s="42"/>
      <c r="D303" s="42"/>
      <c r="E303" s="42"/>
      <c r="F303" s="42"/>
      <c r="G303" s="42"/>
      <c r="H303" s="42"/>
    </row>
    <row r="304" spans="1:8" ht="16.5" customHeight="1">
      <c r="A304" s="42"/>
      <c r="B304" s="42"/>
      <c r="C304" s="42"/>
      <c r="D304" s="42"/>
      <c r="E304" s="42"/>
      <c r="F304" s="42"/>
      <c r="G304" s="42"/>
      <c r="H304" s="42"/>
    </row>
    <row r="305" spans="1:8" ht="16.5" customHeight="1">
      <c r="A305" s="42"/>
      <c r="B305" s="42"/>
      <c r="C305" s="42"/>
      <c r="D305" s="42"/>
      <c r="E305" s="42"/>
      <c r="F305" s="42"/>
      <c r="G305" s="42"/>
      <c r="H305" s="42"/>
    </row>
    <row r="306" spans="1:8" ht="16.5" customHeight="1">
      <c r="A306" s="42"/>
      <c r="B306" s="42"/>
      <c r="C306" s="42"/>
      <c r="D306" s="42"/>
      <c r="E306" s="42"/>
      <c r="F306" s="42"/>
      <c r="G306" s="42"/>
      <c r="H306" s="42"/>
    </row>
    <row r="307" spans="1:8" ht="16.5" customHeight="1">
      <c r="A307" s="42"/>
      <c r="B307" s="42"/>
      <c r="C307" s="42"/>
      <c r="D307" s="42"/>
      <c r="E307" s="42"/>
      <c r="F307" s="42"/>
      <c r="G307" s="42"/>
      <c r="H307" s="42"/>
    </row>
    <row r="308" spans="1:8" ht="16.5" customHeight="1">
      <c r="A308" s="42"/>
      <c r="B308" s="42"/>
      <c r="C308" s="42"/>
      <c r="D308" s="42"/>
      <c r="E308" s="42"/>
      <c r="F308" s="42"/>
      <c r="G308" s="42"/>
      <c r="H308" s="42"/>
    </row>
    <row r="309" spans="1:8" ht="16.5" customHeight="1">
      <c r="A309" s="42"/>
      <c r="B309" s="42"/>
      <c r="C309" s="42"/>
      <c r="D309" s="42"/>
      <c r="E309" s="42"/>
      <c r="F309" s="42"/>
      <c r="G309" s="42"/>
      <c r="H309" s="42"/>
    </row>
    <row r="310" spans="1:8" ht="16.5" customHeight="1">
      <c r="A310" s="42"/>
      <c r="B310" s="42"/>
      <c r="C310" s="42"/>
      <c r="D310" s="42"/>
      <c r="E310" s="42"/>
      <c r="F310" s="42"/>
      <c r="G310" s="42"/>
      <c r="H310" s="42"/>
    </row>
    <row r="311" spans="1:8" ht="16.5" customHeight="1">
      <c r="A311" s="42"/>
      <c r="B311" s="42"/>
      <c r="C311" s="42"/>
      <c r="D311" s="42"/>
      <c r="E311" s="42"/>
      <c r="F311" s="42"/>
      <c r="G311" s="42"/>
      <c r="H311" s="42"/>
    </row>
    <row r="312" spans="1:8" ht="16.5" customHeight="1">
      <c r="A312" s="42"/>
      <c r="B312" s="42"/>
      <c r="C312" s="42"/>
      <c r="D312" s="42"/>
      <c r="E312" s="42"/>
      <c r="F312" s="42"/>
      <c r="G312" s="42"/>
      <c r="H312" s="42"/>
    </row>
    <row r="313" spans="1:8" ht="16.5" customHeight="1">
      <c r="A313" s="42"/>
      <c r="B313" s="42"/>
      <c r="C313" s="42"/>
      <c r="D313" s="42"/>
      <c r="E313" s="42"/>
      <c r="F313" s="42"/>
      <c r="G313" s="42"/>
      <c r="H313" s="42"/>
    </row>
    <row r="314" spans="1:8" ht="16.5" customHeight="1">
      <c r="A314" s="42"/>
      <c r="B314" s="42"/>
      <c r="C314" s="42"/>
      <c r="D314" s="42"/>
      <c r="E314" s="42"/>
      <c r="F314" s="42"/>
      <c r="G314" s="42"/>
      <c r="H314" s="42"/>
    </row>
    <row r="315" spans="1:8" ht="16.5" customHeight="1">
      <c r="A315" s="42"/>
      <c r="B315" s="42"/>
      <c r="C315" s="42"/>
      <c r="D315" s="42"/>
      <c r="E315" s="42"/>
      <c r="F315" s="42"/>
      <c r="G315" s="42"/>
      <c r="H315" s="42"/>
    </row>
    <row r="316" spans="1:8" ht="16.5" customHeight="1">
      <c r="A316" s="42"/>
      <c r="B316" s="42"/>
      <c r="C316" s="42"/>
      <c r="D316" s="42"/>
      <c r="E316" s="42"/>
      <c r="F316" s="42"/>
      <c r="G316" s="42"/>
      <c r="H316" s="42"/>
    </row>
    <row r="317" spans="1:8" ht="16.5" customHeight="1">
      <c r="A317" s="42"/>
      <c r="B317" s="42"/>
      <c r="C317" s="42"/>
      <c r="D317" s="42"/>
      <c r="E317" s="42"/>
      <c r="F317" s="42"/>
      <c r="G317" s="42"/>
      <c r="H317" s="42"/>
    </row>
    <row r="318" spans="1:8" ht="16.5" customHeight="1">
      <c r="A318" s="42"/>
      <c r="B318" s="42"/>
      <c r="C318" s="42"/>
      <c r="D318" s="42"/>
      <c r="E318" s="42"/>
      <c r="F318" s="42"/>
      <c r="G318" s="42"/>
      <c r="H318" s="42"/>
    </row>
    <row r="319" spans="1:8" ht="16.5" customHeight="1">
      <c r="A319" s="42"/>
      <c r="B319" s="42"/>
      <c r="C319" s="42"/>
      <c r="D319" s="42"/>
      <c r="E319" s="42"/>
      <c r="F319" s="42"/>
      <c r="G319" s="42"/>
      <c r="H319" s="42"/>
    </row>
    <row r="320" spans="1:8" ht="16.5" customHeight="1">
      <c r="A320" s="42"/>
      <c r="B320" s="42"/>
      <c r="C320" s="42"/>
      <c r="D320" s="42"/>
      <c r="E320" s="42"/>
      <c r="F320" s="42"/>
      <c r="G320" s="42"/>
      <c r="H320" s="42"/>
    </row>
    <row r="321" spans="1:8" ht="16.5" customHeight="1">
      <c r="A321" s="42"/>
      <c r="B321" s="42"/>
      <c r="C321" s="42"/>
      <c r="D321" s="42"/>
      <c r="E321" s="42"/>
      <c r="F321" s="42"/>
      <c r="G321" s="42"/>
      <c r="H321" s="42"/>
    </row>
    <row r="322" spans="1:8" ht="16.5" customHeight="1">
      <c r="A322" s="42"/>
      <c r="B322" s="42"/>
      <c r="C322" s="42"/>
      <c r="D322" s="42"/>
      <c r="E322" s="42"/>
      <c r="F322" s="42"/>
      <c r="G322" s="42"/>
      <c r="H322" s="42"/>
    </row>
    <row r="323" spans="1:8" ht="16.5" customHeight="1">
      <c r="A323" s="42"/>
      <c r="B323" s="42"/>
      <c r="C323" s="42"/>
      <c r="D323" s="42"/>
      <c r="E323" s="42"/>
      <c r="F323" s="42"/>
      <c r="G323" s="42"/>
      <c r="H323" s="42"/>
    </row>
    <row r="324" spans="1:8" ht="16.5" customHeight="1">
      <c r="A324" s="42"/>
      <c r="B324" s="42"/>
      <c r="C324" s="42"/>
      <c r="D324" s="42"/>
      <c r="E324" s="42"/>
      <c r="F324" s="42"/>
      <c r="G324" s="42"/>
      <c r="H324" s="42"/>
    </row>
    <row r="325" spans="1:8" ht="16.5" customHeight="1">
      <c r="A325" s="42"/>
      <c r="B325" s="42"/>
      <c r="C325" s="42"/>
      <c r="D325" s="42"/>
      <c r="E325" s="42"/>
      <c r="F325" s="42"/>
      <c r="G325" s="42"/>
      <c r="H325" s="42"/>
    </row>
    <row r="326" spans="1:8" ht="16.5" customHeight="1">
      <c r="A326" s="42"/>
      <c r="B326" s="42"/>
      <c r="C326" s="42"/>
      <c r="D326" s="42"/>
      <c r="E326" s="42"/>
      <c r="F326" s="42"/>
      <c r="G326" s="42"/>
      <c r="H326" s="42"/>
    </row>
    <row r="327" spans="1:8" ht="16.5" customHeight="1">
      <c r="A327" s="42"/>
      <c r="B327" s="42"/>
      <c r="C327" s="42"/>
      <c r="D327" s="42"/>
      <c r="E327" s="42"/>
      <c r="F327" s="42"/>
      <c r="G327" s="42"/>
      <c r="H327" s="42"/>
    </row>
    <row r="328" spans="1:8" ht="16.5" customHeight="1">
      <c r="A328" s="42"/>
      <c r="B328" s="42"/>
      <c r="C328" s="42"/>
      <c r="D328" s="42"/>
      <c r="E328" s="42"/>
      <c r="F328" s="42"/>
      <c r="G328" s="42"/>
      <c r="H328" s="42"/>
    </row>
    <row r="329" spans="1:8" ht="16.5" customHeight="1">
      <c r="A329" s="42"/>
      <c r="B329" s="42"/>
      <c r="C329" s="42"/>
      <c r="D329" s="42"/>
      <c r="E329" s="42"/>
      <c r="F329" s="42"/>
      <c r="G329" s="42"/>
      <c r="H329" s="42"/>
    </row>
    <row r="330" spans="1:8" ht="16.5" customHeight="1">
      <c r="A330" s="42"/>
      <c r="B330" s="42"/>
      <c r="C330" s="42"/>
      <c r="D330" s="42"/>
      <c r="E330" s="42"/>
      <c r="F330" s="42"/>
      <c r="G330" s="42"/>
      <c r="H330" s="42"/>
    </row>
    <row r="331" spans="1:8" ht="16.5" customHeight="1">
      <c r="A331" s="42"/>
      <c r="B331" s="42"/>
      <c r="C331" s="42"/>
      <c r="D331" s="42"/>
      <c r="E331" s="42"/>
      <c r="F331" s="42"/>
      <c r="G331" s="42"/>
      <c r="H331" s="42"/>
    </row>
    <row r="332" spans="1:8" ht="16.5" customHeight="1">
      <c r="A332" s="42"/>
      <c r="B332" s="42"/>
      <c r="C332" s="42"/>
      <c r="D332" s="42"/>
      <c r="E332" s="42"/>
      <c r="F332" s="42"/>
      <c r="G332" s="42"/>
      <c r="H332" s="42"/>
    </row>
    <row r="333" spans="1:8" ht="16.5" customHeight="1">
      <c r="A333" s="42"/>
      <c r="B333" s="42"/>
      <c r="C333" s="42"/>
      <c r="D333" s="42"/>
      <c r="E333" s="42"/>
      <c r="F333" s="42"/>
      <c r="G333" s="42"/>
      <c r="H333" s="42"/>
    </row>
    <row r="334" spans="1:8" ht="16.5" customHeight="1">
      <c r="A334" s="42"/>
      <c r="B334" s="42"/>
      <c r="C334" s="42"/>
      <c r="D334" s="42"/>
      <c r="E334" s="42"/>
      <c r="F334" s="42"/>
      <c r="G334" s="42"/>
      <c r="H334" s="42"/>
    </row>
    <row r="335" spans="1:8" ht="16.5" customHeight="1">
      <c r="A335" s="42"/>
      <c r="B335" s="42"/>
      <c r="C335" s="42"/>
      <c r="D335" s="42"/>
      <c r="E335" s="42"/>
      <c r="F335" s="42"/>
      <c r="G335" s="42"/>
      <c r="H335" s="42"/>
    </row>
    <row r="336" spans="1:8" ht="16.5" customHeight="1">
      <c r="A336" s="42"/>
      <c r="B336" s="42"/>
      <c r="C336" s="42"/>
      <c r="D336" s="42"/>
      <c r="E336" s="42"/>
      <c r="F336" s="42"/>
      <c r="G336" s="42"/>
      <c r="H336" s="42"/>
    </row>
    <row r="337" spans="1:8" ht="16.5" customHeight="1">
      <c r="A337" s="42"/>
      <c r="B337" s="42"/>
      <c r="C337" s="42"/>
      <c r="D337" s="42"/>
      <c r="E337" s="42"/>
      <c r="F337" s="42"/>
      <c r="G337" s="42"/>
      <c r="H337" s="42"/>
    </row>
    <row r="338" spans="1:8" ht="16.5" customHeight="1">
      <c r="A338" s="42"/>
      <c r="B338" s="42"/>
      <c r="C338" s="42"/>
      <c r="D338" s="42"/>
      <c r="E338" s="42"/>
      <c r="F338" s="42"/>
      <c r="G338" s="42"/>
      <c r="H338" s="42"/>
    </row>
    <row r="339" spans="1:8" ht="16.5" customHeight="1">
      <c r="A339" s="42"/>
      <c r="B339" s="42"/>
      <c r="C339" s="42"/>
      <c r="D339" s="42"/>
      <c r="E339" s="42"/>
      <c r="F339" s="42"/>
      <c r="G339" s="42"/>
      <c r="H339" s="42"/>
    </row>
    <row r="340" spans="1:8" ht="16.5" customHeight="1">
      <c r="A340" s="42"/>
      <c r="B340" s="42"/>
      <c r="C340" s="42"/>
      <c r="D340" s="42"/>
      <c r="E340" s="42"/>
      <c r="F340" s="42"/>
      <c r="G340" s="42"/>
      <c r="H340" s="42"/>
    </row>
    <row r="341" spans="1:8" ht="16.5" customHeight="1">
      <c r="A341" s="42"/>
      <c r="B341" s="42"/>
      <c r="C341" s="42"/>
      <c r="D341" s="42"/>
      <c r="E341" s="42"/>
      <c r="F341" s="42"/>
      <c r="G341" s="42"/>
      <c r="H341" s="42"/>
    </row>
    <row r="342" spans="1:8" ht="16.5" customHeight="1">
      <c r="A342" s="42"/>
      <c r="B342" s="42"/>
      <c r="C342" s="42"/>
      <c r="D342" s="42"/>
      <c r="E342" s="42"/>
      <c r="F342" s="42"/>
      <c r="G342" s="42"/>
      <c r="H342" s="42"/>
    </row>
    <row r="343" spans="1:8" ht="16.5" customHeight="1">
      <c r="A343" s="42"/>
      <c r="B343" s="42"/>
      <c r="C343" s="42"/>
      <c r="D343" s="42"/>
      <c r="E343" s="42"/>
      <c r="F343" s="42"/>
      <c r="G343" s="42"/>
      <c r="H343" s="42"/>
    </row>
    <row r="344" spans="1:8" ht="16.5" customHeight="1">
      <c r="A344" s="42"/>
      <c r="B344" s="42"/>
      <c r="C344" s="42"/>
      <c r="D344" s="42"/>
      <c r="E344" s="42"/>
      <c r="F344" s="42"/>
      <c r="G344" s="42"/>
      <c r="H344" s="42"/>
    </row>
    <row r="345" spans="1:8" ht="16.5" customHeight="1">
      <c r="A345" s="42"/>
      <c r="B345" s="42"/>
      <c r="C345" s="42"/>
      <c r="D345" s="42"/>
      <c r="E345" s="42"/>
      <c r="F345" s="42"/>
      <c r="G345" s="42"/>
      <c r="H345" s="42"/>
    </row>
    <row r="346" spans="1:8" ht="16.5" customHeight="1">
      <c r="A346" s="42"/>
      <c r="B346" s="42"/>
      <c r="C346" s="42"/>
      <c r="D346" s="42"/>
      <c r="E346" s="42"/>
      <c r="F346" s="42"/>
      <c r="G346" s="42"/>
      <c r="H346" s="42"/>
    </row>
    <row r="347" spans="1:8" ht="16.5" customHeight="1">
      <c r="A347" s="42"/>
      <c r="B347" s="42"/>
      <c r="C347" s="42"/>
      <c r="D347" s="42"/>
      <c r="E347" s="42"/>
      <c r="F347" s="42"/>
      <c r="G347" s="42"/>
      <c r="H347" s="42"/>
    </row>
    <row r="348" spans="1:8" ht="16.5" customHeight="1">
      <c r="A348" s="42"/>
      <c r="B348" s="42"/>
      <c r="C348" s="42"/>
      <c r="D348" s="42"/>
      <c r="E348" s="42"/>
      <c r="F348" s="42"/>
      <c r="G348" s="42"/>
      <c r="H348" s="42"/>
    </row>
    <row r="349" spans="1:8" ht="16.5" customHeight="1">
      <c r="A349" s="42"/>
      <c r="B349" s="42"/>
      <c r="C349" s="42"/>
      <c r="D349" s="42"/>
      <c r="E349" s="42"/>
      <c r="F349" s="42"/>
      <c r="G349" s="42"/>
      <c r="H349" s="42"/>
    </row>
    <row r="350" spans="1:8" ht="16.5" customHeight="1">
      <c r="A350" s="42"/>
      <c r="B350" s="42"/>
      <c r="C350" s="42"/>
      <c r="D350" s="42"/>
      <c r="E350" s="42"/>
      <c r="F350" s="42"/>
      <c r="G350" s="42"/>
      <c r="H350" s="42"/>
    </row>
    <row r="351" spans="1:8" ht="16.5" customHeight="1">
      <c r="A351" s="42"/>
      <c r="B351" s="42"/>
      <c r="C351" s="42"/>
      <c r="D351" s="42"/>
      <c r="E351" s="42"/>
      <c r="F351" s="42"/>
      <c r="G351" s="42"/>
      <c r="H351" s="42"/>
    </row>
    <row r="352" spans="1:8" ht="16.5" customHeight="1">
      <c r="A352" s="42"/>
      <c r="B352" s="42"/>
      <c r="C352" s="42"/>
      <c r="D352" s="42"/>
      <c r="E352" s="42"/>
      <c r="F352" s="42"/>
      <c r="G352" s="42"/>
      <c r="H352" s="42"/>
    </row>
    <row r="353" spans="1:8" ht="16.5" customHeight="1">
      <c r="A353" s="42"/>
      <c r="B353" s="42"/>
      <c r="C353" s="42"/>
      <c r="D353" s="42"/>
      <c r="E353" s="42"/>
      <c r="F353" s="42"/>
      <c r="G353" s="42"/>
      <c r="H353" s="42"/>
    </row>
    <row r="354" spans="1:8" ht="16.5" customHeight="1">
      <c r="A354" s="42"/>
      <c r="B354" s="42"/>
      <c r="C354" s="42"/>
      <c r="D354" s="42"/>
      <c r="E354" s="42"/>
      <c r="F354" s="42"/>
      <c r="G354" s="42"/>
      <c r="H354" s="42"/>
    </row>
    <row r="355" spans="1:8" ht="16.5" customHeight="1">
      <c r="A355" s="42"/>
      <c r="B355" s="42"/>
      <c r="C355" s="42"/>
      <c r="D355" s="42"/>
      <c r="E355" s="42"/>
      <c r="F355" s="42"/>
      <c r="G355" s="42"/>
      <c r="H355" s="42"/>
    </row>
    <row r="356" spans="1:8" ht="16.5" customHeight="1">
      <c r="A356" s="42"/>
      <c r="B356" s="42"/>
      <c r="C356" s="42"/>
      <c r="D356" s="42"/>
      <c r="E356" s="42"/>
      <c r="F356" s="42"/>
      <c r="G356" s="42"/>
      <c r="H356" s="42"/>
    </row>
    <row r="357" spans="1:8" ht="16.5" customHeight="1">
      <c r="A357" s="42"/>
      <c r="B357" s="42"/>
      <c r="C357" s="42"/>
      <c r="D357" s="42"/>
      <c r="E357" s="42"/>
      <c r="F357" s="42"/>
      <c r="G357" s="42"/>
      <c r="H357" s="42"/>
    </row>
    <row r="358" spans="1:8" ht="16.5" customHeight="1">
      <c r="A358" s="42"/>
      <c r="B358" s="42"/>
      <c r="C358" s="42"/>
      <c r="D358" s="42"/>
      <c r="E358" s="42"/>
      <c r="F358" s="42"/>
      <c r="G358" s="42"/>
      <c r="H358" s="42"/>
    </row>
    <row r="359" spans="1:8" ht="16.5" customHeight="1">
      <c r="A359" s="42"/>
      <c r="B359" s="42"/>
      <c r="C359" s="42"/>
      <c r="D359" s="42"/>
      <c r="E359" s="42"/>
      <c r="F359" s="42"/>
      <c r="G359" s="42"/>
      <c r="H359" s="42"/>
    </row>
    <row r="360" spans="1:8" ht="16.5" customHeight="1">
      <c r="A360" s="42"/>
      <c r="B360" s="42"/>
      <c r="C360" s="42"/>
      <c r="D360" s="42"/>
      <c r="E360" s="42"/>
      <c r="F360" s="42"/>
      <c r="G360" s="42"/>
      <c r="H360" s="42"/>
    </row>
    <row r="361" spans="1:8" ht="16.5" customHeight="1">
      <c r="A361" s="42"/>
      <c r="B361" s="42"/>
      <c r="C361" s="42"/>
      <c r="D361" s="42"/>
      <c r="E361" s="42"/>
      <c r="F361" s="42"/>
      <c r="G361" s="42"/>
      <c r="H361" s="42"/>
    </row>
    <row r="362" spans="1:8" ht="16.5" customHeight="1">
      <c r="A362" s="42"/>
      <c r="B362" s="42"/>
      <c r="C362" s="42"/>
      <c r="D362" s="42"/>
      <c r="E362" s="42"/>
      <c r="F362" s="42"/>
      <c r="G362" s="42"/>
      <c r="H362" s="42"/>
    </row>
    <row r="363" spans="1:8" ht="16.5" customHeight="1">
      <c r="A363" s="42"/>
      <c r="B363" s="42"/>
      <c r="C363" s="42"/>
      <c r="D363" s="42"/>
      <c r="E363" s="42"/>
      <c r="F363" s="42"/>
      <c r="G363" s="42"/>
      <c r="H363" s="42"/>
    </row>
    <row r="364" spans="1:8" ht="16.5" customHeight="1">
      <c r="A364" s="42"/>
      <c r="B364" s="42"/>
      <c r="C364" s="42"/>
      <c r="D364" s="42"/>
      <c r="E364" s="42"/>
      <c r="F364" s="42"/>
      <c r="G364" s="42"/>
      <c r="H364" s="42"/>
    </row>
    <row r="365" spans="1:8" ht="16.5" customHeight="1">
      <c r="A365" s="42"/>
      <c r="B365" s="42"/>
      <c r="C365" s="42"/>
      <c r="D365" s="42"/>
      <c r="E365" s="42"/>
      <c r="F365" s="42"/>
      <c r="G365" s="42"/>
      <c r="H365" s="42"/>
    </row>
    <row r="366" spans="1:8" ht="16.5" customHeight="1">
      <c r="A366" s="42"/>
      <c r="B366" s="42"/>
      <c r="C366" s="42"/>
      <c r="D366" s="42"/>
      <c r="E366" s="42"/>
      <c r="F366" s="42"/>
      <c r="G366" s="42"/>
      <c r="H366" s="42"/>
    </row>
    <row r="367" spans="1:8" ht="16.5" customHeight="1">
      <c r="A367" s="42"/>
      <c r="B367" s="42"/>
      <c r="C367" s="42"/>
      <c r="D367" s="42"/>
      <c r="E367" s="42"/>
      <c r="F367" s="42"/>
      <c r="G367" s="42"/>
      <c r="H367" s="42"/>
    </row>
    <row r="368" spans="1:8" ht="16.5" customHeight="1">
      <c r="A368" s="42"/>
      <c r="B368" s="42"/>
      <c r="C368" s="42"/>
      <c r="D368" s="42"/>
      <c r="E368" s="42"/>
      <c r="F368" s="42"/>
      <c r="G368" s="42"/>
      <c r="H368" s="42"/>
    </row>
    <row r="369" spans="1:8" ht="16.5" customHeight="1">
      <c r="A369" s="42"/>
      <c r="B369" s="42"/>
      <c r="C369" s="42"/>
      <c r="D369" s="42"/>
      <c r="E369" s="42"/>
      <c r="F369" s="42"/>
      <c r="G369" s="42"/>
      <c r="H369" s="42"/>
    </row>
    <row r="370" spans="1:8" ht="16.5" customHeight="1">
      <c r="A370" s="42"/>
      <c r="B370" s="42"/>
      <c r="C370" s="42"/>
      <c r="D370" s="42"/>
      <c r="E370" s="42"/>
      <c r="F370" s="42"/>
      <c r="G370" s="42"/>
      <c r="H370" s="42"/>
    </row>
    <row r="371" spans="1:8" ht="16.5" customHeight="1">
      <c r="A371" s="42"/>
      <c r="B371" s="42"/>
      <c r="C371" s="42"/>
      <c r="D371" s="42"/>
      <c r="E371" s="42"/>
      <c r="F371" s="42"/>
      <c r="G371" s="42"/>
      <c r="H371" s="42"/>
    </row>
    <row r="372" spans="1:8" ht="16.5" customHeight="1">
      <c r="A372" s="42"/>
      <c r="B372" s="42"/>
      <c r="C372" s="42"/>
      <c r="D372" s="42"/>
      <c r="E372" s="42"/>
      <c r="F372" s="42"/>
      <c r="G372" s="42"/>
      <c r="H372" s="42"/>
    </row>
    <row r="373" spans="1:8" ht="16.5" customHeight="1">
      <c r="A373" s="42"/>
      <c r="B373" s="42"/>
      <c r="C373" s="42"/>
      <c r="D373" s="42"/>
      <c r="E373" s="42"/>
      <c r="F373" s="42"/>
      <c r="G373" s="42"/>
      <c r="H373" s="42"/>
    </row>
    <row r="374" spans="1:8" ht="16.5" customHeight="1">
      <c r="A374" s="42"/>
      <c r="B374" s="42"/>
      <c r="C374" s="42"/>
      <c r="D374" s="42"/>
      <c r="E374" s="42"/>
      <c r="F374" s="42"/>
      <c r="G374" s="42"/>
      <c r="H374" s="42"/>
    </row>
    <row r="375" spans="1:8" ht="16.5" customHeight="1">
      <c r="A375" s="42"/>
      <c r="B375" s="42"/>
      <c r="C375" s="42"/>
      <c r="D375" s="42"/>
      <c r="E375" s="42"/>
      <c r="F375" s="42"/>
      <c r="G375" s="42"/>
      <c r="H375" s="42"/>
    </row>
    <row r="376" spans="1:8" ht="16.5" customHeight="1">
      <c r="A376" s="42"/>
      <c r="B376" s="42"/>
      <c r="C376" s="42"/>
      <c r="D376" s="42"/>
      <c r="E376" s="42"/>
      <c r="F376" s="42"/>
      <c r="G376" s="42"/>
      <c r="H376" s="42"/>
    </row>
    <row r="377" spans="1:8" ht="16.5" customHeight="1">
      <c r="A377" s="42"/>
      <c r="B377" s="42"/>
      <c r="C377" s="42"/>
      <c r="D377" s="42"/>
      <c r="E377" s="42"/>
      <c r="F377" s="42"/>
      <c r="G377" s="42"/>
      <c r="H377" s="42"/>
    </row>
    <row r="378" spans="1:8" ht="16.5" customHeight="1">
      <c r="A378" s="42"/>
      <c r="B378" s="42"/>
      <c r="C378" s="42"/>
      <c r="D378" s="42"/>
      <c r="E378" s="42"/>
      <c r="F378" s="42"/>
      <c r="G378" s="42"/>
      <c r="H378" s="42"/>
    </row>
    <row r="379" spans="1:8" ht="16.5" customHeight="1">
      <c r="A379" s="42"/>
      <c r="B379" s="42"/>
      <c r="C379" s="42"/>
      <c r="D379" s="42"/>
      <c r="E379" s="42"/>
      <c r="F379" s="42"/>
      <c r="G379" s="42"/>
      <c r="H379" s="42"/>
    </row>
    <row r="380" spans="1:8" ht="16.5" customHeight="1">
      <c r="A380" s="42"/>
      <c r="B380" s="42"/>
      <c r="C380" s="42"/>
      <c r="D380" s="42"/>
      <c r="E380" s="42"/>
      <c r="F380" s="42"/>
      <c r="G380" s="42"/>
      <c r="H380" s="42"/>
    </row>
    <row r="381" spans="1:8" ht="16.5" customHeight="1">
      <c r="A381" s="42"/>
      <c r="B381" s="42"/>
      <c r="C381" s="42"/>
      <c r="D381" s="42"/>
      <c r="E381" s="42"/>
      <c r="F381" s="42"/>
      <c r="G381" s="42"/>
      <c r="H381" s="42"/>
    </row>
    <row r="382" spans="1:8" ht="16.5" customHeight="1">
      <c r="A382" s="42"/>
      <c r="B382" s="42"/>
      <c r="C382" s="42"/>
      <c r="D382" s="42"/>
      <c r="E382" s="42"/>
      <c r="F382" s="42"/>
      <c r="G382" s="42"/>
      <c r="H382" s="42"/>
    </row>
    <row r="383" spans="1:8" ht="16.5" customHeight="1">
      <c r="A383" s="42"/>
      <c r="B383" s="42"/>
      <c r="C383" s="42"/>
      <c r="D383" s="42"/>
      <c r="E383" s="42"/>
      <c r="F383" s="42"/>
      <c r="G383" s="42"/>
      <c r="H383" s="42"/>
    </row>
    <row r="384" spans="1:8" ht="16.5" customHeight="1">
      <c r="A384" s="42"/>
      <c r="B384" s="42"/>
      <c r="C384" s="42"/>
      <c r="D384" s="42"/>
      <c r="E384" s="42"/>
      <c r="F384" s="42"/>
      <c r="G384" s="42"/>
      <c r="H384" s="42"/>
    </row>
    <row r="385" spans="1:8" ht="16.5" customHeight="1">
      <c r="A385" s="42"/>
      <c r="B385" s="42"/>
      <c r="C385" s="42"/>
      <c r="D385" s="42"/>
      <c r="E385" s="42"/>
      <c r="F385" s="42"/>
      <c r="G385" s="42"/>
      <c r="H385" s="42"/>
    </row>
    <row r="386" spans="1:8" ht="16.5" customHeight="1">
      <c r="A386" s="42"/>
      <c r="B386" s="42"/>
      <c r="C386" s="42"/>
      <c r="D386" s="42"/>
      <c r="E386" s="42"/>
      <c r="F386" s="42"/>
      <c r="G386" s="42"/>
      <c r="H386" s="42"/>
    </row>
    <row r="387" spans="1:8" ht="16.5" customHeight="1">
      <c r="A387" s="42"/>
      <c r="B387" s="42"/>
      <c r="C387" s="42"/>
      <c r="D387" s="42"/>
      <c r="E387" s="42"/>
      <c r="F387" s="42"/>
      <c r="G387" s="42"/>
      <c r="H387" s="42"/>
    </row>
    <row r="388" spans="1:8" ht="16.5" customHeight="1">
      <c r="A388" s="42"/>
      <c r="B388" s="42"/>
      <c r="C388" s="42"/>
      <c r="D388" s="42"/>
      <c r="E388" s="42"/>
      <c r="F388" s="42"/>
      <c r="G388" s="42"/>
      <c r="H388" s="42"/>
    </row>
    <row r="389" spans="1:8" ht="16.5" customHeight="1">
      <c r="A389" s="42"/>
      <c r="B389" s="42"/>
      <c r="C389" s="42"/>
      <c r="D389" s="42"/>
      <c r="E389" s="42"/>
      <c r="F389" s="42"/>
      <c r="G389" s="42"/>
      <c r="H389" s="42"/>
    </row>
    <row r="390" spans="1:8" ht="16.5" customHeight="1">
      <c r="A390" s="42"/>
      <c r="B390" s="42"/>
      <c r="C390" s="42"/>
      <c r="D390" s="42"/>
      <c r="E390" s="42"/>
      <c r="F390" s="42"/>
      <c r="G390" s="42"/>
      <c r="H390" s="42"/>
    </row>
    <row r="391" spans="1:8" ht="16.5" customHeight="1">
      <c r="A391" s="42"/>
      <c r="B391" s="42"/>
      <c r="C391" s="42"/>
      <c r="D391" s="42"/>
      <c r="E391" s="42"/>
      <c r="F391" s="42"/>
      <c r="G391" s="42"/>
      <c r="H391" s="42"/>
    </row>
    <row r="392" spans="1:8" ht="16.5" customHeight="1">
      <c r="A392" s="42"/>
      <c r="B392" s="42"/>
      <c r="C392" s="42"/>
      <c r="D392" s="42"/>
      <c r="E392" s="42"/>
      <c r="F392" s="42"/>
      <c r="G392" s="42"/>
      <c r="H392" s="42"/>
    </row>
    <row r="393" spans="1:8" ht="16.5" customHeight="1">
      <c r="A393" s="42"/>
      <c r="B393" s="42"/>
      <c r="C393" s="42"/>
      <c r="D393" s="42"/>
      <c r="E393" s="42"/>
      <c r="F393" s="42"/>
      <c r="G393" s="42"/>
      <c r="H393" s="42"/>
    </row>
    <row r="394" spans="1:8" ht="16.5" customHeight="1">
      <c r="A394" s="42"/>
      <c r="B394" s="42"/>
      <c r="C394" s="42"/>
      <c r="D394" s="42"/>
      <c r="E394" s="42"/>
      <c r="F394" s="42"/>
      <c r="G394" s="42"/>
      <c r="H394" s="42"/>
    </row>
    <row r="395" spans="1:8" ht="16.5" customHeight="1">
      <c r="A395" s="42"/>
      <c r="B395" s="42"/>
      <c r="C395" s="42"/>
      <c r="D395" s="42"/>
      <c r="E395" s="42"/>
      <c r="F395" s="42"/>
      <c r="G395" s="42"/>
      <c r="H395" s="42"/>
    </row>
    <row r="396" spans="1:8" ht="16.5" customHeight="1">
      <c r="A396" s="42"/>
      <c r="B396" s="42"/>
      <c r="C396" s="42"/>
      <c r="D396" s="42"/>
      <c r="E396" s="42"/>
      <c r="F396" s="42"/>
      <c r="G396" s="42"/>
      <c r="H396" s="42"/>
    </row>
    <row r="397" spans="1:8" ht="16.5" customHeight="1">
      <c r="A397" s="42"/>
      <c r="B397" s="42"/>
      <c r="C397" s="42"/>
      <c r="D397" s="42"/>
      <c r="E397" s="42"/>
      <c r="F397" s="42"/>
      <c r="G397" s="42"/>
      <c r="H397" s="42"/>
    </row>
    <row r="398" spans="1:8" ht="16.5" customHeight="1">
      <c r="A398" s="42"/>
      <c r="B398" s="42"/>
      <c r="C398" s="42"/>
      <c r="D398" s="42"/>
      <c r="E398" s="42"/>
      <c r="F398" s="42"/>
      <c r="G398" s="42"/>
      <c r="H398" s="42"/>
    </row>
    <row r="399" spans="1:8" ht="16.5" customHeight="1">
      <c r="A399" s="42"/>
      <c r="B399" s="42"/>
      <c r="C399" s="42"/>
      <c r="D399" s="42"/>
      <c r="E399" s="42"/>
      <c r="F399" s="42"/>
      <c r="G399" s="42"/>
      <c r="H399" s="42"/>
    </row>
    <row r="400" spans="1:8" ht="16.5" customHeight="1">
      <c r="A400" s="42"/>
      <c r="B400" s="42"/>
      <c r="C400" s="42"/>
      <c r="D400" s="42"/>
      <c r="E400" s="42"/>
      <c r="F400" s="42"/>
      <c r="G400" s="42"/>
      <c r="H400" s="42"/>
    </row>
    <row r="401" spans="1:8" ht="16.5" customHeight="1">
      <c r="A401" s="42"/>
      <c r="B401" s="42"/>
      <c r="C401" s="42"/>
      <c r="D401" s="42"/>
      <c r="E401" s="42"/>
      <c r="F401" s="42"/>
      <c r="G401" s="42"/>
      <c r="H401" s="42"/>
    </row>
    <row r="402" spans="1:8" ht="16.5" customHeight="1">
      <c r="A402" s="42"/>
      <c r="B402" s="42"/>
      <c r="C402" s="42"/>
      <c r="D402" s="42"/>
      <c r="E402" s="42"/>
      <c r="F402" s="42"/>
      <c r="G402" s="42"/>
      <c r="H402" s="42"/>
    </row>
    <row r="403" spans="1:8" ht="16.5" customHeight="1">
      <c r="A403" s="42"/>
      <c r="B403" s="42"/>
      <c r="C403" s="42"/>
      <c r="D403" s="42"/>
      <c r="E403" s="42"/>
      <c r="F403" s="42"/>
      <c r="G403" s="42"/>
      <c r="H403" s="42"/>
    </row>
    <row r="404" spans="1:8" ht="16.5" customHeight="1">
      <c r="A404" s="42"/>
      <c r="B404" s="42"/>
      <c r="C404" s="42"/>
      <c r="D404" s="42"/>
      <c r="E404" s="42"/>
      <c r="F404" s="42"/>
      <c r="G404" s="42"/>
      <c r="H404" s="42"/>
    </row>
    <row r="405" spans="1:8" ht="16.5" customHeight="1">
      <c r="A405" s="42"/>
      <c r="B405" s="42"/>
      <c r="C405" s="42"/>
      <c r="D405" s="42"/>
      <c r="E405" s="42"/>
      <c r="F405" s="42"/>
      <c r="G405" s="42"/>
      <c r="H405" s="42"/>
    </row>
    <row r="406" spans="1:8" ht="16.5" customHeight="1">
      <c r="A406" s="42"/>
      <c r="B406" s="42"/>
      <c r="C406" s="42"/>
      <c r="D406" s="42"/>
      <c r="E406" s="42"/>
      <c r="F406" s="42"/>
      <c r="G406" s="42"/>
      <c r="H406" s="42"/>
    </row>
    <row r="407" spans="1:8" ht="16.5" customHeight="1">
      <c r="A407" s="42"/>
      <c r="B407" s="42"/>
      <c r="C407" s="42"/>
      <c r="D407" s="42"/>
      <c r="E407" s="42"/>
      <c r="F407" s="42"/>
      <c r="G407" s="42"/>
      <c r="H407" s="42"/>
    </row>
    <row r="408" spans="1:8" ht="16.5" customHeight="1">
      <c r="A408" s="42"/>
      <c r="B408" s="42"/>
      <c r="C408" s="42"/>
      <c r="D408" s="42"/>
      <c r="E408" s="42"/>
      <c r="F408" s="42"/>
      <c r="G408" s="42"/>
      <c r="H408" s="42"/>
    </row>
    <row r="409" spans="1:8" ht="16.5" customHeight="1">
      <c r="A409" s="42"/>
      <c r="B409" s="42"/>
      <c r="C409" s="42"/>
      <c r="D409" s="42"/>
      <c r="E409" s="42"/>
      <c r="F409" s="42"/>
      <c r="G409" s="42"/>
      <c r="H409" s="42"/>
    </row>
    <row r="410" spans="1:8" ht="16.5" customHeight="1">
      <c r="A410" s="42"/>
      <c r="B410" s="42"/>
      <c r="C410" s="42"/>
      <c r="D410" s="42"/>
      <c r="E410" s="42"/>
      <c r="F410" s="42"/>
      <c r="G410" s="42"/>
      <c r="H410" s="42"/>
    </row>
    <row r="411" spans="1:8" ht="16.5" customHeight="1">
      <c r="A411" s="42"/>
      <c r="B411" s="42"/>
      <c r="C411" s="42"/>
      <c r="D411" s="42"/>
      <c r="E411" s="42"/>
      <c r="F411" s="42"/>
      <c r="G411" s="42"/>
      <c r="H411" s="42"/>
    </row>
    <row r="412" spans="1:8" ht="16.5" customHeight="1">
      <c r="A412" s="42"/>
      <c r="B412" s="42"/>
      <c r="C412" s="42"/>
      <c r="D412" s="42"/>
      <c r="E412" s="42"/>
      <c r="F412" s="42"/>
      <c r="G412" s="42"/>
      <c r="H412" s="42"/>
    </row>
    <row r="413" spans="1:8" ht="16.5" customHeight="1">
      <c r="A413" s="42"/>
      <c r="B413" s="42"/>
      <c r="C413" s="42"/>
      <c r="D413" s="42"/>
      <c r="E413" s="42"/>
      <c r="F413" s="42"/>
      <c r="G413" s="42"/>
      <c r="H413" s="42"/>
    </row>
    <row r="414" spans="1:8" ht="16.5" customHeight="1">
      <c r="A414" s="42"/>
      <c r="B414" s="42"/>
      <c r="C414" s="42"/>
      <c r="D414" s="42"/>
      <c r="E414" s="42"/>
      <c r="F414" s="42"/>
      <c r="G414" s="42"/>
      <c r="H414" s="42"/>
    </row>
    <row r="415" spans="1:8" ht="16.5" customHeight="1">
      <c r="A415" s="42"/>
      <c r="B415" s="42"/>
      <c r="C415" s="42"/>
      <c r="D415" s="42"/>
      <c r="E415" s="42"/>
      <c r="F415" s="42"/>
      <c r="G415" s="42"/>
      <c r="H415" s="42"/>
    </row>
    <row r="416" spans="1:8" ht="16.5" customHeight="1">
      <c r="A416" s="42"/>
      <c r="B416" s="42"/>
      <c r="C416" s="42"/>
      <c r="D416" s="42"/>
      <c r="E416" s="42"/>
      <c r="F416" s="42"/>
      <c r="G416" s="42"/>
      <c r="H416" s="42"/>
    </row>
    <row r="417" spans="1:8" ht="16.5" customHeight="1">
      <c r="A417" s="42"/>
      <c r="B417" s="42"/>
      <c r="C417" s="42"/>
      <c r="D417" s="42"/>
      <c r="E417" s="42"/>
      <c r="F417" s="42"/>
      <c r="G417" s="42"/>
      <c r="H417" s="42"/>
    </row>
    <row r="418" spans="1:8" ht="16.5" customHeight="1">
      <c r="A418" s="42"/>
      <c r="B418" s="42"/>
      <c r="C418" s="42"/>
      <c r="D418" s="42"/>
      <c r="E418" s="42"/>
      <c r="F418" s="42"/>
      <c r="G418" s="42"/>
      <c r="H418" s="42"/>
    </row>
    <row r="419" spans="1:8" ht="16.5" customHeight="1">
      <c r="A419" s="42"/>
      <c r="B419" s="42"/>
      <c r="C419" s="42"/>
      <c r="D419" s="42"/>
      <c r="E419" s="42"/>
      <c r="F419" s="42"/>
      <c r="G419" s="42"/>
      <c r="H419" s="42"/>
    </row>
    <row r="420" spans="1:8" ht="16.5" customHeight="1">
      <c r="A420" s="42"/>
      <c r="B420" s="42"/>
      <c r="C420" s="42"/>
      <c r="D420" s="42"/>
      <c r="E420" s="42"/>
      <c r="F420" s="42"/>
      <c r="G420" s="42"/>
      <c r="H420" s="42"/>
    </row>
    <row r="421" spans="1:8" ht="16.5" customHeight="1">
      <c r="A421" s="42"/>
      <c r="B421" s="42"/>
      <c r="C421" s="42"/>
      <c r="D421" s="42"/>
      <c r="E421" s="42"/>
      <c r="F421" s="42"/>
      <c r="G421" s="42"/>
      <c r="H421" s="42"/>
    </row>
    <row r="422" spans="1:8" ht="16.5" customHeight="1">
      <c r="A422" s="42"/>
      <c r="B422" s="42"/>
      <c r="C422" s="42"/>
      <c r="D422" s="42"/>
      <c r="E422" s="42"/>
      <c r="F422" s="42"/>
      <c r="G422" s="42"/>
      <c r="H422" s="42"/>
    </row>
    <row r="423" spans="1:8" ht="16.5" customHeight="1">
      <c r="A423" s="42"/>
      <c r="B423" s="42"/>
      <c r="C423" s="42"/>
      <c r="D423" s="42"/>
      <c r="E423" s="42"/>
      <c r="F423" s="42"/>
      <c r="G423" s="42"/>
      <c r="H423" s="42"/>
    </row>
    <row r="424" spans="1:8" ht="16.5" customHeight="1">
      <c r="A424" s="42"/>
      <c r="B424" s="42"/>
      <c r="C424" s="42"/>
      <c r="D424" s="42"/>
      <c r="E424" s="42"/>
      <c r="F424" s="42"/>
      <c r="G424" s="42"/>
      <c r="H424" s="42"/>
    </row>
    <row r="425" spans="1:8" ht="16.5" customHeight="1">
      <c r="A425" s="42"/>
      <c r="B425" s="42"/>
      <c r="C425" s="42"/>
      <c r="D425" s="42"/>
      <c r="E425" s="42"/>
      <c r="F425" s="42"/>
      <c r="G425" s="42"/>
      <c r="H425" s="42"/>
    </row>
    <row r="426" spans="1:8" ht="16.5" customHeight="1">
      <c r="A426" s="42"/>
      <c r="B426" s="42"/>
      <c r="C426" s="42"/>
      <c r="D426" s="42"/>
      <c r="E426" s="42"/>
      <c r="F426" s="42"/>
      <c r="G426" s="42"/>
      <c r="H426" s="42"/>
    </row>
    <row r="427" spans="1:8" ht="16.5" customHeight="1">
      <c r="A427" s="42"/>
      <c r="B427" s="42"/>
      <c r="C427" s="42"/>
      <c r="D427" s="42"/>
      <c r="E427" s="42"/>
      <c r="F427" s="42"/>
      <c r="G427" s="42"/>
      <c r="H427" s="42"/>
    </row>
    <row r="428" spans="1:8" ht="16.5" customHeight="1">
      <c r="A428" s="42"/>
      <c r="B428" s="42"/>
      <c r="C428" s="42"/>
      <c r="D428" s="42"/>
      <c r="E428" s="42"/>
      <c r="F428" s="42"/>
      <c r="G428" s="42"/>
      <c r="H428" s="42"/>
    </row>
    <row r="429" spans="1:8" ht="16.5" customHeight="1">
      <c r="A429" s="42"/>
      <c r="B429" s="42"/>
      <c r="C429" s="42"/>
      <c r="D429" s="42"/>
      <c r="E429" s="42"/>
      <c r="F429" s="42"/>
      <c r="G429" s="42"/>
      <c r="H429" s="42"/>
    </row>
    <row r="430" spans="1:8" ht="16.5" customHeight="1">
      <c r="A430" s="42"/>
      <c r="B430" s="42"/>
      <c r="C430" s="42"/>
      <c r="D430" s="42"/>
      <c r="E430" s="42"/>
      <c r="F430" s="42"/>
      <c r="G430" s="42"/>
      <c r="H430" s="42"/>
    </row>
    <row r="431" spans="1:8" ht="16.5" customHeight="1">
      <c r="A431" s="42"/>
      <c r="B431" s="42"/>
      <c r="C431" s="42"/>
      <c r="D431" s="42"/>
      <c r="E431" s="42"/>
      <c r="F431" s="42"/>
      <c r="G431" s="42"/>
      <c r="H431" s="42"/>
    </row>
    <row r="432" spans="1:8" ht="16.5" customHeight="1">
      <c r="A432" s="42"/>
      <c r="B432" s="42"/>
      <c r="C432" s="42"/>
      <c r="D432" s="42"/>
      <c r="E432" s="42"/>
      <c r="F432" s="42"/>
      <c r="G432" s="42"/>
      <c r="H432" s="42"/>
    </row>
    <row r="433" spans="1:8" ht="16.5" customHeight="1">
      <c r="A433" s="42"/>
      <c r="B433" s="42"/>
      <c r="C433" s="42"/>
      <c r="D433" s="42"/>
      <c r="E433" s="42"/>
      <c r="F433" s="42"/>
      <c r="G433" s="42"/>
      <c r="H433" s="42"/>
    </row>
    <row r="434" spans="1:8" ht="16.5" customHeight="1">
      <c r="A434" s="42"/>
      <c r="B434" s="42"/>
      <c r="C434" s="42"/>
      <c r="D434" s="42"/>
      <c r="E434" s="42"/>
      <c r="F434" s="42"/>
      <c r="G434" s="42"/>
      <c r="H434" s="42"/>
    </row>
    <row r="435" spans="1:8" ht="16.5" customHeight="1">
      <c r="A435" s="42"/>
      <c r="B435" s="42"/>
      <c r="C435" s="42"/>
      <c r="D435" s="42"/>
      <c r="E435" s="42"/>
      <c r="F435" s="42"/>
      <c r="G435" s="42"/>
      <c r="H435" s="42"/>
    </row>
    <row r="436" spans="1:8" ht="16.5" customHeight="1">
      <c r="A436" s="42"/>
      <c r="B436" s="42"/>
      <c r="C436" s="42"/>
      <c r="D436" s="42"/>
      <c r="E436" s="42"/>
      <c r="F436" s="42"/>
      <c r="G436" s="42"/>
      <c r="H436" s="42"/>
    </row>
    <row r="437" spans="1:8" ht="16.5" customHeight="1">
      <c r="A437" s="42"/>
      <c r="B437" s="42"/>
      <c r="C437" s="42"/>
      <c r="D437" s="42"/>
      <c r="E437" s="42"/>
      <c r="F437" s="42"/>
      <c r="G437" s="42"/>
      <c r="H437" s="42"/>
    </row>
    <row r="438" spans="1:8" ht="16.5" customHeight="1">
      <c r="A438" s="42"/>
      <c r="B438" s="42"/>
      <c r="C438" s="42"/>
      <c r="D438" s="42"/>
      <c r="E438" s="42"/>
      <c r="F438" s="42"/>
      <c r="G438" s="42"/>
      <c r="H438" s="42"/>
    </row>
    <row r="439" spans="1:8" ht="16.5" customHeight="1">
      <c r="A439" s="42"/>
      <c r="B439" s="42"/>
      <c r="C439" s="42"/>
      <c r="D439" s="42"/>
      <c r="E439" s="42"/>
      <c r="F439" s="42"/>
      <c r="G439" s="42"/>
      <c r="H439" s="42"/>
    </row>
    <row r="440" spans="1:8" ht="16.5" customHeight="1">
      <c r="A440" s="42"/>
      <c r="B440" s="42"/>
      <c r="C440" s="42"/>
      <c r="D440" s="42"/>
      <c r="E440" s="42"/>
      <c r="F440" s="42"/>
      <c r="G440" s="42"/>
      <c r="H440" s="42"/>
    </row>
    <row r="441" spans="1:8" ht="16.5" customHeight="1">
      <c r="A441" s="42"/>
      <c r="B441" s="42"/>
      <c r="C441" s="42"/>
      <c r="D441" s="42"/>
      <c r="E441" s="42"/>
      <c r="F441" s="42"/>
      <c r="G441" s="42"/>
      <c r="H441" s="42"/>
    </row>
    <row r="442" spans="1:8" ht="16.5" customHeight="1">
      <c r="A442" s="42"/>
      <c r="B442" s="42"/>
      <c r="C442" s="42"/>
      <c r="D442" s="42"/>
      <c r="E442" s="42"/>
      <c r="F442" s="42"/>
      <c r="G442" s="42"/>
      <c r="H442" s="42"/>
    </row>
    <row r="443" spans="1:8" ht="16.5" customHeight="1">
      <c r="A443" s="42"/>
      <c r="B443" s="42"/>
      <c r="C443" s="42"/>
      <c r="D443" s="42"/>
      <c r="E443" s="42"/>
      <c r="F443" s="42"/>
      <c r="G443" s="42"/>
      <c r="H443" s="42"/>
    </row>
    <row r="444" spans="1:8" ht="16.5" customHeight="1">
      <c r="A444" s="42"/>
      <c r="B444" s="42"/>
      <c r="C444" s="42"/>
      <c r="D444" s="42"/>
      <c r="E444" s="42"/>
      <c r="F444" s="42"/>
      <c r="G444" s="42"/>
      <c r="H444" s="42"/>
    </row>
    <row r="445" spans="1:8" ht="16.5" customHeight="1">
      <c r="A445" s="42"/>
      <c r="B445" s="42"/>
      <c r="C445" s="42"/>
      <c r="D445" s="42"/>
      <c r="E445" s="42"/>
      <c r="F445" s="42"/>
      <c r="G445" s="42"/>
      <c r="H445" s="42"/>
    </row>
    <row r="446" spans="1:8" ht="16.5" customHeight="1">
      <c r="A446" s="42"/>
      <c r="B446" s="42"/>
      <c r="C446" s="42"/>
      <c r="D446" s="42"/>
      <c r="E446" s="42"/>
      <c r="F446" s="42"/>
      <c r="G446" s="42"/>
      <c r="H446" s="42"/>
    </row>
    <row r="447" spans="1:8" ht="16.5" customHeight="1">
      <c r="A447" s="42"/>
      <c r="B447" s="42"/>
      <c r="C447" s="42"/>
      <c r="D447" s="42"/>
      <c r="E447" s="42"/>
      <c r="F447" s="42"/>
      <c r="G447" s="42"/>
      <c r="H447" s="42"/>
    </row>
    <row r="448" spans="1:8" ht="16.5" customHeight="1">
      <c r="A448" s="42"/>
      <c r="B448" s="42"/>
      <c r="C448" s="42"/>
      <c r="D448" s="42"/>
      <c r="E448" s="42"/>
      <c r="F448" s="42"/>
      <c r="G448" s="42"/>
      <c r="H448" s="42"/>
    </row>
    <row r="449" spans="1:8" ht="16.5" customHeight="1">
      <c r="A449" s="42"/>
      <c r="B449" s="42"/>
      <c r="C449" s="42"/>
      <c r="D449" s="42"/>
      <c r="E449" s="42"/>
      <c r="F449" s="42"/>
      <c r="G449" s="42"/>
      <c r="H449" s="42"/>
    </row>
    <row r="450" spans="1:8" ht="16.5" customHeight="1">
      <c r="A450" s="42"/>
      <c r="B450" s="42"/>
      <c r="C450" s="42"/>
      <c r="D450" s="42"/>
      <c r="E450" s="42"/>
      <c r="F450" s="42"/>
      <c r="G450" s="42"/>
      <c r="H450" s="42"/>
    </row>
    <row r="451" spans="1:8" ht="16.5" customHeight="1">
      <c r="A451" s="42"/>
      <c r="B451" s="42"/>
      <c r="C451" s="42"/>
      <c r="D451" s="42"/>
      <c r="E451" s="42"/>
      <c r="F451" s="42"/>
      <c r="G451" s="42"/>
      <c r="H451" s="42"/>
    </row>
    <row r="452" spans="1:8" ht="16.5" customHeight="1">
      <c r="A452" s="42"/>
      <c r="B452" s="42"/>
      <c r="C452" s="42"/>
      <c r="D452" s="42"/>
      <c r="E452" s="42"/>
      <c r="F452" s="42"/>
      <c r="G452" s="42"/>
      <c r="H452" s="42"/>
    </row>
    <row r="453" spans="1:8" ht="16.5" customHeight="1">
      <c r="A453" s="42"/>
      <c r="B453" s="42"/>
      <c r="C453" s="42"/>
      <c r="D453" s="42"/>
      <c r="E453" s="42"/>
      <c r="F453" s="42"/>
      <c r="G453" s="42"/>
      <c r="H453" s="42"/>
    </row>
    <row r="454" spans="1:8" ht="16.5" customHeight="1">
      <c r="A454" s="42"/>
      <c r="B454" s="42"/>
      <c r="C454" s="42"/>
      <c r="D454" s="42"/>
      <c r="E454" s="42"/>
      <c r="F454" s="42"/>
      <c r="G454" s="42"/>
      <c r="H454" s="42"/>
    </row>
    <row r="455" spans="1:8" ht="16.5" customHeight="1">
      <c r="A455" s="42"/>
      <c r="B455" s="42"/>
      <c r="C455" s="42"/>
      <c r="D455" s="42"/>
      <c r="E455" s="42"/>
      <c r="F455" s="42"/>
      <c r="G455" s="42"/>
      <c r="H455" s="42"/>
    </row>
    <row r="456" spans="1:8" ht="16.5" customHeight="1">
      <c r="A456" s="42"/>
      <c r="B456" s="42"/>
      <c r="C456" s="42"/>
      <c r="D456" s="42"/>
      <c r="E456" s="42"/>
      <c r="F456" s="42"/>
      <c r="G456" s="42"/>
      <c r="H456" s="42"/>
    </row>
    <row r="457" spans="1:8" ht="16.5" customHeight="1">
      <c r="A457" s="42"/>
      <c r="B457" s="42"/>
      <c r="C457" s="42"/>
      <c r="D457" s="42"/>
      <c r="E457" s="42"/>
      <c r="F457" s="42"/>
      <c r="G457" s="42"/>
      <c r="H457" s="42"/>
    </row>
    <row r="458" spans="1:8" ht="16.5" customHeight="1">
      <c r="A458" s="42"/>
      <c r="B458" s="42"/>
      <c r="C458" s="42"/>
      <c r="D458" s="42"/>
      <c r="E458" s="42"/>
      <c r="F458" s="42"/>
      <c r="G458" s="42"/>
      <c r="H458" s="42"/>
    </row>
    <row r="459" spans="1:8" ht="16.5" customHeight="1">
      <c r="A459" s="42"/>
      <c r="B459" s="42"/>
      <c r="C459" s="42"/>
      <c r="D459" s="42"/>
      <c r="E459" s="42"/>
      <c r="F459" s="42"/>
      <c r="G459" s="42"/>
      <c r="H459" s="42"/>
    </row>
    <row r="460" spans="1:8" ht="16.5" customHeight="1">
      <c r="A460" s="42"/>
      <c r="B460" s="42"/>
      <c r="C460" s="42"/>
      <c r="D460" s="42"/>
      <c r="E460" s="42"/>
      <c r="F460" s="42"/>
      <c r="G460" s="42"/>
      <c r="H460" s="42"/>
    </row>
    <row r="461" spans="1:8" ht="16.5" customHeight="1">
      <c r="A461" s="42"/>
      <c r="B461" s="42"/>
      <c r="C461" s="42"/>
      <c r="D461" s="42"/>
      <c r="E461" s="42"/>
      <c r="F461" s="42"/>
      <c r="G461" s="42"/>
      <c r="H461" s="42"/>
    </row>
    <row r="462" spans="1:8" ht="16.5" customHeight="1">
      <c r="A462" s="42"/>
      <c r="B462" s="42"/>
      <c r="C462" s="42"/>
      <c r="D462" s="42"/>
      <c r="E462" s="42"/>
      <c r="F462" s="42"/>
      <c r="G462" s="42"/>
      <c r="H462" s="42"/>
    </row>
    <row r="463" spans="1:8" ht="16.5" customHeight="1">
      <c r="A463" s="42"/>
      <c r="B463" s="42"/>
      <c r="C463" s="42"/>
      <c r="D463" s="42"/>
      <c r="E463" s="42"/>
      <c r="F463" s="42"/>
      <c r="G463" s="42"/>
      <c r="H463" s="42"/>
    </row>
    <row r="464" spans="1:8" ht="16.5" customHeight="1">
      <c r="A464" s="42"/>
      <c r="B464" s="42"/>
      <c r="C464" s="42"/>
      <c r="D464" s="42"/>
      <c r="E464" s="42"/>
      <c r="F464" s="42"/>
      <c r="G464" s="42"/>
      <c r="H464" s="42"/>
    </row>
    <row r="465" spans="1:8" ht="16.5" customHeight="1">
      <c r="A465" s="42"/>
      <c r="B465" s="42"/>
      <c r="C465" s="42"/>
      <c r="D465" s="42"/>
      <c r="E465" s="42"/>
      <c r="F465" s="42"/>
      <c r="G465" s="42"/>
      <c r="H465" s="42"/>
    </row>
    <row r="466" spans="1:8" ht="16.5" customHeight="1">
      <c r="A466" s="42"/>
      <c r="B466" s="42"/>
      <c r="C466" s="42"/>
      <c r="D466" s="42"/>
      <c r="E466" s="42"/>
      <c r="F466" s="42"/>
      <c r="G466" s="42"/>
      <c r="H466" s="42"/>
    </row>
    <row r="467" spans="1:8" ht="16.5" customHeight="1">
      <c r="A467" s="42"/>
      <c r="B467" s="42"/>
      <c r="C467" s="42"/>
      <c r="D467" s="42"/>
      <c r="E467" s="42"/>
      <c r="F467" s="42"/>
      <c r="G467" s="42"/>
      <c r="H467" s="42"/>
    </row>
    <row r="468" spans="1:8" ht="16.5" customHeight="1">
      <c r="A468" s="42"/>
      <c r="B468" s="42"/>
      <c r="C468" s="42"/>
      <c r="D468" s="42"/>
      <c r="E468" s="42"/>
      <c r="F468" s="42"/>
      <c r="G468" s="42"/>
      <c r="H468" s="42"/>
    </row>
    <row r="469" spans="1:8" ht="16.5" customHeight="1">
      <c r="A469" s="42"/>
      <c r="B469" s="42"/>
      <c r="C469" s="42"/>
      <c r="D469" s="42"/>
      <c r="E469" s="42"/>
      <c r="F469" s="42"/>
      <c r="G469" s="42"/>
      <c r="H469" s="42"/>
    </row>
    <row r="470" spans="1:8" ht="16.5" customHeight="1">
      <c r="A470" s="42"/>
      <c r="B470" s="42"/>
      <c r="C470" s="42"/>
      <c r="D470" s="42"/>
      <c r="E470" s="42"/>
      <c r="F470" s="42"/>
      <c r="G470" s="42"/>
      <c r="H470" s="42"/>
    </row>
    <row r="471" spans="1:8" ht="16.5" customHeight="1">
      <c r="A471" s="42"/>
      <c r="B471" s="42"/>
      <c r="C471" s="42"/>
      <c r="D471" s="42"/>
      <c r="E471" s="42"/>
      <c r="F471" s="42"/>
      <c r="G471" s="42"/>
      <c r="H471" s="42"/>
    </row>
    <row r="472" spans="1:8" ht="16.5" customHeight="1">
      <c r="A472" s="42"/>
      <c r="B472" s="42"/>
      <c r="C472" s="42"/>
      <c r="D472" s="42"/>
      <c r="E472" s="42"/>
      <c r="F472" s="42"/>
      <c r="G472" s="42"/>
      <c r="H472" s="42"/>
    </row>
    <row r="473" spans="1:8" ht="16.5" customHeight="1">
      <c r="A473" s="42"/>
      <c r="B473" s="42"/>
      <c r="C473" s="42"/>
      <c r="D473" s="42"/>
      <c r="E473" s="42"/>
      <c r="F473" s="42"/>
      <c r="G473" s="42"/>
      <c r="H473" s="42"/>
    </row>
    <row r="474" spans="1:8" ht="16.5" customHeight="1">
      <c r="A474" s="42"/>
      <c r="B474" s="42"/>
      <c r="C474" s="42"/>
      <c r="D474" s="42"/>
      <c r="E474" s="42"/>
      <c r="F474" s="42"/>
      <c r="G474" s="42"/>
      <c r="H474" s="42"/>
    </row>
    <row r="475" spans="1:8" ht="16.5" customHeight="1">
      <c r="A475" s="42"/>
      <c r="B475" s="42"/>
      <c r="C475" s="42"/>
      <c r="D475" s="42"/>
      <c r="E475" s="42"/>
      <c r="F475" s="42"/>
      <c r="G475" s="42"/>
      <c r="H475" s="42"/>
    </row>
    <row r="476" spans="1:8" ht="16.5" customHeight="1">
      <c r="A476" s="42"/>
      <c r="B476" s="42"/>
      <c r="C476" s="42"/>
      <c r="D476" s="42"/>
      <c r="E476" s="42"/>
      <c r="F476" s="42"/>
      <c r="G476" s="42"/>
      <c r="H476" s="42"/>
    </row>
    <row r="477" spans="1:8" ht="16.5" customHeight="1">
      <c r="A477" s="42"/>
      <c r="B477" s="42"/>
      <c r="C477" s="42"/>
      <c r="D477" s="42"/>
      <c r="E477" s="42"/>
      <c r="F477" s="42"/>
      <c r="G477" s="42"/>
      <c r="H477" s="42"/>
    </row>
    <row r="478" spans="1:8" ht="16.5" customHeight="1">
      <c r="A478" s="42"/>
      <c r="B478" s="42"/>
      <c r="C478" s="42"/>
      <c r="D478" s="42"/>
      <c r="E478" s="42"/>
      <c r="F478" s="42"/>
      <c r="G478" s="42"/>
      <c r="H478" s="42"/>
    </row>
    <row r="479" spans="1:8" ht="16.5" customHeight="1">
      <c r="A479" s="42"/>
      <c r="B479" s="42"/>
      <c r="C479" s="42"/>
      <c r="D479" s="42"/>
      <c r="E479" s="42"/>
      <c r="F479" s="42"/>
      <c r="G479" s="42"/>
      <c r="H479" s="42"/>
    </row>
    <row r="480" spans="1:8" ht="16.5" customHeight="1">
      <c r="A480" s="42"/>
      <c r="B480" s="42"/>
      <c r="C480" s="42"/>
      <c r="D480" s="42"/>
      <c r="E480" s="42"/>
      <c r="F480" s="42"/>
      <c r="G480" s="42"/>
      <c r="H480" s="42"/>
    </row>
    <row r="481" spans="1:8" ht="16.5" customHeight="1">
      <c r="A481" s="42"/>
      <c r="B481" s="42"/>
      <c r="C481" s="42"/>
      <c r="D481" s="42"/>
      <c r="E481" s="42"/>
      <c r="F481" s="42"/>
      <c r="G481" s="42"/>
      <c r="H481" s="42"/>
    </row>
    <row r="482" spans="1:8" ht="16.5" customHeight="1">
      <c r="A482" s="42"/>
      <c r="B482" s="42"/>
      <c r="C482" s="42"/>
      <c r="D482" s="42"/>
      <c r="E482" s="42"/>
      <c r="F482" s="42"/>
      <c r="G482" s="42"/>
      <c r="H482" s="42"/>
    </row>
    <row r="483" spans="1:8" ht="16.5" customHeight="1">
      <c r="A483" s="42"/>
      <c r="B483" s="42"/>
      <c r="C483" s="42"/>
      <c r="D483" s="42"/>
      <c r="E483" s="42"/>
      <c r="F483" s="42"/>
      <c r="G483" s="42"/>
      <c r="H483" s="42"/>
    </row>
    <row r="484" spans="1:8" ht="16.5" customHeight="1">
      <c r="A484" s="42"/>
      <c r="B484" s="42"/>
      <c r="C484" s="42"/>
      <c r="D484" s="42"/>
      <c r="E484" s="42"/>
      <c r="F484" s="42"/>
      <c r="G484" s="42"/>
      <c r="H484" s="42"/>
    </row>
    <row r="485" spans="1:8" ht="16.5" customHeight="1">
      <c r="A485" s="42"/>
      <c r="B485" s="42"/>
      <c r="C485" s="42"/>
      <c r="D485" s="42"/>
      <c r="E485" s="42"/>
      <c r="F485" s="42"/>
      <c r="G485" s="42"/>
      <c r="H485" s="42"/>
    </row>
    <row r="486" spans="1:8" ht="16.5" customHeight="1">
      <c r="A486" s="42"/>
      <c r="B486" s="42"/>
      <c r="C486" s="42"/>
      <c r="D486" s="42"/>
      <c r="E486" s="42"/>
      <c r="F486" s="42"/>
      <c r="G486" s="42"/>
      <c r="H486" s="42"/>
    </row>
    <row r="487" spans="1:8" ht="16.5" customHeight="1">
      <c r="A487" s="42"/>
      <c r="B487" s="42"/>
      <c r="C487" s="42"/>
      <c r="D487" s="42"/>
      <c r="E487" s="42"/>
      <c r="F487" s="42"/>
      <c r="G487" s="42"/>
      <c r="H487" s="42"/>
    </row>
    <row r="488" spans="1:8" ht="16.5" customHeight="1">
      <c r="A488" s="42"/>
      <c r="B488" s="42"/>
      <c r="C488" s="42"/>
      <c r="D488" s="42"/>
      <c r="E488" s="42"/>
      <c r="F488" s="42"/>
      <c r="G488" s="42"/>
      <c r="H488" s="42"/>
    </row>
    <row r="489" spans="1:8" ht="16.5" customHeight="1">
      <c r="A489" s="42"/>
      <c r="B489" s="42"/>
      <c r="C489" s="42"/>
      <c r="D489" s="42"/>
      <c r="E489" s="42"/>
      <c r="F489" s="42"/>
      <c r="G489" s="42"/>
      <c r="H489" s="42"/>
    </row>
    <row r="490" spans="1:8" ht="16.5" customHeight="1">
      <c r="A490" s="42"/>
      <c r="B490" s="42"/>
      <c r="C490" s="42"/>
      <c r="D490" s="42"/>
      <c r="E490" s="42"/>
      <c r="F490" s="42"/>
      <c r="G490" s="42"/>
      <c r="H490" s="42"/>
    </row>
    <row r="491" spans="1:8" ht="16.5" customHeight="1">
      <c r="A491" s="42"/>
      <c r="B491" s="42"/>
      <c r="C491" s="42"/>
      <c r="D491" s="42"/>
      <c r="E491" s="42"/>
      <c r="F491" s="42"/>
      <c r="G491" s="42"/>
      <c r="H491" s="42"/>
    </row>
    <row r="492" spans="1:8" ht="16.5" customHeight="1">
      <c r="A492" s="42"/>
      <c r="B492" s="42"/>
      <c r="C492" s="42"/>
      <c r="D492" s="42"/>
      <c r="E492" s="42"/>
      <c r="F492" s="42"/>
      <c r="G492" s="42"/>
      <c r="H492" s="42"/>
    </row>
    <row r="493" spans="1:8" ht="16.5" customHeight="1">
      <c r="A493" s="42"/>
      <c r="B493" s="42"/>
      <c r="C493" s="42"/>
      <c r="D493" s="42"/>
      <c r="E493" s="42"/>
      <c r="F493" s="42"/>
      <c r="G493" s="42"/>
      <c r="H493" s="42"/>
    </row>
    <row r="494" spans="1:8" ht="16.5" customHeight="1">
      <c r="A494" s="42"/>
      <c r="B494" s="42"/>
      <c r="C494" s="42"/>
      <c r="D494" s="42"/>
      <c r="E494" s="42"/>
      <c r="F494" s="42"/>
      <c r="G494" s="42"/>
      <c r="H494" s="42"/>
    </row>
    <row r="495" spans="1:8" ht="16.5" customHeight="1">
      <c r="A495" s="42"/>
      <c r="B495" s="42"/>
      <c r="C495" s="42"/>
      <c r="D495" s="42"/>
      <c r="E495" s="42"/>
      <c r="F495" s="42"/>
      <c r="G495" s="42"/>
      <c r="H495" s="42"/>
    </row>
    <row r="496" spans="1:8" ht="16.5" customHeight="1">
      <c r="A496" s="42"/>
      <c r="B496" s="42"/>
      <c r="C496" s="42"/>
      <c r="D496" s="42"/>
      <c r="E496" s="42"/>
      <c r="F496" s="42"/>
      <c r="G496" s="42"/>
      <c r="H496" s="42"/>
    </row>
    <row r="497" spans="1:8" ht="16.5" customHeight="1">
      <c r="A497" s="42"/>
      <c r="B497" s="42"/>
      <c r="C497" s="42"/>
      <c r="D497" s="42"/>
      <c r="E497" s="42"/>
      <c r="F497" s="42"/>
      <c r="G497" s="42"/>
      <c r="H497" s="42"/>
    </row>
    <row r="498" spans="1:8" ht="16.5" customHeight="1">
      <c r="A498" s="42"/>
      <c r="B498" s="42"/>
      <c r="C498" s="42"/>
      <c r="D498" s="42"/>
      <c r="E498" s="42"/>
      <c r="F498" s="42"/>
      <c r="G498" s="42"/>
      <c r="H498" s="42"/>
    </row>
    <row r="499" spans="1:8" ht="16.5" customHeight="1">
      <c r="A499" s="42"/>
      <c r="B499" s="42"/>
      <c r="C499" s="42"/>
      <c r="D499" s="42"/>
      <c r="E499" s="42"/>
      <c r="F499" s="42"/>
      <c r="G499" s="42"/>
      <c r="H499" s="42"/>
    </row>
    <row r="500" spans="1:8" ht="16.5" customHeight="1">
      <c r="A500" s="42"/>
      <c r="B500" s="42"/>
      <c r="C500" s="42"/>
      <c r="D500" s="42"/>
      <c r="E500" s="42"/>
      <c r="F500" s="42"/>
      <c r="G500" s="42"/>
      <c r="H500" s="42"/>
    </row>
    <row r="501" spans="1:8" ht="16.5" customHeight="1">
      <c r="A501" s="42"/>
      <c r="B501" s="42"/>
      <c r="C501" s="42"/>
      <c r="D501" s="42"/>
      <c r="E501" s="42"/>
      <c r="F501" s="42"/>
      <c r="G501" s="42"/>
      <c r="H501" s="42"/>
    </row>
    <row r="502" spans="1:8" ht="16.5" customHeight="1">
      <c r="A502" s="42"/>
      <c r="B502" s="42"/>
      <c r="C502" s="42"/>
      <c r="D502" s="42"/>
      <c r="E502" s="42"/>
      <c r="F502" s="42"/>
      <c r="G502" s="42"/>
      <c r="H502" s="42"/>
    </row>
    <row r="503" spans="1:8" ht="16.5" customHeight="1">
      <c r="A503" s="42"/>
      <c r="B503" s="42"/>
      <c r="C503" s="42"/>
      <c r="D503" s="42"/>
      <c r="E503" s="42"/>
      <c r="F503" s="42"/>
      <c r="G503" s="42"/>
      <c r="H503" s="42"/>
    </row>
    <row r="504" spans="1:8" ht="16.5" customHeight="1">
      <c r="A504" s="42"/>
      <c r="B504" s="42"/>
      <c r="C504" s="42"/>
      <c r="D504" s="42"/>
      <c r="E504" s="42"/>
      <c r="F504" s="42"/>
      <c r="G504" s="42"/>
      <c r="H504" s="42"/>
    </row>
    <row r="505" spans="1:8" ht="16.5" customHeight="1">
      <c r="A505" s="42"/>
      <c r="B505" s="42"/>
      <c r="C505" s="42"/>
      <c r="D505" s="42"/>
      <c r="E505" s="42"/>
      <c r="F505" s="42"/>
      <c r="G505" s="42"/>
      <c r="H505" s="42"/>
    </row>
    <row r="506" spans="1:8" ht="16.5" customHeight="1">
      <c r="A506" s="42"/>
      <c r="B506" s="42"/>
      <c r="C506" s="42"/>
      <c r="D506" s="42"/>
      <c r="E506" s="42"/>
      <c r="F506" s="42"/>
      <c r="G506" s="42"/>
      <c r="H506" s="42"/>
    </row>
    <row r="507" spans="1:8" ht="16.5" customHeight="1">
      <c r="A507" s="42"/>
      <c r="B507" s="42"/>
      <c r="C507" s="42"/>
      <c r="D507" s="42"/>
      <c r="E507" s="42"/>
      <c r="F507" s="42"/>
      <c r="G507" s="42"/>
      <c r="H507" s="42"/>
    </row>
    <row r="508" spans="1:8" ht="16.5" customHeight="1">
      <c r="A508" s="42"/>
      <c r="B508" s="42"/>
      <c r="C508" s="42"/>
      <c r="D508" s="42"/>
      <c r="E508" s="42"/>
      <c r="F508" s="42"/>
      <c r="G508" s="42"/>
      <c r="H508" s="42"/>
    </row>
    <row r="509" spans="1:8" ht="16.5" customHeight="1">
      <c r="A509" s="42"/>
      <c r="B509" s="42"/>
      <c r="C509" s="42"/>
      <c r="D509" s="42"/>
      <c r="E509" s="42"/>
      <c r="F509" s="42"/>
      <c r="G509" s="42"/>
      <c r="H509" s="42"/>
    </row>
    <row r="510" spans="1:8" ht="16.5" customHeight="1">
      <c r="A510" s="42"/>
      <c r="B510" s="42"/>
      <c r="C510" s="42"/>
      <c r="D510" s="42"/>
      <c r="E510" s="42"/>
      <c r="F510" s="42"/>
      <c r="G510" s="42"/>
      <c r="H510" s="42"/>
    </row>
    <row r="511" spans="1:8" ht="16.5" customHeight="1">
      <c r="A511" s="42"/>
      <c r="B511" s="42"/>
      <c r="C511" s="42"/>
      <c r="D511" s="42"/>
      <c r="E511" s="42"/>
      <c r="F511" s="42"/>
      <c r="G511" s="42"/>
      <c r="H511" s="42"/>
    </row>
    <row r="512" spans="1:8" ht="16.5" customHeight="1">
      <c r="A512" s="42"/>
      <c r="B512" s="42"/>
      <c r="C512" s="42"/>
      <c r="D512" s="42"/>
      <c r="E512" s="42"/>
      <c r="F512" s="42"/>
      <c r="G512" s="42"/>
      <c r="H512" s="42"/>
    </row>
    <row r="513" spans="1:8" ht="16.5" customHeight="1">
      <c r="A513" s="42"/>
      <c r="B513" s="42"/>
      <c r="C513" s="42"/>
      <c r="D513" s="42"/>
      <c r="E513" s="42"/>
      <c r="F513" s="42"/>
      <c r="G513" s="42"/>
      <c r="H513" s="42"/>
    </row>
    <row r="514" spans="1:8" ht="16.5" customHeight="1">
      <c r="A514" s="42"/>
      <c r="B514" s="42"/>
      <c r="C514" s="42"/>
      <c r="D514" s="42"/>
      <c r="E514" s="42"/>
      <c r="F514" s="42"/>
      <c r="G514" s="42"/>
      <c r="H514" s="42"/>
    </row>
    <row r="515" spans="1:8" ht="16.5" customHeight="1">
      <c r="A515" s="42"/>
      <c r="B515" s="42"/>
      <c r="C515" s="42"/>
      <c r="D515" s="42"/>
      <c r="E515" s="42"/>
      <c r="F515" s="42"/>
      <c r="G515" s="42"/>
      <c r="H515" s="42"/>
    </row>
    <row r="516" spans="1:8" ht="16.5" customHeight="1">
      <c r="A516" s="42"/>
      <c r="B516" s="42"/>
      <c r="C516" s="42"/>
      <c r="D516" s="42"/>
      <c r="E516" s="42"/>
      <c r="F516" s="42"/>
      <c r="G516" s="42"/>
      <c r="H516" s="42"/>
    </row>
    <row r="517" spans="1:8" ht="16.5" customHeight="1">
      <c r="A517" s="42"/>
      <c r="B517" s="42"/>
      <c r="C517" s="42"/>
      <c r="D517" s="42"/>
      <c r="E517" s="42"/>
      <c r="F517" s="42"/>
      <c r="G517" s="42"/>
      <c r="H517" s="42"/>
    </row>
    <row r="518" spans="1:8" ht="16.5" customHeight="1">
      <c r="A518" s="42"/>
      <c r="B518" s="42"/>
      <c r="C518" s="42"/>
      <c r="D518" s="42"/>
      <c r="E518" s="42"/>
      <c r="F518" s="42"/>
      <c r="G518" s="42"/>
      <c r="H518" s="42"/>
    </row>
    <row r="519" spans="1:8" ht="16.5" customHeight="1">
      <c r="A519" s="42"/>
      <c r="B519" s="42"/>
      <c r="C519" s="42"/>
      <c r="D519" s="42"/>
      <c r="E519" s="42"/>
      <c r="F519" s="42"/>
      <c r="G519" s="42"/>
      <c r="H519" s="42"/>
    </row>
    <row r="520" spans="1:8" ht="16.5" customHeight="1">
      <c r="A520" s="42"/>
      <c r="B520" s="42"/>
      <c r="C520" s="42"/>
      <c r="D520" s="42"/>
      <c r="E520" s="42"/>
      <c r="F520" s="42"/>
      <c r="G520" s="42"/>
      <c r="H520" s="42"/>
    </row>
    <row r="521" spans="1:8" ht="16.5" customHeight="1">
      <c r="A521" s="42"/>
      <c r="B521" s="42"/>
      <c r="C521" s="42"/>
      <c r="D521" s="42"/>
      <c r="E521" s="42"/>
      <c r="F521" s="42"/>
      <c r="G521" s="42"/>
      <c r="H521" s="42"/>
    </row>
    <row r="522" spans="1:8" ht="16.5" customHeight="1">
      <c r="A522" s="42"/>
      <c r="B522" s="42"/>
      <c r="C522" s="42"/>
      <c r="D522" s="42"/>
      <c r="E522" s="42"/>
      <c r="F522" s="42"/>
      <c r="G522" s="42"/>
      <c r="H522" s="42"/>
    </row>
    <row r="523" spans="1:8" ht="16.5" customHeight="1">
      <c r="A523" s="42"/>
      <c r="B523" s="42"/>
      <c r="C523" s="42"/>
      <c r="D523" s="42"/>
      <c r="E523" s="42"/>
      <c r="F523" s="42"/>
      <c r="G523" s="42"/>
      <c r="H523" s="42"/>
    </row>
    <row r="524" spans="1:8" ht="16.5" customHeight="1">
      <c r="A524" s="42"/>
      <c r="B524" s="42"/>
      <c r="C524" s="42"/>
      <c r="D524" s="42"/>
      <c r="E524" s="42"/>
      <c r="F524" s="42"/>
      <c r="G524" s="42"/>
      <c r="H524" s="42"/>
    </row>
    <row r="525" spans="1:8" ht="16.5" customHeight="1">
      <c r="A525" s="42"/>
      <c r="B525" s="42"/>
      <c r="C525" s="42"/>
      <c r="D525" s="42"/>
      <c r="E525" s="42"/>
      <c r="F525" s="42"/>
      <c r="G525" s="42"/>
      <c r="H525" s="42"/>
    </row>
    <row r="526" spans="1:8" ht="16.5" customHeight="1">
      <c r="A526" s="42"/>
      <c r="B526" s="42"/>
      <c r="C526" s="42"/>
      <c r="D526" s="42"/>
      <c r="E526" s="42"/>
      <c r="F526" s="42"/>
      <c r="G526" s="42"/>
      <c r="H526" s="42"/>
    </row>
    <row r="527" spans="1:8" ht="16.5" customHeight="1">
      <c r="A527" s="42"/>
      <c r="B527" s="42"/>
      <c r="C527" s="42"/>
      <c r="D527" s="42"/>
      <c r="E527" s="42"/>
      <c r="F527" s="42"/>
      <c r="G527" s="42"/>
      <c r="H527" s="42"/>
    </row>
    <row r="528" spans="1:8" ht="16.5" customHeight="1">
      <c r="A528" s="42"/>
      <c r="B528" s="42"/>
      <c r="C528" s="42"/>
      <c r="D528" s="42"/>
      <c r="E528" s="42"/>
      <c r="F528" s="42"/>
      <c r="G528" s="42"/>
      <c r="H528" s="42"/>
    </row>
    <row r="529" spans="1:8" ht="16.5" customHeight="1">
      <c r="A529" s="42"/>
      <c r="B529" s="42"/>
      <c r="C529" s="42"/>
      <c r="D529" s="42"/>
      <c r="E529" s="42"/>
      <c r="F529" s="42"/>
      <c r="G529" s="42"/>
      <c r="H529" s="42"/>
    </row>
    <row r="530" spans="1:8" ht="16.5" customHeight="1">
      <c r="A530" s="42"/>
      <c r="B530" s="42"/>
      <c r="C530" s="42"/>
      <c r="D530" s="42"/>
      <c r="E530" s="42"/>
      <c r="F530" s="42"/>
      <c r="G530" s="42"/>
      <c r="H530" s="42"/>
    </row>
    <row r="531" spans="1:8" ht="16.5" customHeight="1">
      <c r="A531" s="42"/>
      <c r="B531" s="42"/>
      <c r="C531" s="42"/>
      <c r="D531" s="42"/>
      <c r="E531" s="42"/>
      <c r="F531" s="42"/>
      <c r="G531" s="42"/>
      <c r="H531" s="42"/>
    </row>
    <row r="532" spans="1:8" ht="16.5" customHeight="1">
      <c r="A532" s="42"/>
      <c r="B532" s="42"/>
      <c r="C532" s="42"/>
      <c r="D532" s="42"/>
      <c r="E532" s="42"/>
      <c r="F532" s="42"/>
      <c r="G532" s="42"/>
      <c r="H532" s="42"/>
    </row>
    <row r="533" spans="1:8" ht="16.5" customHeight="1">
      <c r="A533" s="42"/>
      <c r="B533" s="42"/>
      <c r="C533" s="42"/>
      <c r="D533" s="42"/>
      <c r="E533" s="42"/>
      <c r="F533" s="42"/>
      <c r="G533" s="42"/>
      <c r="H533" s="42"/>
    </row>
    <row r="534" spans="1:8" ht="16.5" customHeight="1">
      <c r="A534" s="42"/>
      <c r="B534" s="42"/>
      <c r="C534" s="42"/>
      <c r="D534" s="42"/>
      <c r="E534" s="42"/>
      <c r="F534" s="42"/>
      <c r="G534" s="42"/>
      <c r="H534" s="42"/>
    </row>
    <row r="535" spans="1:8" ht="16.5" customHeight="1">
      <c r="A535" s="42"/>
      <c r="B535" s="42"/>
      <c r="C535" s="42"/>
      <c r="D535" s="42"/>
      <c r="E535" s="42"/>
      <c r="F535" s="42"/>
      <c r="G535" s="42"/>
      <c r="H535" s="42"/>
    </row>
    <row r="536" spans="1:8" ht="16.5" customHeight="1">
      <c r="A536" s="42"/>
      <c r="B536" s="42"/>
      <c r="C536" s="42"/>
      <c r="D536" s="42"/>
      <c r="E536" s="42"/>
      <c r="F536" s="42"/>
      <c r="G536" s="42"/>
      <c r="H536" s="42"/>
    </row>
    <row r="537" spans="1:8" ht="16.5" customHeight="1">
      <c r="A537" s="42"/>
      <c r="B537" s="42"/>
      <c r="C537" s="42"/>
      <c r="D537" s="42"/>
      <c r="E537" s="42"/>
      <c r="F537" s="42"/>
      <c r="G537" s="42"/>
      <c r="H537" s="42"/>
    </row>
    <row r="538" spans="1:8" ht="16.5" customHeight="1">
      <c r="A538" s="42"/>
      <c r="B538" s="42"/>
      <c r="C538" s="42"/>
      <c r="D538" s="42"/>
      <c r="E538" s="42"/>
      <c r="F538" s="42"/>
      <c r="G538" s="42"/>
      <c r="H538" s="42"/>
    </row>
    <row r="539" spans="1:8" ht="16.5" customHeight="1">
      <c r="A539" s="42"/>
      <c r="B539" s="42"/>
      <c r="C539" s="42"/>
      <c r="D539" s="42"/>
      <c r="E539" s="42"/>
      <c r="F539" s="42"/>
      <c r="G539" s="42"/>
      <c r="H539" s="42"/>
    </row>
    <row r="540" spans="1:8" ht="16.5" customHeight="1">
      <c r="A540" s="42"/>
      <c r="B540" s="42"/>
      <c r="C540" s="42"/>
      <c r="D540" s="42"/>
      <c r="E540" s="42"/>
      <c r="F540" s="42"/>
      <c r="G540" s="42"/>
      <c r="H540" s="42"/>
    </row>
    <row r="541" spans="1:8" ht="16.5" customHeight="1">
      <c r="A541" s="42"/>
      <c r="B541" s="42"/>
      <c r="C541" s="42"/>
      <c r="D541" s="42"/>
      <c r="E541" s="42"/>
      <c r="F541" s="42"/>
      <c r="G541" s="42"/>
      <c r="H541" s="42"/>
    </row>
    <row r="542" spans="1:8" ht="16.5" customHeight="1">
      <c r="A542" s="42"/>
      <c r="B542" s="42"/>
      <c r="C542" s="42"/>
      <c r="D542" s="42"/>
      <c r="E542" s="42"/>
      <c r="F542" s="42"/>
      <c r="G542" s="42"/>
      <c r="H542" s="42"/>
    </row>
    <row r="543" spans="1:8" ht="16.5" customHeight="1">
      <c r="A543" s="42"/>
      <c r="B543" s="42"/>
      <c r="C543" s="42"/>
      <c r="D543" s="42"/>
      <c r="E543" s="42"/>
      <c r="F543" s="42"/>
      <c r="G543" s="42"/>
      <c r="H543" s="42"/>
    </row>
    <row r="544" spans="1:8" ht="16.5" customHeight="1">
      <c r="A544" s="42"/>
      <c r="B544" s="42"/>
      <c r="C544" s="42"/>
      <c r="D544" s="42"/>
      <c r="E544" s="42"/>
      <c r="F544" s="42"/>
      <c r="G544" s="42"/>
      <c r="H544" s="42"/>
    </row>
    <row r="545" spans="1:8" ht="16.5" customHeight="1">
      <c r="A545" s="42"/>
      <c r="B545" s="42"/>
      <c r="C545" s="42"/>
      <c r="D545" s="42"/>
      <c r="E545" s="42"/>
      <c r="F545" s="42"/>
      <c r="G545" s="42"/>
      <c r="H545" s="42"/>
    </row>
    <row r="546" spans="1:8" ht="16.5" customHeight="1">
      <c r="A546" s="42"/>
      <c r="B546" s="42"/>
      <c r="C546" s="42"/>
      <c r="D546" s="42"/>
      <c r="E546" s="42"/>
      <c r="F546" s="42"/>
      <c r="G546" s="42"/>
      <c r="H546" s="42"/>
    </row>
    <row r="547" spans="1:8" ht="16.5" customHeight="1">
      <c r="A547" s="42"/>
      <c r="B547" s="42"/>
      <c r="C547" s="42"/>
      <c r="D547" s="42"/>
      <c r="E547" s="42"/>
      <c r="F547" s="42"/>
      <c r="G547" s="42"/>
      <c r="H547" s="42"/>
    </row>
    <row r="548" spans="1:8" ht="16.5" customHeight="1">
      <c r="A548" s="42"/>
      <c r="B548" s="42"/>
      <c r="C548" s="42"/>
      <c r="D548" s="42"/>
      <c r="E548" s="42"/>
      <c r="F548" s="42"/>
      <c r="G548" s="42"/>
      <c r="H548" s="42"/>
    </row>
    <row r="549" spans="1:8" ht="16.5" customHeight="1">
      <c r="A549" s="42"/>
      <c r="B549" s="42"/>
      <c r="C549" s="42"/>
      <c r="D549" s="42"/>
      <c r="E549" s="42"/>
      <c r="F549" s="42"/>
      <c r="G549" s="42"/>
      <c r="H549" s="42"/>
    </row>
    <row r="550" spans="1:8" ht="16.5" customHeight="1">
      <c r="A550" s="42"/>
      <c r="B550" s="42"/>
      <c r="C550" s="42"/>
      <c r="D550" s="42"/>
      <c r="E550" s="42"/>
      <c r="F550" s="42"/>
      <c r="G550" s="42"/>
      <c r="H550" s="42"/>
    </row>
    <row r="551" spans="1:8" ht="16.5" customHeight="1">
      <c r="A551" s="42"/>
      <c r="B551" s="42"/>
      <c r="C551" s="42"/>
      <c r="D551" s="42"/>
      <c r="E551" s="42"/>
      <c r="F551" s="42"/>
      <c r="G551" s="42"/>
      <c r="H551" s="42"/>
    </row>
    <row r="552" spans="1:8" ht="16.5" customHeight="1">
      <c r="A552" s="42"/>
      <c r="B552" s="42"/>
      <c r="C552" s="42"/>
      <c r="D552" s="42"/>
      <c r="E552" s="42"/>
      <c r="F552" s="42"/>
      <c r="G552" s="42"/>
      <c r="H552" s="42"/>
    </row>
    <row r="553" spans="1:8" ht="16.5" customHeight="1">
      <c r="A553" s="42"/>
      <c r="B553" s="42"/>
      <c r="C553" s="42"/>
      <c r="D553" s="42"/>
      <c r="E553" s="42"/>
      <c r="F553" s="42"/>
      <c r="G553" s="42"/>
      <c r="H553" s="42"/>
    </row>
    <row r="554" spans="1:8" ht="16.5" customHeight="1">
      <c r="A554" s="42"/>
      <c r="B554" s="42"/>
      <c r="C554" s="42"/>
      <c r="D554" s="42"/>
      <c r="E554" s="42"/>
      <c r="F554" s="42"/>
      <c r="G554" s="42"/>
      <c r="H554" s="42"/>
    </row>
    <row r="555" spans="1:8" ht="16.5" customHeight="1">
      <c r="A555" s="42"/>
      <c r="B555" s="42"/>
      <c r="C555" s="42"/>
      <c r="D555" s="42"/>
      <c r="E555" s="42"/>
      <c r="F555" s="42"/>
      <c r="G555" s="42"/>
      <c r="H555" s="42"/>
    </row>
    <row r="556" spans="1:8" ht="16.5" customHeight="1">
      <c r="A556" s="42"/>
      <c r="B556" s="42"/>
      <c r="C556" s="42"/>
      <c r="D556" s="42"/>
      <c r="E556" s="42"/>
      <c r="F556" s="42"/>
      <c r="G556" s="42"/>
      <c r="H556" s="42"/>
    </row>
    <row r="557" spans="1:8" ht="16.5" customHeight="1">
      <c r="A557" s="42"/>
      <c r="B557" s="42"/>
      <c r="C557" s="42"/>
      <c r="D557" s="42"/>
      <c r="E557" s="42"/>
      <c r="F557" s="42"/>
      <c r="G557" s="42"/>
      <c r="H557" s="42"/>
    </row>
    <row r="558" spans="1:8" ht="16.5" customHeight="1">
      <c r="A558" s="42"/>
      <c r="B558" s="42"/>
      <c r="C558" s="42"/>
      <c r="D558" s="42"/>
      <c r="E558" s="42"/>
      <c r="F558" s="42"/>
      <c r="G558" s="42"/>
      <c r="H558" s="42"/>
    </row>
    <row r="559" spans="1:8" ht="16.5" customHeight="1">
      <c r="A559" s="42"/>
      <c r="B559" s="42"/>
      <c r="C559" s="42"/>
      <c r="D559" s="42"/>
      <c r="E559" s="42"/>
      <c r="F559" s="42"/>
      <c r="G559" s="42"/>
      <c r="H559" s="42"/>
    </row>
    <row r="560" spans="1:8" ht="16.5" customHeight="1">
      <c r="A560" s="42"/>
      <c r="B560" s="42"/>
      <c r="C560" s="42"/>
      <c r="D560" s="42"/>
      <c r="E560" s="42"/>
      <c r="F560" s="42"/>
      <c r="G560" s="42"/>
      <c r="H560" s="42"/>
    </row>
    <row r="561" spans="1:8" ht="16.5" customHeight="1">
      <c r="A561" s="42"/>
      <c r="B561" s="42"/>
      <c r="C561" s="42"/>
      <c r="D561" s="42"/>
      <c r="E561" s="42"/>
      <c r="F561" s="42"/>
      <c r="G561" s="42"/>
      <c r="H561" s="42"/>
    </row>
    <row r="562" spans="1:8" ht="16.5" customHeight="1">
      <c r="A562" s="42"/>
      <c r="B562" s="42"/>
      <c r="C562" s="42"/>
      <c r="D562" s="42"/>
      <c r="E562" s="42"/>
      <c r="F562" s="42"/>
      <c r="G562" s="42"/>
      <c r="H562" s="42"/>
    </row>
    <row r="563" spans="1:8" ht="16.5" customHeight="1">
      <c r="A563" s="42"/>
      <c r="B563" s="42"/>
      <c r="C563" s="42"/>
      <c r="D563" s="42"/>
      <c r="E563" s="42"/>
      <c r="F563" s="42"/>
      <c r="G563" s="42"/>
      <c r="H563" s="42"/>
    </row>
    <row r="564" spans="1:8" ht="16.5" customHeight="1">
      <c r="A564" s="42"/>
      <c r="B564" s="42"/>
      <c r="C564" s="42"/>
      <c r="D564" s="42"/>
      <c r="E564" s="42"/>
      <c r="F564" s="42"/>
      <c r="G564" s="42"/>
      <c r="H564" s="42"/>
    </row>
    <row r="565" spans="1:8" ht="16.5" customHeight="1">
      <c r="A565" s="42"/>
      <c r="B565" s="42"/>
      <c r="C565" s="42"/>
      <c r="D565" s="42"/>
      <c r="E565" s="42"/>
      <c r="F565" s="42"/>
      <c r="G565" s="42"/>
      <c r="H565" s="42"/>
    </row>
    <row r="566" spans="1:8" ht="16.5" customHeight="1">
      <c r="A566" s="42"/>
      <c r="B566" s="42"/>
      <c r="C566" s="42"/>
      <c r="D566" s="42"/>
      <c r="E566" s="42"/>
      <c r="F566" s="42"/>
      <c r="G566" s="42"/>
      <c r="H566" s="42"/>
    </row>
    <row r="567" spans="1:8" ht="16.5" customHeight="1">
      <c r="A567" s="42"/>
      <c r="B567" s="42"/>
      <c r="C567" s="42"/>
      <c r="D567" s="42"/>
      <c r="E567" s="42"/>
      <c r="F567" s="42"/>
      <c r="G567" s="42"/>
      <c r="H567" s="42"/>
    </row>
    <row r="568" spans="1:8" ht="16.5" customHeight="1">
      <c r="A568" s="42"/>
      <c r="B568" s="42"/>
      <c r="C568" s="42"/>
      <c r="D568" s="42"/>
      <c r="E568" s="42"/>
      <c r="F568" s="42"/>
      <c r="G568" s="42"/>
      <c r="H568" s="42"/>
    </row>
    <row r="569" spans="1:8" ht="16.5" customHeight="1">
      <c r="A569" s="42"/>
      <c r="B569" s="42"/>
      <c r="C569" s="42"/>
      <c r="D569" s="42"/>
      <c r="E569" s="42"/>
      <c r="F569" s="42"/>
      <c r="G569" s="42"/>
      <c r="H569" s="42"/>
    </row>
    <row r="570" spans="1:8" ht="16.5" customHeight="1">
      <c r="A570" s="42"/>
      <c r="B570" s="42"/>
      <c r="C570" s="42"/>
      <c r="D570" s="42"/>
      <c r="E570" s="42"/>
      <c r="F570" s="42"/>
      <c r="G570" s="42"/>
      <c r="H570" s="42"/>
    </row>
    <row r="571" spans="1:8" ht="16.5" customHeight="1">
      <c r="A571" s="42"/>
      <c r="B571" s="42"/>
      <c r="C571" s="42"/>
      <c r="D571" s="42"/>
      <c r="E571" s="42"/>
      <c r="F571" s="42"/>
      <c r="G571" s="42"/>
      <c r="H571" s="42"/>
    </row>
    <row r="572" spans="1:8" ht="16.5" customHeight="1">
      <c r="A572" s="42"/>
      <c r="B572" s="42"/>
      <c r="C572" s="42"/>
      <c r="D572" s="42"/>
      <c r="E572" s="42"/>
      <c r="F572" s="42"/>
      <c r="G572" s="42"/>
      <c r="H572" s="42"/>
    </row>
    <row r="573" spans="1:8" ht="16.5" customHeight="1">
      <c r="A573" s="42"/>
      <c r="B573" s="42"/>
      <c r="C573" s="42"/>
      <c r="D573" s="42"/>
      <c r="E573" s="42"/>
      <c r="F573" s="42"/>
      <c r="G573" s="42"/>
      <c r="H573" s="42"/>
    </row>
    <row r="574" spans="1:8" ht="16.5" customHeight="1">
      <c r="A574" s="42"/>
      <c r="B574" s="42"/>
      <c r="C574" s="42"/>
      <c r="D574" s="42"/>
      <c r="E574" s="42"/>
      <c r="F574" s="42"/>
      <c r="G574" s="42"/>
      <c r="H574" s="42"/>
    </row>
    <row r="575" spans="1:8" ht="16.5" customHeight="1">
      <c r="A575" s="42"/>
      <c r="B575" s="42"/>
      <c r="C575" s="42"/>
      <c r="D575" s="42"/>
      <c r="E575" s="42"/>
      <c r="F575" s="42"/>
      <c r="G575" s="42"/>
      <c r="H575" s="42"/>
    </row>
    <row r="576" spans="1:8" ht="16.5" customHeight="1">
      <c r="A576" s="42"/>
      <c r="B576" s="42"/>
      <c r="C576" s="42"/>
      <c r="D576" s="42"/>
      <c r="E576" s="42"/>
      <c r="F576" s="42"/>
      <c r="G576" s="42"/>
      <c r="H576" s="42"/>
    </row>
    <row r="577" spans="1:8" ht="16.5" customHeight="1">
      <c r="A577" s="42"/>
      <c r="B577" s="42"/>
      <c r="C577" s="42"/>
      <c r="D577" s="42"/>
      <c r="E577" s="42"/>
      <c r="F577" s="42"/>
      <c r="G577" s="42"/>
      <c r="H577" s="42"/>
    </row>
    <row r="578" spans="1:8" ht="16.5" customHeight="1">
      <c r="A578" s="42"/>
      <c r="B578" s="42"/>
      <c r="C578" s="42"/>
      <c r="D578" s="42"/>
      <c r="E578" s="42"/>
      <c r="F578" s="42"/>
      <c r="G578" s="42"/>
      <c r="H578" s="42"/>
    </row>
    <row r="579" spans="1:8" ht="16.5" customHeight="1">
      <c r="A579" s="42"/>
      <c r="B579" s="42"/>
      <c r="C579" s="42"/>
      <c r="D579" s="42"/>
      <c r="E579" s="42"/>
      <c r="F579" s="42"/>
      <c r="G579" s="42"/>
      <c r="H579" s="42"/>
    </row>
    <row r="580" spans="1:8" ht="16.5" customHeight="1">
      <c r="A580" s="42"/>
      <c r="B580" s="42"/>
      <c r="C580" s="42"/>
      <c r="D580" s="42"/>
      <c r="E580" s="42"/>
      <c r="F580" s="42"/>
      <c r="G580" s="42"/>
      <c r="H580" s="42"/>
    </row>
    <row r="581" spans="1:8" ht="16.5" customHeight="1">
      <c r="A581" s="42"/>
      <c r="B581" s="42"/>
      <c r="C581" s="42"/>
      <c r="D581" s="42"/>
      <c r="E581" s="42"/>
      <c r="F581" s="42"/>
      <c r="G581" s="42"/>
      <c r="H581" s="42"/>
    </row>
    <row r="582" spans="1:8" ht="16.5" customHeight="1">
      <c r="A582" s="42"/>
      <c r="B582" s="42"/>
      <c r="C582" s="42"/>
      <c r="D582" s="42"/>
      <c r="E582" s="42"/>
      <c r="F582" s="42"/>
      <c r="G582" s="42"/>
      <c r="H582" s="42"/>
    </row>
    <row r="583" spans="1:8" ht="16.5" customHeight="1">
      <c r="A583" s="42"/>
      <c r="B583" s="42"/>
      <c r="C583" s="42"/>
      <c r="D583" s="42"/>
      <c r="E583" s="42"/>
      <c r="F583" s="42"/>
      <c r="G583" s="42"/>
      <c r="H583" s="42"/>
    </row>
    <row r="584" spans="1:8" ht="16.5" customHeight="1">
      <c r="A584" s="42"/>
      <c r="B584" s="42"/>
      <c r="C584" s="42"/>
      <c r="D584" s="42"/>
      <c r="E584" s="42"/>
      <c r="F584" s="42"/>
      <c r="G584" s="42"/>
      <c r="H584" s="42"/>
    </row>
    <row r="585" spans="1:8" ht="16.5" customHeight="1">
      <c r="A585" s="42"/>
      <c r="B585" s="42"/>
      <c r="C585" s="42"/>
      <c r="D585" s="42"/>
      <c r="E585" s="42"/>
      <c r="F585" s="42"/>
      <c r="G585" s="42"/>
      <c r="H585" s="42"/>
    </row>
    <row r="586" spans="1:8" ht="16.5" customHeight="1">
      <c r="A586" s="42"/>
      <c r="B586" s="42"/>
      <c r="C586" s="42"/>
      <c r="D586" s="42"/>
      <c r="E586" s="42"/>
      <c r="F586" s="42"/>
      <c r="G586" s="42"/>
      <c r="H586" s="42"/>
    </row>
    <row r="587" spans="1:8" ht="16.5" customHeight="1">
      <c r="A587" s="42"/>
      <c r="B587" s="42"/>
      <c r="C587" s="42"/>
      <c r="D587" s="42"/>
      <c r="E587" s="42"/>
      <c r="F587" s="42"/>
      <c r="G587" s="42"/>
      <c r="H587" s="42"/>
    </row>
    <row r="588" spans="1:8" ht="16.5" customHeight="1">
      <c r="A588" s="42"/>
      <c r="B588" s="42"/>
      <c r="C588" s="42"/>
      <c r="D588" s="42"/>
      <c r="E588" s="42"/>
      <c r="F588" s="42"/>
      <c r="G588" s="42"/>
      <c r="H588" s="42"/>
    </row>
    <row r="589" spans="1:8" ht="16.5" customHeight="1">
      <c r="A589" s="42"/>
      <c r="B589" s="42"/>
      <c r="C589" s="42"/>
      <c r="D589" s="42"/>
      <c r="E589" s="42"/>
      <c r="F589" s="42"/>
      <c r="G589" s="42"/>
      <c r="H589" s="42"/>
    </row>
    <row r="590" spans="1:8" ht="16.5" customHeight="1">
      <c r="A590" s="42"/>
      <c r="B590" s="42"/>
      <c r="C590" s="42"/>
      <c r="D590" s="42"/>
      <c r="E590" s="42"/>
      <c r="F590" s="42"/>
      <c r="G590" s="42"/>
      <c r="H590" s="42"/>
    </row>
    <row r="591" spans="1:8" ht="16.5" customHeight="1">
      <c r="A591" s="42"/>
      <c r="B591" s="42"/>
      <c r="C591" s="42"/>
      <c r="D591" s="42"/>
      <c r="E591" s="42"/>
      <c r="F591" s="42"/>
      <c r="G591" s="42"/>
      <c r="H591" s="42"/>
    </row>
    <row r="592" spans="1:8" ht="16.5" customHeight="1">
      <c r="A592" s="42"/>
      <c r="B592" s="42"/>
      <c r="C592" s="42"/>
      <c r="D592" s="42"/>
      <c r="E592" s="42"/>
      <c r="F592" s="42"/>
      <c r="G592" s="42"/>
      <c r="H592" s="42"/>
    </row>
    <row r="593" spans="1:8" ht="16.5" customHeight="1">
      <c r="A593" s="42"/>
      <c r="B593" s="42"/>
      <c r="C593" s="42"/>
      <c r="D593" s="42"/>
      <c r="E593" s="42"/>
      <c r="F593" s="42"/>
      <c r="G593" s="42"/>
      <c r="H593" s="42"/>
    </row>
    <row r="594" spans="1:8" ht="16.5" customHeight="1">
      <c r="A594" s="42"/>
      <c r="B594" s="42"/>
      <c r="C594" s="42"/>
      <c r="D594" s="42"/>
      <c r="E594" s="42"/>
      <c r="F594" s="42"/>
      <c r="G594" s="42"/>
      <c r="H594" s="42"/>
    </row>
    <row r="595" spans="1:8" ht="16.5" customHeight="1">
      <c r="A595" s="42"/>
      <c r="B595" s="42"/>
      <c r="C595" s="42"/>
      <c r="D595" s="42"/>
      <c r="E595" s="42"/>
      <c r="F595" s="42"/>
      <c r="G595" s="42"/>
      <c r="H595" s="42"/>
    </row>
    <row r="596" spans="1:8" ht="16.5" customHeight="1">
      <c r="A596" s="42"/>
      <c r="B596" s="42"/>
      <c r="C596" s="42"/>
      <c r="D596" s="42"/>
      <c r="E596" s="42"/>
      <c r="F596" s="42"/>
      <c r="G596" s="42"/>
      <c r="H596" s="42"/>
    </row>
    <row r="597" spans="1:8" ht="16.5" customHeight="1">
      <c r="A597" s="42"/>
      <c r="B597" s="42"/>
      <c r="C597" s="42"/>
      <c r="D597" s="42"/>
      <c r="E597" s="42"/>
      <c r="F597" s="42"/>
      <c r="G597" s="42"/>
      <c r="H597" s="42"/>
    </row>
    <row r="598" spans="1:8" ht="16.5" customHeight="1">
      <c r="A598" s="42"/>
      <c r="B598" s="42"/>
      <c r="C598" s="42"/>
      <c r="D598" s="42"/>
      <c r="E598" s="42"/>
      <c r="F598" s="42"/>
      <c r="G598" s="42"/>
      <c r="H598" s="42"/>
    </row>
    <row r="599" spans="1:8" ht="16.5" customHeight="1">
      <c r="A599" s="42"/>
      <c r="B599" s="42"/>
      <c r="C599" s="42"/>
      <c r="D599" s="42"/>
      <c r="E599" s="42"/>
      <c r="F599" s="42"/>
      <c r="G599" s="42"/>
      <c r="H599" s="42"/>
    </row>
    <row r="600" spans="1:8" ht="16.5" customHeight="1">
      <c r="A600" s="42"/>
      <c r="B600" s="42"/>
      <c r="C600" s="42"/>
      <c r="D600" s="42"/>
      <c r="E600" s="42"/>
      <c r="F600" s="42"/>
      <c r="G600" s="42"/>
      <c r="H600" s="42"/>
    </row>
    <row r="601" spans="1:8" ht="16.5" customHeight="1">
      <c r="A601" s="42"/>
      <c r="B601" s="42"/>
      <c r="C601" s="42"/>
      <c r="D601" s="42"/>
      <c r="E601" s="42"/>
      <c r="F601" s="42"/>
      <c r="G601" s="42"/>
      <c r="H601" s="42"/>
    </row>
    <row r="602" spans="1:8" ht="16.5" customHeight="1">
      <c r="A602" s="42"/>
      <c r="B602" s="42"/>
      <c r="C602" s="42"/>
      <c r="D602" s="42"/>
      <c r="E602" s="42"/>
      <c r="F602" s="42"/>
      <c r="G602" s="42"/>
      <c r="H602" s="42"/>
    </row>
    <row r="603" spans="1:8" ht="16.5" customHeight="1">
      <c r="A603" s="42"/>
      <c r="B603" s="42"/>
      <c r="C603" s="42"/>
      <c r="D603" s="42"/>
      <c r="E603" s="42"/>
      <c r="F603" s="42"/>
      <c r="G603" s="42"/>
      <c r="H603" s="42"/>
    </row>
    <row r="604" spans="1:8" ht="16.5" customHeight="1">
      <c r="A604" s="42"/>
      <c r="B604" s="42"/>
      <c r="C604" s="42"/>
      <c r="D604" s="42"/>
      <c r="E604" s="42"/>
      <c r="F604" s="42"/>
      <c r="G604" s="42"/>
      <c r="H604" s="42"/>
    </row>
    <row r="605" spans="1:8" ht="16.5" customHeight="1">
      <c r="A605" s="42"/>
      <c r="B605" s="42"/>
      <c r="C605" s="42"/>
      <c r="D605" s="42"/>
      <c r="E605" s="42"/>
      <c r="F605" s="42"/>
      <c r="G605" s="42"/>
      <c r="H605" s="42"/>
    </row>
    <row r="606" spans="1:8" ht="16.5" customHeight="1">
      <c r="A606" s="42"/>
      <c r="B606" s="42"/>
      <c r="C606" s="42"/>
      <c r="D606" s="42"/>
      <c r="E606" s="42"/>
      <c r="F606" s="42"/>
      <c r="G606" s="42"/>
      <c r="H606" s="42"/>
    </row>
    <row r="607" spans="1:8" ht="16.5" customHeight="1">
      <c r="A607" s="42"/>
      <c r="B607" s="42"/>
      <c r="C607" s="42"/>
      <c r="D607" s="42"/>
      <c r="E607" s="42"/>
      <c r="F607" s="42"/>
      <c r="G607" s="42"/>
      <c r="H607" s="42"/>
    </row>
    <row r="608" spans="1:8" ht="16.5" customHeight="1">
      <c r="A608" s="42"/>
      <c r="B608" s="42"/>
      <c r="C608" s="42"/>
      <c r="D608" s="42"/>
      <c r="E608" s="42"/>
      <c r="F608" s="42"/>
      <c r="G608" s="42"/>
      <c r="H608" s="42"/>
    </row>
    <row r="609" spans="1:8" ht="16.5" customHeight="1">
      <c r="A609" s="42"/>
      <c r="B609" s="42"/>
      <c r="C609" s="42"/>
      <c r="D609" s="42"/>
      <c r="E609" s="42"/>
      <c r="F609" s="42"/>
      <c r="G609" s="42"/>
      <c r="H609" s="42"/>
    </row>
    <row r="610" spans="1:8" ht="16.5" customHeight="1">
      <c r="A610" s="42"/>
      <c r="B610" s="42"/>
      <c r="C610" s="42"/>
      <c r="D610" s="42"/>
      <c r="E610" s="42"/>
      <c r="F610" s="42"/>
      <c r="G610" s="42"/>
      <c r="H610" s="42"/>
    </row>
    <row r="611" spans="1:8" ht="16.5" customHeight="1">
      <c r="A611" s="42"/>
      <c r="B611" s="42"/>
      <c r="C611" s="42"/>
      <c r="D611" s="42"/>
      <c r="E611" s="42"/>
      <c r="F611" s="42"/>
      <c r="G611" s="42"/>
      <c r="H611" s="42"/>
    </row>
    <row r="612" spans="1:8" ht="16.5" customHeight="1">
      <c r="A612" s="42"/>
      <c r="B612" s="42"/>
      <c r="C612" s="42"/>
      <c r="D612" s="42"/>
      <c r="E612" s="42"/>
      <c r="F612" s="42"/>
      <c r="G612" s="42"/>
      <c r="H612" s="42"/>
    </row>
    <row r="613" spans="1:8" ht="16.5" customHeight="1">
      <c r="A613" s="42"/>
      <c r="B613" s="42"/>
      <c r="C613" s="42"/>
      <c r="D613" s="42"/>
      <c r="E613" s="42"/>
      <c r="F613" s="42"/>
      <c r="G613" s="42"/>
      <c r="H613" s="42"/>
    </row>
    <row r="614" spans="1:8" ht="16.5" customHeight="1">
      <c r="A614" s="42"/>
      <c r="B614" s="42"/>
      <c r="C614" s="42"/>
      <c r="D614" s="42"/>
      <c r="E614" s="42"/>
      <c r="F614" s="42"/>
      <c r="G614" s="42"/>
      <c r="H614" s="42"/>
    </row>
    <row r="615" spans="1:8" ht="16.5" customHeight="1">
      <c r="A615" s="42"/>
      <c r="B615" s="42"/>
      <c r="C615" s="42"/>
      <c r="D615" s="42"/>
      <c r="E615" s="42"/>
      <c r="F615" s="42"/>
      <c r="G615" s="42"/>
      <c r="H615" s="42"/>
    </row>
    <row r="616" spans="1:8" ht="16.5" customHeight="1">
      <c r="A616" s="42"/>
      <c r="B616" s="42"/>
      <c r="C616" s="42"/>
      <c r="D616" s="42"/>
      <c r="E616" s="42"/>
      <c r="F616" s="42"/>
      <c r="G616" s="42"/>
      <c r="H616" s="42"/>
    </row>
    <row r="617" spans="1:8" ht="16.5" customHeight="1">
      <c r="A617" s="42"/>
      <c r="B617" s="42"/>
      <c r="C617" s="42"/>
      <c r="D617" s="42"/>
      <c r="E617" s="42"/>
      <c r="F617" s="42"/>
      <c r="G617" s="42"/>
      <c r="H617" s="42"/>
    </row>
    <row r="618" spans="1:8" ht="16.5" customHeight="1">
      <c r="A618" s="42"/>
      <c r="B618" s="42"/>
      <c r="C618" s="42"/>
      <c r="D618" s="42"/>
      <c r="E618" s="42"/>
      <c r="F618" s="42"/>
      <c r="G618" s="42"/>
      <c r="H618" s="42"/>
    </row>
    <row r="619" spans="1:8" ht="16.5" customHeight="1">
      <c r="A619" s="42"/>
      <c r="B619" s="42"/>
      <c r="C619" s="42"/>
      <c r="D619" s="42"/>
      <c r="E619" s="42"/>
      <c r="F619" s="42"/>
      <c r="G619" s="42"/>
      <c r="H619" s="42"/>
    </row>
    <row r="620" spans="1:8" ht="16.5" customHeight="1">
      <c r="A620" s="42"/>
      <c r="B620" s="42"/>
      <c r="C620" s="42"/>
      <c r="D620" s="42"/>
      <c r="E620" s="42"/>
      <c r="F620" s="42"/>
      <c r="G620" s="42"/>
      <c r="H620" s="42"/>
    </row>
    <row r="621" spans="1:8" ht="16.5" customHeight="1">
      <c r="A621" s="42"/>
      <c r="B621" s="42"/>
      <c r="C621" s="42"/>
      <c r="D621" s="42"/>
      <c r="E621" s="42"/>
      <c r="F621" s="42"/>
      <c r="G621" s="42"/>
      <c r="H621" s="42"/>
    </row>
    <row r="622" spans="1:8" ht="16.5" customHeight="1">
      <c r="A622" s="42"/>
      <c r="B622" s="42"/>
      <c r="C622" s="42"/>
      <c r="D622" s="42"/>
      <c r="E622" s="42"/>
      <c r="F622" s="42"/>
      <c r="G622" s="42"/>
      <c r="H622" s="42"/>
    </row>
    <row r="623" spans="1:8" ht="16.5" customHeight="1">
      <c r="A623" s="42"/>
      <c r="B623" s="42"/>
      <c r="C623" s="42"/>
      <c r="D623" s="42"/>
      <c r="E623" s="42"/>
      <c r="F623" s="42"/>
      <c r="G623" s="42"/>
      <c r="H623" s="42"/>
    </row>
    <row r="624" spans="1:8" ht="16.5" customHeight="1">
      <c r="A624" s="42"/>
      <c r="B624" s="42"/>
      <c r="C624" s="42"/>
      <c r="D624" s="42"/>
      <c r="E624" s="42"/>
      <c r="F624" s="42"/>
      <c r="G624" s="42"/>
      <c r="H624" s="42"/>
    </row>
    <row r="625" spans="1:8" ht="16.5" customHeight="1">
      <c r="A625" s="42"/>
      <c r="B625" s="42"/>
      <c r="C625" s="42"/>
      <c r="D625" s="42"/>
      <c r="E625" s="42"/>
      <c r="F625" s="42"/>
      <c r="G625" s="42"/>
      <c r="H625" s="42"/>
    </row>
    <row r="626" spans="1:8" ht="16.5" customHeight="1">
      <c r="A626" s="42"/>
      <c r="B626" s="42"/>
      <c r="C626" s="42"/>
      <c r="D626" s="42"/>
      <c r="E626" s="42"/>
      <c r="F626" s="42"/>
      <c r="G626" s="42"/>
      <c r="H626" s="42"/>
    </row>
    <row r="627" spans="1:8" ht="16.5" customHeight="1">
      <c r="A627" s="42"/>
      <c r="B627" s="42"/>
      <c r="C627" s="42"/>
      <c r="D627" s="42"/>
      <c r="E627" s="42"/>
      <c r="F627" s="42"/>
      <c r="G627" s="42"/>
      <c r="H627" s="42"/>
    </row>
    <row r="628" spans="1:8" ht="16.5" customHeight="1">
      <c r="A628" s="42"/>
      <c r="B628" s="42"/>
      <c r="C628" s="42"/>
      <c r="D628" s="42"/>
      <c r="E628" s="42"/>
      <c r="F628" s="42"/>
      <c r="G628" s="42"/>
      <c r="H628" s="42"/>
    </row>
    <row r="629" spans="1:8" ht="16.5" customHeight="1">
      <c r="A629" s="42"/>
      <c r="B629" s="42"/>
      <c r="C629" s="42"/>
      <c r="D629" s="42"/>
      <c r="E629" s="42"/>
      <c r="F629" s="42"/>
      <c r="G629" s="42"/>
      <c r="H629" s="42"/>
    </row>
    <row r="630" spans="1:8" ht="16.5" customHeight="1">
      <c r="A630" s="42"/>
      <c r="B630" s="42"/>
      <c r="C630" s="42"/>
      <c r="D630" s="42"/>
      <c r="E630" s="42"/>
      <c r="F630" s="42"/>
      <c r="G630" s="42"/>
      <c r="H630" s="42"/>
    </row>
    <row r="631" spans="1:8" ht="16.5" customHeight="1">
      <c r="A631" s="42"/>
      <c r="B631" s="42"/>
      <c r="C631" s="42"/>
      <c r="D631" s="42"/>
      <c r="E631" s="42"/>
      <c r="F631" s="42"/>
      <c r="G631" s="42"/>
      <c r="H631" s="42"/>
    </row>
    <row r="632" spans="1:8" ht="16.5" customHeight="1">
      <c r="A632" s="42"/>
      <c r="B632" s="42"/>
      <c r="C632" s="42"/>
      <c r="D632" s="42"/>
      <c r="E632" s="42"/>
      <c r="F632" s="42"/>
      <c r="G632" s="42"/>
      <c r="H632" s="42"/>
    </row>
    <row r="633" spans="1:8" ht="16.5" customHeight="1">
      <c r="A633" s="42"/>
      <c r="B633" s="42"/>
      <c r="C633" s="42"/>
      <c r="D633" s="42"/>
      <c r="E633" s="42"/>
      <c r="F633" s="42"/>
      <c r="G633" s="42"/>
      <c r="H633" s="42"/>
    </row>
    <row r="634" spans="1:8" ht="16.5" customHeight="1">
      <c r="A634" s="42"/>
      <c r="B634" s="42"/>
      <c r="C634" s="42"/>
      <c r="D634" s="42"/>
      <c r="E634" s="42"/>
      <c r="F634" s="42"/>
      <c r="G634" s="42"/>
      <c r="H634" s="42"/>
    </row>
    <row r="635" spans="1:8" ht="16.5" customHeight="1">
      <c r="A635" s="42"/>
      <c r="B635" s="42"/>
      <c r="C635" s="42"/>
      <c r="D635" s="42"/>
      <c r="E635" s="42"/>
      <c r="F635" s="42"/>
      <c r="G635" s="42"/>
      <c r="H635" s="42"/>
    </row>
    <row r="636" spans="1:8" ht="16.5" customHeight="1">
      <c r="A636" s="42"/>
      <c r="B636" s="42"/>
      <c r="C636" s="42"/>
      <c r="D636" s="42"/>
      <c r="E636" s="42"/>
      <c r="F636" s="42"/>
      <c r="G636" s="42"/>
      <c r="H636" s="42"/>
    </row>
    <row r="637" spans="1:8" ht="16.5" customHeight="1">
      <c r="A637" s="42"/>
      <c r="B637" s="42"/>
      <c r="C637" s="42"/>
      <c r="D637" s="42"/>
      <c r="E637" s="42"/>
      <c r="F637" s="42"/>
      <c r="G637" s="42"/>
      <c r="H637" s="42"/>
    </row>
    <row r="638" spans="1:8" ht="16.5" customHeight="1">
      <c r="A638" s="42"/>
      <c r="B638" s="42"/>
      <c r="C638" s="42"/>
      <c r="D638" s="42"/>
      <c r="E638" s="42"/>
      <c r="F638" s="42"/>
      <c r="G638" s="42"/>
      <c r="H638" s="42"/>
    </row>
    <row r="639" spans="1:8" ht="16.5" customHeight="1">
      <c r="A639" s="42"/>
      <c r="B639" s="42"/>
      <c r="C639" s="42"/>
      <c r="D639" s="42"/>
      <c r="E639" s="42"/>
      <c r="F639" s="42"/>
      <c r="G639" s="42"/>
      <c r="H639" s="42"/>
    </row>
    <row r="640" spans="1:8" ht="16.5" customHeight="1">
      <c r="A640" s="42"/>
      <c r="B640" s="42"/>
      <c r="C640" s="42"/>
      <c r="D640" s="42"/>
      <c r="E640" s="42"/>
      <c r="F640" s="42"/>
      <c r="G640" s="42"/>
      <c r="H640" s="42"/>
    </row>
    <row r="641" spans="1:8" ht="16.5" customHeight="1">
      <c r="A641" s="42"/>
      <c r="B641" s="42"/>
      <c r="C641" s="42"/>
      <c r="D641" s="42"/>
      <c r="E641" s="42"/>
      <c r="F641" s="42"/>
      <c r="G641" s="42"/>
      <c r="H641" s="42"/>
    </row>
    <row r="642" spans="1:8" ht="16.5" customHeight="1">
      <c r="A642" s="42"/>
      <c r="B642" s="42"/>
      <c r="C642" s="42"/>
      <c r="D642" s="42"/>
      <c r="E642" s="42"/>
      <c r="F642" s="42"/>
      <c r="G642" s="42"/>
      <c r="H642" s="42"/>
    </row>
    <row r="643" spans="1:8" ht="16.5" customHeight="1">
      <c r="A643" s="42"/>
      <c r="B643" s="42"/>
      <c r="C643" s="42"/>
      <c r="D643" s="42"/>
      <c r="E643" s="42"/>
      <c r="F643" s="42"/>
      <c r="G643" s="42"/>
      <c r="H643" s="42"/>
    </row>
    <row r="644" spans="1:8" ht="16.5" customHeight="1">
      <c r="A644" s="42"/>
      <c r="B644" s="42"/>
      <c r="C644" s="42"/>
      <c r="D644" s="42"/>
      <c r="E644" s="42"/>
      <c r="F644" s="42"/>
      <c r="G644" s="42"/>
      <c r="H644" s="42"/>
    </row>
    <row r="645" spans="1:8" ht="16.5" customHeight="1">
      <c r="A645" s="42"/>
      <c r="B645" s="42"/>
      <c r="C645" s="42"/>
      <c r="D645" s="42"/>
      <c r="E645" s="42"/>
      <c r="F645" s="42"/>
      <c r="G645" s="42"/>
      <c r="H645" s="42"/>
    </row>
    <row r="646" spans="1:8" ht="16.5" customHeight="1">
      <c r="A646" s="42"/>
      <c r="B646" s="42"/>
      <c r="C646" s="42"/>
      <c r="D646" s="42"/>
      <c r="E646" s="42"/>
      <c r="F646" s="42"/>
      <c r="G646" s="42"/>
      <c r="H646" s="42"/>
    </row>
    <row r="647" spans="1:8" ht="16.5" customHeight="1">
      <c r="A647" s="42"/>
      <c r="B647" s="42"/>
      <c r="C647" s="42"/>
      <c r="D647" s="42"/>
      <c r="E647" s="42"/>
      <c r="F647" s="42"/>
      <c r="G647" s="42"/>
      <c r="H647" s="42"/>
    </row>
    <row r="648" spans="1:8" ht="16.5" customHeight="1">
      <c r="A648" s="42"/>
      <c r="B648" s="42"/>
      <c r="C648" s="42"/>
      <c r="D648" s="42"/>
      <c r="E648" s="42"/>
      <c r="F648" s="42"/>
      <c r="G648" s="42"/>
      <c r="H648" s="42"/>
    </row>
    <row r="649" spans="1:8" ht="16.5" customHeight="1">
      <c r="A649" s="42"/>
      <c r="B649" s="42"/>
      <c r="C649" s="42"/>
      <c r="D649" s="42"/>
      <c r="E649" s="42"/>
      <c r="F649" s="42"/>
      <c r="G649" s="42"/>
      <c r="H649" s="42"/>
    </row>
    <row r="650" spans="1:8" ht="16.5" customHeight="1">
      <c r="A650" s="42"/>
      <c r="B650" s="42"/>
      <c r="C650" s="42"/>
      <c r="D650" s="42"/>
      <c r="E650" s="42"/>
      <c r="F650" s="42"/>
      <c r="G650" s="42"/>
      <c r="H650" s="42"/>
    </row>
    <row r="651" spans="1:8" ht="16.5" customHeight="1">
      <c r="A651" s="42"/>
      <c r="B651" s="42"/>
      <c r="C651" s="42"/>
      <c r="D651" s="42"/>
      <c r="E651" s="42"/>
      <c r="F651" s="42"/>
      <c r="G651" s="42"/>
      <c r="H651" s="42"/>
    </row>
    <row r="652" spans="1:8" ht="16.5" customHeight="1">
      <c r="A652" s="42"/>
      <c r="B652" s="42"/>
      <c r="C652" s="42"/>
      <c r="D652" s="42"/>
      <c r="E652" s="42"/>
      <c r="F652" s="42"/>
      <c r="G652" s="42"/>
      <c r="H652" s="42"/>
    </row>
    <row r="653" spans="1:8" ht="16.5" customHeight="1">
      <c r="A653" s="42"/>
      <c r="B653" s="42"/>
      <c r="C653" s="42"/>
      <c r="D653" s="42"/>
      <c r="E653" s="42"/>
      <c r="F653" s="42"/>
      <c r="G653" s="42"/>
      <c r="H653" s="42"/>
    </row>
    <row r="654" spans="1:8" ht="16.5" customHeight="1">
      <c r="A654" s="42"/>
      <c r="B654" s="42"/>
      <c r="C654" s="42"/>
      <c r="D654" s="42"/>
      <c r="E654" s="42"/>
      <c r="F654" s="42"/>
      <c r="G654" s="42"/>
      <c r="H654" s="42"/>
    </row>
    <row r="655" spans="1:8" ht="16.5" customHeight="1">
      <c r="A655" s="42"/>
      <c r="B655" s="42"/>
      <c r="C655" s="42"/>
      <c r="D655" s="42"/>
      <c r="E655" s="42"/>
      <c r="F655" s="42"/>
      <c r="G655" s="42"/>
      <c r="H655" s="42"/>
    </row>
    <row r="656" spans="1:8" ht="16.5" customHeight="1">
      <c r="A656" s="42"/>
      <c r="B656" s="42"/>
      <c r="C656" s="42"/>
      <c r="D656" s="42"/>
      <c r="E656" s="42"/>
      <c r="F656" s="42"/>
      <c r="G656" s="42"/>
      <c r="H656" s="42"/>
    </row>
    <row r="657" spans="1:8" ht="16.5" customHeight="1">
      <c r="A657" s="42"/>
      <c r="B657" s="42"/>
      <c r="C657" s="42"/>
      <c r="D657" s="42"/>
      <c r="E657" s="42"/>
      <c r="F657" s="42"/>
      <c r="G657" s="42"/>
      <c r="H657" s="42"/>
    </row>
    <row r="658" spans="1:8" ht="16.5" customHeight="1">
      <c r="A658" s="42"/>
      <c r="B658" s="42"/>
      <c r="C658" s="42"/>
      <c r="D658" s="42"/>
      <c r="E658" s="42"/>
      <c r="F658" s="42"/>
      <c r="G658" s="42"/>
      <c r="H658" s="42"/>
    </row>
    <row r="659" spans="1:8" ht="16.5" customHeight="1">
      <c r="A659" s="42"/>
      <c r="B659" s="42"/>
      <c r="C659" s="42"/>
      <c r="D659" s="42"/>
      <c r="E659" s="42"/>
      <c r="F659" s="42"/>
      <c r="G659" s="42"/>
      <c r="H659" s="42"/>
    </row>
    <row r="660" spans="1:8" ht="16.5" customHeight="1">
      <c r="A660" s="42"/>
      <c r="B660" s="42"/>
      <c r="C660" s="42"/>
      <c r="D660" s="42"/>
      <c r="E660" s="42"/>
      <c r="F660" s="42"/>
      <c r="G660" s="42"/>
      <c r="H660" s="42"/>
    </row>
    <row r="661" spans="1:8" ht="16.5" customHeight="1">
      <c r="A661" s="42"/>
      <c r="B661" s="42"/>
      <c r="C661" s="42"/>
      <c r="D661" s="42"/>
      <c r="E661" s="42"/>
      <c r="F661" s="42"/>
      <c r="G661" s="42"/>
      <c r="H661" s="42"/>
    </row>
    <row r="662" spans="1:8" ht="16.5" customHeight="1">
      <c r="A662" s="42"/>
      <c r="B662" s="42"/>
      <c r="C662" s="42"/>
      <c r="D662" s="42"/>
      <c r="E662" s="42"/>
      <c r="F662" s="42"/>
      <c r="G662" s="42"/>
      <c r="H662" s="42"/>
    </row>
    <row r="663" spans="1:8" ht="16.5" customHeight="1">
      <c r="A663" s="42"/>
      <c r="B663" s="42"/>
      <c r="C663" s="42"/>
      <c r="D663" s="42"/>
      <c r="E663" s="42"/>
      <c r="F663" s="42"/>
      <c r="G663" s="42"/>
      <c r="H663" s="42"/>
    </row>
    <row r="664" spans="1:8" ht="16.5" customHeight="1">
      <c r="A664" s="42"/>
      <c r="B664" s="42"/>
      <c r="C664" s="42"/>
      <c r="D664" s="42"/>
      <c r="E664" s="42"/>
      <c r="F664" s="42"/>
      <c r="G664" s="42"/>
      <c r="H664" s="42"/>
    </row>
    <row r="665" spans="1:8" ht="16.5" customHeight="1">
      <c r="A665" s="42"/>
      <c r="B665" s="42"/>
      <c r="C665" s="42"/>
      <c r="D665" s="42"/>
      <c r="E665" s="42"/>
      <c r="F665" s="42"/>
      <c r="G665" s="42"/>
      <c r="H665" s="42"/>
    </row>
    <row r="666" spans="1:8" ht="16.5" customHeight="1">
      <c r="A666" s="42"/>
      <c r="B666" s="42"/>
      <c r="C666" s="42"/>
      <c r="D666" s="42"/>
      <c r="E666" s="42"/>
      <c r="F666" s="42"/>
      <c r="G666" s="42"/>
      <c r="H666" s="42"/>
    </row>
    <row r="667" spans="1:8" ht="16.5" customHeight="1">
      <c r="A667" s="42"/>
      <c r="B667" s="42"/>
      <c r="C667" s="42"/>
      <c r="D667" s="42"/>
      <c r="E667" s="42"/>
      <c r="F667" s="42"/>
      <c r="G667" s="42"/>
      <c r="H667" s="42"/>
    </row>
    <row r="668" spans="1:8" ht="16.5" customHeight="1">
      <c r="A668" s="42"/>
      <c r="B668" s="42"/>
      <c r="C668" s="42"/>
      <c r="D668" s="42"/>
      <c r="E668" s="42"/>
      <c r="F668" s="42"/>
      <c r="G668" s="42"/>
      <c r="H668" s="42"/>
    </row>
    <row r="669" spans="1:8" ht="16.5" customHeight="1">
      <c r="A669" s="42"/>
      <c r="B669" s="42"/>
      <c r="C669" s="42"/>
      <c r="D669" s="42"/>
      <c r="E669" s="42"/>
      <c r="F669" s="42"/>
      <c r="G669" s="42"/>
      <c r="H669" s="42"/>
    </row>
    <row r="670" spans="1:8" ht="16.5" customHeight="1">
      <c r="A670" s="42"/>
      <c r="B670" s="42"/>
      <c r="C670" s="42"/>
      <c r="D670" s="42"/>
      <c r="E670" s="42"/>
      <c r="F670" s="42"/>
      <c r="G670" s="42"/>
      <c r="H670" s="42"/>
    </row>
    <row r="671" spans="1:8" ht="16.5" customHeight="1">
      <c r="A671" s="42"/>
      <c r="B671" s="42"/>
      <c r="C671" s="42"/>
      <c r="D671" s="42"/>
      <c r="E671" s="42"/>
      <c r="F671" s="42"/>
      <c r="G671" s="42"/>
      <c r="H671" s="42"/>
    </row>
    <row r="672" spans="1:8" ht="16.5" customHeight="1">
      <c r="A672" s="42"/>
      <c r="B672" s="42"/>
      <c r="C672" s="42"/>
      <c r="D672" s="42"/>
      <c r="E672" s="42"/>
      <c r="F672" s="42"/>
      <c r="G672" s="42"/>
      <c r="H672" s="42"/>
    </row>
    <row r="673" spans="1:8" ht="16.5" customHeight="1">
      <c r="A673" s="42"/>
      <c r="B673" s="42"/>
      <c r="C673" s="42"/>
      <c r="D673" s="42"/>
      <c r="E673" s="42"/>
      <c r="F673" s="42"/>
      <c r="G673" s="42"/>
      <c r="H673" s="42"/>
    </row>
    <row r="674" spans="1:8" ht="16.5" customHeight="1">
      <c r="A674" s="42"/>
      <c r="B674" s="42"/>
      <c r="C674" s="42"/>
      <c r="D674" s="42"/>
      <c r="E674" s="42"/>
      <c r="F674" s="42"/>
      <c r="G674" s="42"/>
      <c r="H674" s="42"/>
    </row>
    <row r="675" spans="1:8" ht="16.5" customHeight="1">
      <c r="A675" s="42"/>
      <c r="B675" s="42"/>
      <c r="C675" s="42"/>
      <c r="D675" s="42"/>
      <c r="E675" s="42"/>
      <c r="F675" s="42"/>
      <c r="G675" s="42"/>
      <c r="H675" s="42"/>
    </row>
    <row r="676" spans="1:8" ht="16.5" customHeight="1">
      <c r="A676" s="42"/>
      <c r="B676" s="42"/>
      <c r="C676" s="42"/>
      <c r="D676" s="42"/>
      <c r="E676" s="42"/>
      <c r="F676" s="42"/>
      <c r="G676" s="42"/>
      <c r="H676" s="42"/>
    </row>
    <row r="677" spans="1:8" ht="16.5" customHeight="1">
      <c r="A677" s="42"/>
      <c r="B677" s="42"/>
      <c r="C677" s="42"/>
      <c r="D677" s="42"/>
      <c r="E677" s="42"/>
      <c r="F677" s="42"/>
      <c r="G677" s="42"/>
      <c r="H677" s="42"/>
    </row>
    <row r="678" spans="1:8" ht="16.5" customHeight="1">
      <c r="A678" s="42"/>
      <c r="B678" s="42"/>
      <c r="C678" s="42"/>
      <c r="D678" s="42"/>
      <c r="E678" s="42"/>
      <c r="F678" s="42"/>
      <c r="G678" s="42"/>
      <c r="H678" s="42"/>
    </row>
    <row r="679" spans="1:8" ht="16.5" customHeight="1">
      <c r="A679" s="42"/>
      <c r="B679" s="42"/>
      <c r="C679" s="42"/>
      <c r="D679" s="42"/>
      <c r="E679" s="42"/>
      <c r="F679" s="42"/>
      <c r="G679" s="42"/>
      <c r="H679" s="42"/>
    </row>
    <row r="680" spans="1:8" ht="16.5" customHeight="1">
      <c r="A680" s="42"/>
      <c r="B680" s="42"/>
      <c r="C680" s="42"/>
      <c r="D680" s="42"/>
      <c r="E680" s="42"/>
      <c r="F680" s="42"/>
      <c r="G680" s="42"/>
      <c r="H680" s="42"/>
    </row>
    <row r="681" spans="1:8" ht="16.5" customHeight="1">
      <c r="A681" s="42"/>
      <c r="B681" s="42"/>
      <c r="C681" s="42"/>
      <c r="D681" s="42"/>
      <c r="E681" s="42"/>
      <c r="F681" s="42"/>
      <c r="G681" s="42"/>
      <c r="H681" s="42"/>
    </row>
    <row r="682" spans="1:8" ht="16.5" customHeight="1">
      <c r="A682" s="42"/>
      <c r="B682" s="42"/>
      <c r="C682" s="42"/>
      <c r="D682" s="42"/>
      <c r="E682" s="42"/>
      <c r="F682" s="42"/>
      <c r="G682" s="42"/>
      <c r="H682" s="42"/>
    </row>
    <row r="683" spans="1:8" ht="16.5" customHeight="1">
      <c r="A683" s="42"/>
      <c r="B683" s="42"/>
      <c r="C683" s="42"/>
      <c r="D683" s="42"/>
      <c r="E683" s="42"/>
      <c r="F683" s="42"/>
      <c r="G683" s="42"/>
      <c r="H683" s="42"/>
    </row>
    <row r="684" spans="1:8" ht="16.5" customHeight="1">
      <c r="A684" s="42"/>
      <c r="B684" s="42"/>
      <c r="C684" s="42"/>
      <c r="D684" s="42"/>
      <c r="E684" s="42"/>
      <c r="F684" s="42"/>
      <c r="G684" s="42"/>
      <c r="H684" s="42"/>
    </row>
    <row r="685" spans="1:8" ht="16.5" customHeight="1">
      <c r="A685" s="42"/>
      <c r="B685" s="42"/>
      <c r="C685" s="42"/>
      <c r="D685" s="42"/>
      <c r="E685" s="42"/>
      <c r="F685" s="42"/>
      <c r="G685" s="42"/>
      <c r="H685" s="42"/>
    </row>
    <row r="686" spans="1:8" ht="16.5" customHeight="1">
      <c r="A686" s="42"/>
      <c r="B686" s="42"/>
      <c r="C686" s="42"/>
      <c r="D686" s="42"/>
      <c r="E686" s="42"/>
      <c r="F686" s="42"/>
      <c r="G686" s="42"/>
      <c r="H686" s="42"/>
    </row>
    <row r="687" spans="1:8" ht="16.5" customHeight="1">
      <c r="A687" s="42"/>
      <c r="B687" s="42"/>
      <c r="C687" s="42"/>
      <c r="D687" s="42"/>
      <c r="E687" s="42"/>
      <c r="F687" s="42"/>
      <c r="G687" s="42"/>
      <c r="H687" s="42"/>
    </row>
    <row r="688" spans="1:8" ht="16.5" customHeight="1">
      <c r="A688" s="42"/>
      <c r="B688" s="42"/>
      <c r="C688" s="42"/>
      <c r="D688" s="42"/>
      <c r="E688" s="42"/>
      <c r="F688" s="42"/>
      <c r="G688" s="42"/>
      <c r="H688" s="42"/>
    </row>
    <row r="689" spans="1:8" ht="16.5" customHeight="1">
      <c r="A689" s="42"/>
      <c r="B689" s="42"/>
      <c r="C689" s="42"/>
      <c r="D689" s="42"/>
      <c r="E689" s="42"/>
      <c r="F689" s="42"/>
      <c r="G689" s="42"/>
      <c r="H689" s="42"/>
    </row>
    <row r="690" spans="1:8" ht="16.5" customHeight="1">
      <c r="A690" s="42"/>
      <c r="B690" s="42"/>
      <c r="C690" s="42"/>
      <c r="D690" s="42"/>
      <c r="E690" s="42"/>
      <c r="F690" s="42"/>
      <c r="G690" s="42"/>
      <c r="H690" s="42"/>
    </row>
    <row r="691" spans="1:8" ht="16.5" customHeight="1">
      <c r="A691" s="42"/>
      <c r="B691" s="42"/>
      <c r="C691" s="42"/>
      <c r="D691" s="42"/>
      <c r="E691" s="42"/>
      <c r="F691" s="42"/>
      <c r="G691" s="42"/>
      <c r="H691" s="42"/>
    </row>
    <row r="692" spans="1:8" ht="16.5" customHeight="1">
      <c r="A692" s="42"/>
      <c r="B692" s="42"/>
      <c r="C692" s="42"/>
      <c r="D692" s="42"/>
      <c r="E692" s="42"/>
      <c r="F692" s="42"/>
      <c r="G692" s="42"/>
      <c r="H692" s="42"/>
    </row>
    <row r="693" spans="1:8" ht="16.5" customHeight="1">
      <c r="A693" s="42"/>
      <c r="B693" s="42"/>
      <c r="C693" s="42"/>
      <c r="D693" s="42"/>
      <c r="E693" s="42"/>
      <c r="F693" s="42"/>
      <c r="G693" s="42"/>
      <c r="H693" s="42"/>
    </row>
    <row r="694" spans="1:8" ht="16.5" customHeight="1">
      <c r="A694" s="42"/>
      <c r="B694" s="42"/>
      <c r="C694" s="42"/>
      <c r="D694" s="42"/>
      <c r="E694" s="42"/>
      <c r="F694" s="42"/>
      <c r="G694" s="42"/>
      <c r="H694" s="42"/>
    </row>
    <row r="695" spans="1:8" ht="16.5" customHeight="1">
      <c r="A695" s="42"/>
      <c r="B695" s="42"/>
      <c r="C695" s="42"/>
      <c r="D695" s="42"/>
      <c r="E695" s="42"/>
      <c r="F695" s="42"/>
      <c r="G695" s="42"/>
      <c r="H695" s="42"/>
    </row>
    <row r="696" spans="1:8" ht="16.5" customHeight="1">
      <c r="A696" s="42"/>
      <c r="B696" s="42"/>
      <c r="C696" s="42"/>
      <c r="D696" s="42"/>
      <c r="E696" s="42"/>
      <c r="F696" s="42"/>
      <c r="G696" s="42"/>
      <c r="H696" s="42"/>
    </row>
    <row r="697" spans="1:8" ht="16.5" customHeight="1">
      <c r="A697" s="42"/>
      <c r="B697" s="42"/>
      <c r="C697" s="42"/>
      <c r="D697" s="42"/>
      <c r="E697" s="42"/>
      <c r="F697" s="42"/>
      <c r="G697" s="42"/>
      <c r="H697" s="42"/>
    </row>
    <row r="698" spans="1:8" ht="16.5" customHeight="1">
      <c r="A698" s="42"/>
      <c r="B698" s="42"/>
      <c r="C698" s="42"/>
      <c r="D698" s="42"/>
      <c r="E698" s="42"/>
      <c r="F698" s="42"/>
      <c r="G698" s="42"/>
      <c r="H698" s="42"/>
    </row>
    <row r="699" spans="1:8" ht="16.5" customHeight="1">
      <c r="A699" s="42"/>
      <c r="B699" s="42"/>
      <c r="C699" s="42"/>
      <c r="D699" s="42"/>
      <c r="E699" s="42"/>
      <c r="F699" s="42"/>
      <c r="G699" s="42"/>
      <c r="H699" s="42"/>
    </row>
    <row r="700" spans="1:8" ht="16.5" customHeight="1">
      <c r="A700" s="42"/>
      <c r="B700" s="42"/>
      <c r="C700" s="42"/>
      <c r="D700" s="42"/>
      <c r="E700" s="42"/>
      <c r="F700" s="42"/>
      <c r="G700" s="42"/>
      <c r="H700" s="42"/>
    </row>
    <row r="701" spans="1:8" ht="16.5" customHeight="1">
      <c r="A701" s="42"/>
      <c r="B701" s="42"/>
      <c r="C701" s="42"/>
      <c r="D701" s="42"/>
      <c r="E701" s="42"/>
      <c r="F701" s="42"/>
      <c r="G701" s="42"/>
      <c r="H701" s="42"/>
    </row>
    <row r="702" spans="1:8" ht="16.5" customHeight="1">
      <c r="A702" s="42"/>
      <c r="B702" s="42"/>
      <c r="C702" s="42"/>
      <c r="D702" s="42"/>
      <c r="E702" s="42"/>
      <c r="F702" s="42"/>
      <c r="G702" s="42"/>
      <c r="H702" s="42"/>
    </row>
    <row r="703" spans="1:8" ht="16.5" customHeight="1">
      <c r="A703" s="42"/>
      <c r="B703" s="42"/>
      <c r="C703" s="42"/>
      <c r="D703" s="42"/>
      <c r="E703" s="42"/>
      <c r="F703" s="42"/>
      <c r="G703" s="42"/>
      <c r="H703" s="42"/>
    </row>
    <row r="704" spans="1:8" ht="16.5" customHeight="1">
      <c r="A704" s="42"/>
      <c r="B704" s="42"/>
      <c r="C704" s="42"/>
      <c r="D704" s="42"/>
      <c r="E704" s="42"/>
      <c r="F704" s="42"/>
      <c r="G704" s="42"/>
      <c r="H704" s="42"/>
    </row>
    <row r="705" spans="1:8" ht="16.5" customHeight="1">
      <c r="A705" s="42"/>
      <c r="B705" s="42"/>
      <c r="C705" s="42"/>
      <c r="D705" s="42"/>
      <c r="E705" s="42"/>
      <c r="F705" s="42"/>
      <c r="G705" s="42"/>
      <c r="H705" s="42"/>
    </row>
    <row r="706" spans="1:8" ht="16.5" customHeight="1">
      <c r="A706" s="42"/>
      <c r="B706" s="42"/>
      <c r="C706" s="42"/>
      <c r="D706" s="42"/>
      <c r="E706" s="42"/>
      <c r="F706" s="42"/>
      <c r="G706" s="42"/>
      <c r="H706" s="42"/>
    </row>
    <row r="707" spans="1:8" ht="16.5" customHeight="1">
      <c r="A707" s="42"/>
      <c r="B707" s="42"/>
      <c r="C707" s="42"/>
      <c r="D707" s="42"/>
      <c r="E707" s="42"/>
      <c r="F707" s="42"/>
      <c r="G707" s="42"/>
      <c r="H707" s="42"/>
    </row>
    <row r="708" spans="1:8" ht="16.5" customHeight="1">
      <c r="A708" s="42"/>
      <c r="B708" s="42"/>
      <c r="C708" s="42"/>
      <c r="D708" s="42"/>
      <c r="E708" s="42"/>
      <c r="F708" s="42"/>
      <c r="G708" s="42"/>
      <c r="H708" s="42"/>
    </row>
    <row r="709" spans="1:8" ht="16.5" customHeight="1">
      <c r="A709" s="42"/>
      <c r="B709" s="42"/>
      <c r="C709" s="42"/>
      <c r="D709" s="42"/>
      <c r="E709" s="42"/>
      <c r="F709" s="42"/>
      <c r="G709" s="42"/>
      <c r="H709" s="42"/>
    </row>
    <row r="710" spans="1:8" ht="16.5" customHeight="1">
      <c r="A710" s="42"/>
      <c r="B710" s="42"/>
      <c r="C710" s="42"/>
      <c r="D710" s="42"/>
      <c r="E710" s="42"/>
      <c r="F710" s="42"/>
      <c r="G710" s="42"/>
      <c r="H710" s="42"/>
    </row>
    <row r="711" spans="1:8" ht="16.5" customHeight="1">
      <c r="A711" s="42"/>
      <c r="B711" s="42"/>
      <c r="C711" s="42"/>
      <c r="D711" s="42"/>
      <c r="E711" s="42"/>
      <c r="F711" s="42"/>
      <c r="G711" s="42"/>
      <c r="H711" s="42"/>
    </row>
    <row r="712" spans="1:8" ht="16.5" customHeight="1">
      <c r="A712" s="42"/>
      <c r="B712" s="42"/>
      <c r="C712" s="42"/>
      <c r="D712" s="42"/>
      <c r="E712" s="42"/>
      <c r="F712" s="42"/>
      <c r="G712" s="42"/>
      <c r="H712" s="42"/>
    </row>
    <row r="713" spans="1:8" ht="16.5" customHeight="1">
      <c r="A713" s="42"/>
      <c r="B713" s="42"/>
      <c r="C713" s="42"/>
      <c r="D713" s="42"/>
      <c r="E713" s="42"/>
      <c r="F713" s="42"/>
      <c r="G713" s="42"/>
      <c r="H713" s="42"/>
    </row>
    <row r="714" spans="1:8" ht="16.5" customHeight="1">
      <c r="A714" s="42"/>
      <c r="B714" s="42"/>
      <c r="C714" s="42"/>
      <c r="D714" s="42"/>
      <c r="E714" s="42"/>
      <c r="F714" s="42"/>
      <c r="G714" s="42"/>
      <c r="H714" s="42"/>
    </row>
    <row r="715" spans="1:8" ht="16.5" customHeight="1">
      <c r="A715" s="42"/>
      <c r="B715" s="42"/>
      <c r="C715" s="42"/>
      <c r="D715" s="42"/>
      <c r="E715" s="42"/>
      <c r="F715" s="42"/>
      <c r="G715" s="42"/>
      <c r="H715" s="42"/>
    </row>
    <row r="716" spans="1:8" ht="16.5" customHeight="1">
      <c r="A716" s="42"/>
      <c r="B716" s="42"/>
      <c r="C716" s="42"/>
      <c r="D716" s="42"/>
      <c r="E716" s="42"/>
      <c r="F716" s="42"/>
      <c r="G716" s="42"/>
      <c r="H716" s="42"/>
    </row>
    <row r="717" spans="1:8" ht="16.5" customHeight="1">
      <c r="A717" s="42"/>
      <c r="B717" s="42"/>
      <c r="C717" s="42"/>
      <c r="D717" s="42"/>
      <c r="E717" s="42"/>
      <c r="F717" s="42"/>
      <c r="G717" s="42"/>
      <c r="H717" s="42"/>
    </row>
    <row r="718" spans="1:8" ht="16.5" customHeight="1">
      <c r="A718" s="42"/>
      <c r="B718" s="42"/>
      <c r="C718" s="42"/>
      <c r="D718" s="42"/>
      <c r="E718" s="42"/>
      <c r="F718" s="42"/>
      <c r="G718" s="42"/>
      <c r="H718" s="42"/>
    </row>
    <row r="719" spans="1:8" ht="16.5" customHeight="1">
      <c r="A719" s="42"/>
      <c r="B719" s="42"/>
      <c r="C719" s="42"/>
      <c r="D719" s="42"/>
      <c r="E719" s="42"/>
      <c r="F719" s="42"/>
      <c r="G719" s="42"/>
      <c r="H719" s="42"/>
    </row>
    <row r="720" spans="1:8" ht="16.5" customHeight="1">
      <c r="A720" s="42"/>
      <c r="B720" s="42"/>
      <c r="C720" s="42"/>
      <c r="D720" s="42"/>
      <c r="E720" s="42"/>
      <c r="F720" s="42"/>
      <c r="G720" s="42"/>
      <c r="H720" s="42"/>
    </row>
    <row r="721" spans="1:8" ht="16.5" customHeight="1">
      <c r="A721" s="42"/>
      <c r="B721" s="42"/>
      <c r="C721" s="42"/>
      <c r="D721" s="42"/>
      <c r="E721" s="42"/>
      <c r="F721" s="42"/>
      <c r="G721" s="42"/>
      <c r="H721" s="42"/>
    </row>
    <row r="722" spans="1:8" ht="16.5" customHeight="1">
      <c r="A722" s="42"/>
      <c r="B722" s="42"/>
      <c r="C722" s="42"/>
      <c r="D722" s="42"/>
      <c r="E722" s="42"/>
      <c r="F722" s="42"/>
      <c r="G722" s="42"/>
      <c r="H722" s="42"/>
    </row>
    <row r="723" spans="1:8" ht="16.5" customHeight="1">
      <c r="A723" s="42"/>
      <c r="B723" s="42"/>
      <c r="C723" s="42"/>
      <c r="D723" s="42"/>
      <c r="E723" s="42"/>
      <c r="F723" s="42"/>
      <c r="G723" s="42"/>
      <c r="H723" s="42"/>
    </row>
    <row r="724" spans="1:8" ht="16.5" customHeight="1">
      <c r="A724" s="42"/>
      <c r="B724" s="42"/>
      <c r="C724" s="42"/>
      <c r="D724" s="42"/>
      <c r="E724" s="42"/>
      <c r="F724" s="42"/>
      <c r="G724" s="42"/>
      <c r="H724" s="42"/>
    </row>
    <row r="725" spans="1:8" ht="16.5" customHeight="1">
      <c r="A725" s="42"/>
      <c r="B725" s="42"/>
      <c r="C725" s="42"/>
      <c r="D725" s="42"/>
      <c r="E725" s="42"/>
      <c r="F725" s="42"/>
      <c r="G725" s="42"/>
      <c r="H725" s="42"/>
    </row>
    <row r="726" spans="1:8" ht="16.5" customHeight="1">
      <c r="A726" s="42"/>
      <c r="B726" s="42"/>
      <c r="C726" s="42"/>
      <c r="D726" s="42"/>
      <c r="E726" s="42"/>
      <c r="F726" s="42"/>
      <c r="G726" s="42"/>
      <c r="H726" s="42"/>
    </row>
    <row r="727" spans="1:8" ht="16.5" customHeight="1">
      <c r="A727" s="42"/>
      <c r="B727" s="42"/>
      <c r="C727" s="42"/>
      <c r="D727" s="42"/>
      <c r="E727" s="42"/>
      <c r="F727" s="42"/>
      <c r="G727" s="42"/>
      <c r="H727" s="42"/>
    </row>
    <row r="728" spans="1:8" ht="16.5" customHeight="1">
      <c r="A728" s="42"/>
      <c r="B728" s="42"/>
      <c r="C728" s="42"/>
      <c r="D728" s="42"/>
      <c r="E728" s="42"/>
      <c r="F728" s="42"/>
      <c r="G728" s="42"/>
      <c r="H728" s="42"/>
    </row>
    <row r="729" spans="1:8" ht="16.5" customHeight="1">
      <c r="A729" s="42"/>
      <c r="B729" s="42"/>
      <c r="C729" s="42"/>
      <c r="D729" s="42"/>
      <c r="E729" s="42"/>
      <c r="F729" s="42"/>
      <c r="G729" s="42"/>
      <c r="H729" s="42"/>
    </row>
    <row r="730" spans="1:8" ht="16.5" customHeight="1">
      <c r="A730" s="42"/>
      <c r="B730" s="42"/>
      <c r="C730" s="42"/>
      <c r="D730" s="42"/>
      <c r="E730" s="42"/>
      <c r="F730" s="42"/>
      <c r="G730" s="42"/>
      <c r="H730" s="42"/>
    </row>
    <row r="731" spans="1:8" ht="16.5" customHeight="1">
      <c r="A731" s="42"/>
      <c r="B731" s="42"/>
      <c r="C731" s="42"/>
      <c r="D731" s="42"/>
      <c r="E731" s="42"/>
      <c r="F731" s="42"/>
      <c r="G731" s="42"/>
      <c r="H731" s="42"/>
    </row>
    <row r="732" spans="1:8" ht="16.5" customHeight="1">
      <c r="A732" s="42"/>
      <c r="B732" s="42"/>
      <c r="C732" s="42"/>
      <c r="D732" s="42"/>
      <c r="E732" s="42"/>
      <c r="F732" s="42"/>
      <c r="G732" s="42"/>
      <c r="H732" s="42"/>
    </row>
    <row r="733" spans="1:8" ht="16.5" customHeight="1">
      <c r="A733" s="42"/>
      <c r="B733" s="42"/>
      <c r="C733" s="42"/>
      <c r="D733" s="42"/>
      <c r="E733" s="42"/>
      <c r="F733" s="42"/>
      <c r="G733" s="42"/>
      <c r="H733" s="42"/>
    </row>
    <row r="734" spans="1:8" ht="16.5" customHeight="1">
      <c r="A734" s="42"/>
      <c r="B734" s="42"/>
      <c r="C734" s="42"/>
      <c r="D734" s="42"/>
      <c r="E734" s="42"/>
      <c r="F734" s="42"/>
      <c r="G734" s="42"/>
      <c r="H734" s="42"/>
    </row>
    <row r="735" spans="1:8" ht="16.5" customHeight="1">
      <c r="A735" s="42"/>
      <c r="B735" s="42"/>
      <c r="C735" s="42"/>
      <c r="D735" s="42"/>
      <c r="E735" s="42"/>
      <c r="F735" s="42"/>
      <c r="G735" s="42"/>
      <c r="H735" s="42"/>
    </row>
    <row r="736" spans="1:8" ht="16.5" customHeight="1">
      <c r="A736" s="42"/>
      <c r="B736" s="42"/>
      <c r="C736" s="42"/>
      <c r="D736" s="42"/>
      <c r="E736" s="42"/>
      <c r="F736" s="42"/>
      <c r="G736" s="42"/>
      <c r="H736" s="42"/>
    </row>
    <row r="737" spans="1:8" ht="16.5" customHeight="1">
      <c r="A737" s="42"/>
      <c r="B737" s="42"/>
      <c r="C737" s="42"/>
      <c r="D737" s="42"/>
      <c r="E737" s="42"/>
      <c r="F737" s="42"/>
      <c r="G737" s="42"/>
      <c r="H737" s="42"/>
    </row>
    <row r="738" spans="1:8" ht="16.5" customHeight="1">
      <c r="A738" s="42"/>
      <c r="B738" s="42"/>
      <c r="C738" s="42"/>
      <c r="D738" s="42"/>
      <c r="E738" s="42"/>
      <c r="F738" s="42"/>
      <c r="G738" s="42"/>
      <c r="H738" s="42"/>
    </row>
    <row r="739" spans="1:8" ht="16.5" customHeight="1">
      <c r="A739" s="42"/>
      <c r="B739" s="42"/>
      <c r="C739" s="42"/>
      <c r="D739" s="42"/>
      <c r="E739" s="42"/>
      <c r="F739" s="42"/>
      <c r="G739" s="42"/>
      <c r="H739" s="42"/>
    </row>
    <row r="740" spans="1:8" ht="16.5" customHeight="1">
      <c r="A740" s="42"/>
      <c r="B740" s="42"/>
      <c r="C740" s="42"/>
      <c r="D740" s="42"/>
      <c r="E740" s="42"/>
      <c r="F740" s="42"/>
      <c r="G740" s="42"/>
      <c r="H740" s="42"/>
    </row>
    <row r="741" spans="1:8" ht="16.5" customHeight="1">
      <c r="A741" s="42"/>
      <c r="B741" s="42"/>
      <c r="C741" s="42"/>
      <c r="D741" s="42"/>
      <c r="E741" s="42"/>
      <c r="F741" s="42"/>
      <c r="G741" s="42"/>
      <c r="H741" s="42"/>
    </row>
    <row r="742" spans="1:8" ht="16.5" customHeight="1">
      <c r="A742" s="42"/>
      <c r="B742" s="42"/>
      <c r="C742" s="42"/>
      <c r="D742" s="42"/>
      <c r="E742" s="42"/>
      <c r="F742" s="42"/>
      <c r="G742" s="42"/>
      <c r="H742" s="42"/>
    </row>
    <row r="743" spans="1:8" ht="16.5" customHeight="1">
      <c r="A743" s="42"/>
      <c r="B743" s="42"/>
      <c r="C743" s="42"/>
      <c r="D743" s="42"/>
      <c r="E743" s="42"/>
      <c r="F743" s="42"/>
      <c r="G743" s="42"/>
      <c r="H743" s="42"/>
    </row>
    <row r="744" spans="1:8" ht="16.5" customHeight="1">
      <c r="A744" s="42"/>
      <c r="B744" s="42"/>
      <c r="C744" s="42"/>
      <c r="D744" s="42"/>
      <c r="E744" s="42"/>
      <c r="F744" s="42"/>
      <c r="G744" s="42"/>
      <c r="H744" s="42"/>
    </row>
    <row r="745" spans="1:8" ht="16.5" customHeight="1">
      <c r="A745" s="42"/>
      <c r="B745" s="42"/>
      <c r="C745" s="42"/>
      <c r="D745" s="42"/>
      <c r="E745" s="42"/>
      <c r="F745" s="42"/>
      <c r="G745" s="42"/>
      <c r="H745" s="42"/>
    </row>
    <row r="746" spans="1:8" ht="16.5" customHeight="1">
      <c r="A746" s="42"/>
      <c r="B746" s="42"/>
      <c r="C746" s="42"/>
      <c r="D746" s="42"/>
      <c r="E746" s="42"/>
      <c r="F746" s="42"/>
      <c r="G746" s="42"/>
      <c r="H746" s="42"/>
    </row>
    <row r="747" spans="1:8" ht="16.5" customHeight="1">
      <c r="A747" s="42"/>
      <c r="B747" s="42"/>
      <c r="C747" s="42"/>
      <c r="D747" s="42"/>
      <c r="E747" s="42"/>
      <c r="F747" s="42"/>
      <c r="G747" s="42"/>
      <c r="H747" s="42"/>
    </row>
    <row r="748" spans="1:8" ht="16.5" customHeight="1">
      <c r="A748" s="42"/>
      <c r="B748" s="42"/>
      <c r="C748" s="42"/>
      <c r="D748" s="42"/>
      <c r="E748" s="42"/>
      <c r="F748" s="42"/>
      <c r="G748" s="42"/>
      <c r="H748" s="42"/>
    </row>
    <row r="749" spans="1:8" ht="16.5" customHeight="1">
      <c r="A749" s="42"/>
      <c r="B749" s="42"/>
      <c r="C749" s="42"/>
      <c r="D749" s="42"/>
      <c r="E749" s="42"/>
      <c r="F749" s="42"/>
      <c r="G749" s="42"/>
      <c r="H749" s="42"/>
    </row>
    <row r="750" spans="1:8" ht="16.5" customHeight="1">
      <c r="A750" s="42"/>
      <c r="B750" s="42"/>
      <c r="C750" s="42"/>
      <c r="D750" s="42"/>
      <c r="E750" s="42"/>
      <c r="F750" s="42"/>
      <c r="G750" s="42"/>
      <c r="H750" s="42"/>
    </row>
    <row r="751" spans="1:8" ht="16.5" customHeight="1">
      <c r="A751" s="42"/>
      <c r="B751" s="42"/>
      <c r="C751" s="42"/>
      <c r="D751" s="42"/>
      <c r="E751" s="42"/>
      <c r="F751" s="42"/>
      <c r="G751" s="42"/>
      <c r="H751" s="42"/>
    </row>
    <row r="752" spans="1:8" ht="16.5" customHeight="1">
      <c r="A752" s="42"/>
      <c r="B752" s="42"/>
      <c r="C752" s="42"/>
      <c r="D752" s="42"/>
      <c r="E752" s="42"/>
      <c r="F752" s="42"/>
      <c r="G752" s="42"/>
      <c r="H752" s="42"/>
    </row>
    <row r="753" spans="1:8" ht="16.5" customHeight="1">
      <c r="A753" s="42"/>
      <c r="B753" s="42"/>
      <c r="C753" s="42"/>
      <c r="D753" s="42"/>
      <c r="E753" s="42"/>
      <c r="F753" s="42"/>
      <c r="G753" s="42"/>
      <c r="H753" s="42"/>
    </row>
    <row r="754" spans="1:8" ht="16.5" customHeight="1">
      <c r="A754" s="42"/>
      <c r="B754" s="42"/>
      <c r="C754" s="42"/>
      <c r="D754" s="42"/>
      <c r="E754" s="42"/>
      <c r="F754" s="42"/>
      <c r="G754" s="42"/>
      <c r="H754" s="42"/>
    </row>
    <row r="755" spans="1:8" ht="16.5" customHeight="1">
      <c r="A755" s="42"/>
      <c r="B755" s="42"/>
      <c r="C755" s="42"/>
      <c r="D755" s="42"/>
      <c r="E755" s="42"/>
      <c r="F755" s="42"/>
      <c r="G755" s="42"/>
      <c r="H755" s="42"/>
    </row>
    <row r="756" spans="1:8" ht="16.5" customHeight="1">
      <c r="A756" s="42"/>
      <c r="B756" s="42"/>
      <c r="C756" s="42"/>
      <c r="D756" s="42"/>
      <c r="E756" s="42"/>
      <c r="F756" s="42"/>
      <c r="G756" s="42"/>
      <c r="H756" s="42"/>
    </row>
    <row r="757" spans="1:8" ht="16.5" customHeight="1">
      <c r="A757" s="42"/>
      <c r="B757" s="42"/>
      <c r="C757" s="42"/>
      <c r="D757" s="42"/>
      <c r="E757" s="42"/>
      <c r="F757" s="42"/>
      <c r="G757" s="42"/>
      <c r="H757" s="42"/>
    </row>
    <row r="758" spans="1:8" ht="16.5" customHeight="1">
      <c r="A758" s="42"/>
      <c r="B758" s="42"/>
      <c r="C758" s="42"/>
      <c r="D758" s="42"/>
      <c r="E758" s="42"/>
      <c r="F758" s="42"/>
      <c r="G758" s="42"/>
      <c r="H758" s="42"/>
    </row>
    <row r="759" spans="1:8" ht="16.5" customHeight="1">
      <c r="A759" s="42"/>
      <c r="B759" s="42"/>
      <c r="C759" s="42"/>
      <c r="D759" s="42"/>
      <c r="E759" s="42"/>
      <c r="F759" s="42"/>
      <c r="G759" s="42"/>
      <c r="H759" s="42"/>
    </row>
    <row r="760" spans="1:8" ht="16.5" customHeight="1">
      <c r="A760" s="42"/>
      <c r="B760" s="42"/>
      <c r="C760" s="42"/>
      <c r="D760" s="42"/>
      <c r="E760" s="42"/>
      <c r="F760" s="42"/>
      <c r="G760" s="42"/>
      <c r="H760" s="42"/>
    </row>
    <row r="761" spans="1:8" ht="16.5" customHeight="1">
      <c r="A761" s="42"/>
      <c r="B761" s="42"/>
      <c r="C761" s="42"/>
      <c r="D761" s="42"/>
      <c r="E761" s="42"/>
      <c r="F761" s="42"/>
      <c r="G761" s="42"/>
      <c r="H761" s="42"/>
    </row>
    <row r="762" spans="1:8" ht="16.5" customHeight="1">
      <c r="A762" s="42"/>
      <c r="B762" s="42"/>
      <c r="C762" s="42"/>
      <c r="D762" s="42"/>
      <c r="E762" s="42"/>
      <c r="F762" s="42"/>
      <c r="G762" s="42"/>
      <c r="H762" s="42"/>
    </row>
    <row r="763" spans="1:8" ht="16.5" customHeight="1">
      <c r="A763" s="42"/>
      <c r="B763" s="42"/>
      <c r="C763" s="42"/>
      <c r="D763" s="42"/>
      <c r="E763" s="42"/>
      <c r="F763" s="42"/>
      <c r="G763" s="42"/>
      <c r="H763" s="42"/>
    </row>
    <row r="764" spans="1:8" ht="16.5" customHeight="1">
      <c r="A764" s="42"/>
      <c r="B764" s="42"/>
      <c r="C764" s="42"/>
      <c r="D764" s="42"/>
      <c r="E764" s="42"/>
      <c r="F764" s="42"/>
      <c r="G764" s="42"/>
      <c r="H764" s="42"/>
    </row>
    <row r="765" spans="1:8" ht="16.5" customHeight="1">
      <c r="A765" s="42"/>
      <c r="B765" s="42"/>
      <c r="C765" s="42"/>
      <c r="D765" s="42"/>
      <c r="E765" s="42"/>
      <c r="F765" s="42"/>
      <c r="G765" s="42"/>
      <c r="H765" s="42"/>
    </row>
    <row r="766" spans="1:8" ht="16.5" customHeight="1">
      <c r="A766" s="42"/>
      <c r="B766" s="42"/>
      <c r="C766" s="42"/>
      <c r="D766" s="42"/>
      <c r="E766" s="42"/>
      <c r="F766" s="42"/>
      <c r="G766" s="42"/>
      <c r="H766" s="42"/>
    </row>
    <row r="767" spans="1:8" ht="16.5" customHeight="1">
      <c r="A767" s="42"/>
      <c r="B767" s="42"/>
      <c r="C767" s="42"/>
      <c r="D767" s="42"/>
      <c r="E767" s="42"/>
      <c r="F767" s="42"/>
      <c r="G767" s="42"/>
      <c r="H767" s="42"/>
    </row>
    <row r="768" spans="1:8" ht="16.5" customHeight="1">
      <c r="A768" s="42"/>
      <c r="B768" s="42"/>
      <c r="C768" s="42"/>
      <c r="D768" s="42"/>
      <c r="E768" s="42"/>
      <c r="F768" s="42"/>
      <c r="G768" s="42"/>
      <c r="H768" s="42"/>
    </row>
    <row r="769" spans="1:8" ht="16.5" customHeight="1">
      <c r="A769" s="42"/>
      <c r="B769" s="42"/>
      <c r="C769" s="42"/>
      <c r="D769" s="42"/>
      <c r="E769" s="42"/>
      <c r="F769" s="42"/>
      <c r="G769" s="42"/>
      <c r="H769" s="42"/>
    </row>
    <row r="770" spans="1:8" ht="16.5" customHeight="1">
      <c r="A770" s="42"/>
      <c r="B770" s="42"/>
      <c r="C770" s="42"/>
      <c r="D770" s="42"/>
      <c r="E770" s="42"/>
      <c r="F770" s="42"/>
      <c r="G770" s="42"/>
      <c r="H770" s="42"/>
    </row>
    <row r="771" spans="1:8" ht="16.5" customHeight="1">
      <c r="A771" s="42"/>
      <c r="B771" s="42"/>
      <c r="C771" s="42"/>
      <c r="D771" s="42"/>
      <c r="E771" s="42"/>
      <c r="F771" s="42"/>
      <c r="G771" s="42"/>
      <c r="H771" s="42"/>
    </row>
    <row r="772" spans="1:8" ht="16.5" customHeight="1">
      <c r="A772" s="42"/>
      <c r="B772" s="42"/>
      <c r="C772" s="42"/>
      <c r="D772" s="42"/>
      <c r="E772" s="42"/>
      <c r="F772" s="42"/>
      <c r="G772" s="42"/>
      <c r="H772" s="42"/>
    </row>
    <row r="773" spans="1:8" ht="16.5" customHeight="1">
      <c r="A773" s="42"/>
      <c r="B773" s="42"/>
      <c r="C773" s="42"/>
      <c r="D773" s="42"/>
      <c r="E773" s="42"/>
      <c r="F773" s="42"/>
      <c r="G773" s="42"/>
      <c r="H773" s="42"/>
    </row>
    <row r="774" spans="1:8" ht="16.5" customHeight="1">
      <c r="A774" s="42"/>
      <c r="B774" s="42"/>
      <c r="C774" s="42"/>
      <c r="D774" s="42"/>
      <c r="E774" s="42"/>
      <c r="F774" s="42"/>
      <c r="G774" s="42"/>
      <c r="H774" s="42"/>
    </row>
    <row r="775" spans="1:8" ht="16.5" customHeight="1">
      <c r="A775" s="42"/>
      <c r="B775" s="42"/>
      <c r="C775" s="42"/>
      <c r="D775" s="42"/>
      <c r="E775" s="42"/>
      <c r="F775" s="42"/>
      <c r="G775" s="42"/>
      <c r="H775" s="42"/>
    </row>
    <row r="776" spans="1:8" ht="16.5" customHeight="1">
      <c r="A776" s="42"/>
      <c r="B776" s="42"/>
      <c r="C776" s="42"/>
      <c r="D776" s="42"/>
      <c r="E776" s="42"/>
      <c r="F776" s="42"/>
      <c r="G776" s="42"/>
      <c r="H776" s="42"/>
    </row>
    <row r="777" spans="1:8" ht="16.5" customHeight="1">
      <c r="A777" s="42"/>
      <c r="B777" s="42"/>
      <c r="C777" s="42"/>
      <c r="D777" s="42"/>
      <c r="E777" s="42"/>
      <c r="F777" s="42"/>
      <c r="G777" s="42"/>
      <c r="H777" s="42"/>
    </row>
    <row r="778" spans="1:8" ht="16.5" customHeight="1">
      <c r="A778" s="42"/>
      <c r="B778" s="42"/>
      <c r="C778" s="42"/>
      <c r="D778" s="42"/>
      <c r="E778" s="42"/>
      <c r="F778" s="42"/>
      <c r="G778" s="42"/>
      <c r="H778" s="42"/>
    </row>
    <row r="779" spans="1:8" ht="16.5" customHeight="1">
      <c r="A779" s="42"/>
      <c r="B779" s="42"/>
      <c r="C779" s="42"/>
      <c r="D779" s="42"/>
      <c r="E779" s="42"/>
      <c r="F779" s="42"/>
      <c r="G779" s="42"/>
      <c r="H779" s="42"/>
    </row>
    <row r="780" spans="1:8" ht="16.5" customHeight="1">
      <c r="A780" s="42"/>
      <c r="B780" s="42"/>
      <c r="C780" s="42"/>
      <c r="D780" s="42"/>
      <c r="E780" s="42"/>
      <c r="F780" s="42"/>
      <c r="G780" s="42"/>
      <c r="H780" s="42"/>
    </row>
    <row r="781" spans="1:8" ht="16.5" customHeight="1">
      <c r="A781" s="42"/>
      <c r="B781" s="42"/>
      <c r="C781" s="42"/>
      <c r="D781" s="42"/>
      <c r="E781" s="42"/>
      <c r="F781" s="42"/>
      <c r="G781" s="42"/>
      <c r="H781" s="42"/>
    </row>
    <row r="782" spans="1:8" ht="16.5" customHeight="1">
      <c r="A782" s="42"/>
      <c r="B782" s="42"/>
      <c r="C782" s="42"/>
      <c r="D782" s="42"/>
      <c r="E782" s="42"/>
      <c r="F782" s="42"/>
      <c r="G782" s="42"/>
      <c r="H782" s="42"/>
    </row>
    <row r="783" spans="1:8" ht="16.5" customHeight="1">
      <c r="A783" s="42"/>
      <c r="B783" s="42"/>
      <c r="C783" s="42"/>
      <c r="D783" s="42"/>
      <c r="E783" s="42"/>
      <c r="F783" s="42"/>
      <c r="G783" s="42"/>
      <c r="H783" s="42"/>
    </row>
    <row r="784" spans="1:8" ht="16.5" customHeight="1">
      <c r="A784" s="42"/>
      <c r="B784" s="42"/>
      <c r="C784" s="42"/>
      <c r="D784" s="42"/>
      <c r="E784" s="42"/>
      <c r="F784" s="42"/>
      <c r="G784" s="42"/>
      <c r="H784" s="42"/>
    </row>
    <row r="785" spans="1:8" ht="16.5" customHeight="1">
      <c r="A785" s="42"/>
      <c r="B785" s="42"/>
      <c r="C785" s="42"/>
      <c r="D785" s="42"/>
      <c r="E785" s="42"/>
      <c r="F785" s="42"/>
      <c r="G785" s="42"/>
      <c r="H785" s="42"/>
    </row>
    <row r="786" spans="1:8" ht="16.5" customHeight="1">
      <c r="A786" s="42"/>
      <c r="B786" s="42"/>
      <c r="C786" s="42"/>
      <c r="D786" s="42"/>
      <c r="E786" s="42"/>
      <c r="F786" s="42"/>
      <c r="G786" s="42"/>
      <c r="H786" s="42"/>
    </row>
    <row r="787" spans="1:8" ht="16.5" customHeight="1">
      <c r="A787" s="42"/>
      <c r="B787" s="42"/>
      <c r="C787" s="42"/>
      <c r="D787" s="42"/>
      <c r="E787" s="42"/>
      <c r="F787" s="42"/>
      <c r="G787" s="42"/>
      <c r="H787" s="42"/>
    </row>
    <row r="788" spans="1:8" ht="16.5" customHeight="1">
      <c r="A788" s="42"/>
      <c r="B788" s="42"/>
      <c r="C788" s="42"/>
      <c r="D788" s="42"/>
      <c r="E788" s="42"/>
      <c r="F788" s="42"/>
      <c r="G788" s="42"/>
      <c r="H788" s="42"/>
    </row>
    <row r="789" spans="1:8" ht="16.5" customHeight="1">
      <c r="A789" s="42"/>
      <c r="B789" s="42"/>
      <c r="C789" s="42"/>
      <c r="D789" s="42"/>
      <c r="E789" s="42"/>
      <c r="F789" s="42"/>
      <c r="G789" s="42"/>
      <c r="H789" s="42"/>
    </row>
    <row r="790" spans="1:8" ht="16.5" customHeight="1">
      <c r="A790" s="42"/>
      <c r="B790" s="42"/>
      <c r="C790" s="42"/>
      <c r="D790" s="42"/>
      <c r="E790" s="42"/>
      <c r="F790" s="42"/>
      <c r="G790" s="42"/>
      <c r="H790" s="42"/>
    </row>
    <row r="791" spans="1:8" ht="16.5" customHeight="1">
      <c r="A791" s="42"/>
      <c r="B791" s="42"/>
      <c r="C791" s="42"/>
      <c r="D791" s="42"/>
      <c r="E791" s="42"/>
      <c r="F791" s="42"/>
      <c r="G791" s="42"/>
      <c r="H791" s="42"/>
    </row>
    <row r="792" spans="1:8" ht="16.5" customHeight="1">
      <c r="A792" s="42"/>
      <c r="B792" s="42"/>
      <c r="C792" s="42"/>
      <c r="D792" s="42"/>
      <c r="E792" s="42"/>
      <c r="F792" s="42"/>
      <c r="G792" s="42"/>
      <c r="H792" s="42"/>
    </row>
    <row r="793" spans="1:8" ht="16.5" customHeight="1">
      <c r="A793" s="42"/>
      <c r="B793" s="42"/>
      <c r="C793" s="42"/>
      <c r="D793" s="42"/>
      <c r="E793" s="42"/>
      <c r="F793" s="42"/>
      <c r="G793" s="42"/>
      <c r="H793" s="42"/>
    </row>
    <row r="794" spans="1:8" ht="16.5" customHeight="1">
      <c r="A794" s="42"/>
      <c r="B794" s="42"/>
      <c r="C794" s="42"/>
      <c r="D794" s="42"/>
      <c r="E794" s="42"/>
      <c r="F794" s="42"/>
      <c r="G794" s="42"/>
      <c r="H794" s="42"/>
    </row>
    <row r="795" spans="1:8" ht="16.5" customHeight="1">
      <c r="A795" s="42"/>
      <c r="B795" s="42"/>
      <c r="C795" s="42"/>
      <c r="D795" s="42"/>
      <c r="E795" s="42"/>
      <c r="F795" s="42"/>
      <c r="G795" s="42"/>
      <c r="H795" s="42"/>
    </row>
    <row r="796" spans="1:8" ht="16.5" customHeight="1">
      <c r="A796" s="42"/>
      <c r="B796" s="42"/>
      <c r="C796" s="42"/>
      <c r="D796" s="42"/>
      <c r="E796" s="42"/>
      <c r="F796" s="42"/>
      <c r="G796" s="42"/>
      <c r="H796" s="42"/>
    </row>
    <row r="797" spans="1:8" ht="16.5" customHeight="1">
      <c r="A797" s="42"/>
      <c r="B797" s="42"/>
      <c r="C797" s="42"/>
      <c r="D797" s="42"/>
      <c r="E797" s="42"/>
      <c r="F797" s="42"/>
      <c r="G797" s="42"/>
      <c r="H797" s="42"/>
    </row>
    <row r="798" spans="1:8" ht="16.5" customHeight="1">
      <c r="A798" s="42"/>
      <c r="B798" s="42"/>
      <c r="C798" s="42"/>
      <c r="D798" s="42"/>
      <c r="E798" s="42"/>
      <c r="F798" s="42"/>
      <c r="G798" s="42"/>
      <c r="H798" s="42"/>
    </row>
    <row r="799" spans="1:8" ht="16.5" customHeight="1">
      <c r="A799" s="42"/>
      <c r="B799" s="42"/>
      <c r="C799" s="42"/>
      <c r="D799" s="42"/>
      <c r="E799" s="42"/>
      <c r="F799" s="42"/>
      <c r="G799" s="42"/>
      <c r="H799" s="42"/>
    </row>
    <row r="800" spans="1:8" ht="16.5" customHeight="1">
      <c r="A800" s="42"/>
      <c r="B800" s="42"/>
      <c r="C800" s="42"/>
      <c r="D800" s="42"/>
      <c r="E800" s="42"/>
      <c r="F800" s="42"/>
      <c r="G800" s="42"/>
      <c r="H800" s="42"/>
    </row>
    <row r="801" spans="1:8" ht="16.5" customHeight="1">
      <c r="A801" s="42"/>
      <c r="B801" s="42"/>
      <c r="C801" s="42"/>
      <c r="D801" s="42"/>
      <c r="E801" s="42"/>
      <c r="F801" s="42"/>
      <c r="G801" s="42"/>
      <c r="H801" s="42"/>
    </row>
    <row r="802" spans="1:8" ht="16.5" customHeight="1">
      <c r="A802" s="42"/>
      <c r="B802" s="42"/>
      <c r="C802" s="42"/>
      <c r="D802" s="42"/>
      <c r="E802" s="42"/>
      <c r="F802" s="42"/>
      <c r="G802" s="42"/>
      <c r="H802" s="42"/>
    </row>
    <row r="803" spans="1:8" ht="16.5" customHeight="1">
      <c r="A803" s="42"/>
      <c r="B803" s="42"/>
      <c r="C803" s="42"/>
      <c r="D803" s="42"/>
      <c r="E803" s="42"/>
      <c r="F803" s="42"/>
      <c r="G803" s="42"/>
      <c r="H803" s="42"/>
    </row>
    <row r="804" spans="1:8" ht="16.5" customHeight="1">
      <c r="A804" s="42"/>
      <c r="B804" s="42"/>
      <c r="C804" s="42"/>
      <c r="D804" s="42"/>
      <c r="E804" s="42"/>
      <c r="F804" s="42"/>
      <c r="G804" s="42"/>
      <c r="H804" s="42"/>
    </row>
    <row r="805" spans="1:8" ht="16.5" customHeight="1">
      <c r="A805" s="42"/>
      <c r="B805" s="42"/>
      <c r="C805" s="42"/>
      <c r="D805" s="42"/>
      <c r="E805" s="42"/>
      <c r="F805" s="42"/>
      <c r="G805" s="42"/>
      <c r="H805" s="42"/>
    </row>
    <row r="806" spans="1:8" ht="16.5" customHeight="1">
      <c r="A806" s="42"/>
      <c r="B806" s="42"/>
      <c r="C806" s="42"/>
      <c r="D806" s="42"/>
      <c r="E806" s="42"/>
      <c r="F806" s="42"/>
      <c r="G806" s="42"/>
      <c r="H806" s="42"/>
    </row>
    <row r="807" spans="1:8" ht="16.5" customHeight="1">
      <c r="A807" s="42"/>
      <c r="B807" s="42"/>
      <c r="C807" s="42"/>
      <c r="D807" s="42"/>
      <c r="E807" s="42"/>
      <c r="F807" s="42"/>
      <c r="G807" s="42"/>
      <c r="H807" s="42"/>
    </row>
    <row r="808" spans="1:8" ht="16.5" customHeight="1">
      <c r="A808" s="42"/>
      <c r="B808" s="42"/>
      <c r="C808" s="42"/>
      <c r="D808" s="42"/>
      <c r="E808" s="42"/>
      <c r="F808" s="42"/>
      <c r="G808" s="42"/>
      <c r="H808" s="42"/>
    </row>
    <row r="809" spans="1:8" ht="16.5" customHeight="1">
      <c r="A809" s="42"/>
      <c r="B809" s="42"/>
      <c r="C809" s="42"/>
      <c r="D809" s="42"/>
      <c r="E809" s="42"/>
      <c r="F809" s="42"/>
      <c r="G809" s="42"/>
      <c r="H809" s="42"/>
    </row>
    <row r="810" spans="1:8" ht="16.5" customHeight="1">
      <c r="A810" s="42"/>
      <c r="B810" s="42"/>
      <c r="C810" s="42"/>
      <c r="D810" s="42"/>
      <c r="E810" s="42"/>
      <c r="F810" s="42"/>
      <c r="G810" s="42"/>
      <c r="H810" s="42"/>
    </row>
    <row r="811" spans="1:8" ht="16.5" customHeight="1">
      <c r="A811" s="42"/>
      <c r="B811" s="42"/>
      <c r="C811" s="42"/>
      <c r="D811" s="42"/>
      <c r="E811" s="42"/>
      <c r="F811" s="42"/>
      <c r="G811" s="42"/>
      <c r="H811" s="42"/>
    </row>
    <row r="812" spans="1:8" ht="16.5" customHeight="1">
      <c r="A812" s="42"/>
      <c r="B812" s="42"/>
      <c r="C812" s="42"/>
      <c r="D812" s="42"/>
      <c r="E812" s="42"/>
      <c r="F812" s="42"/>
      <c r="G812" s="42"/>
      <c r="H812" s="42"/>
    </row>
    <row r="813" spans="1:8" ht="16.5" customHeight="1">
      <c r="A813" s="42"/>
      <c r="B813" s="42"/>
      <c r="C813" s="42"/>
      <c r="D813" s="42"/>
      <c r="E813" s="42"/>
      <c r="F813" s="42"/>
      <c r="G813" s="42"/>
      <c r="H813" s="42"/>
    </row>
    <row r="814" spans="1:8" ht="16.5" customHeight="1">
      <c r="A814" s="42"/>
      <c r="B814" s="42"/>
      <c r="C814" s="42"/>
      <c r="D814" s="42"/>
      <c r="E814" s="42"/>
      <c r="F814" s="42"/>
      <c r="G814" s="42"/>
      <c r="H814" s="42"/>
    </row>
    <row r="815" spans="1:8" ht="16.5" customHeight="1">
      <c r="A815" s="42"/>
      <c r="B815" s="42"/>
      <c r="C815" s="42"/>
      <c r="D815" s="42"/>
      <c r="E815" s="42"/>
      <c r="F815" s="42"/>
      <c r="G815" s="42"/>
      <c r="H815" s="42"/>
    </row>
    <row r="816" spans="1:8" ht="16.5" customHeight="1">
      <c r="A816" s="42"/>
      <c r="B816" s="42"/>
      <c r="C816" s="42"/>
      <c r="D816" s="42"/>
      <c r="E816" s="42"/>
      <c r="F816" s="42"/>
      <c r="G816" s="42"/>
      <c r="H816" s="42"/>
    </row>
    <row r="817" spans="1:8" ht="16.5" customHeight="1">
      <c r="A817" s="42"/>
      <c r="B817" s="42"/>
      <c r="C817" s="42"/>
      <c r="D817" s="42"/>
      <c r="E817" s="42"/>
      <c r="F817" s="42"/>
      <c r="G817" s="42"/>
      <c r="H817" s="42"/>
    </row>
    <row r="818" spans="1:8" ht="16.5" customHeight="1">
      <c r="A818" s="42"/>
      <c r="B818" s="42"/>
      <c r="C818" s="42"/>
      <c r="D818" s="42"/>
      <c r="E818" s="42"/>
      <c r="F818" s="42"/>
      <c r="G818" s="42"/>
      <c r="H818" s="42"/>
    </row>
    <row r="819" spans="1:8" ht="16.5" customHeight="1">
      <c r="A819" s="42"/>
      <c r="B819" s="42"/>
      <c r="C819" s="42"/>
      <c r="D819" s="42"/>
      <c r="E819" s="42"/>
      <c r="F819" s="42"/>
      <c r="G819" s="42"/>
      <c r="H819" s="42"/>
    </row>
    <row r="820" spans="1:8" ht="16.5" customHeight="1">
      <c r="A820" s="42"/>
      <c r="B820" s="42"/>
      <c r="C820" s="42"/>
      <c r="D820" s="42"/>
      <c r="E820" s="42"/>
      <c r="F820" s="42"/>
      <c r="G820" s="42"/>
      <c r="H820" s="42"/>
    </row>
    <row r="821" spans="1:8" ht="16.5" customHeight="1">
      <c r="A821" s="42"/>
      <c r="B821" s="42"/>
      <c r="C821" s="42"/>
      <c r="D821" s="42"/>
      <c r="E821" s="42"/>
      <c r="F821" s="42"/>
      <c r="G821" s="42"/>
      <c r="H821" s="42"/>
    </row>
    <row r="822" spans="1:8" ht="16.5" customHeight="1">
      <c r="A822" s="42"/>
      <c r="B822" s="42"/>
      <c r="C822" s="42"/>
      <c r="D822" s="42"/>
      <c r="E822" s="42"/>
      <c r="F822" s="42"/>
      <c r="G822" s="42"/>
      <c r="H822" s="42"/>
    </row>
    <row r="823" spans="1:8" ht="16.5" customHeight="1">
      <c r="A823" s="42"/>
      <c r="B823" s="42"/>
      <c r="C823" s="42"/>
      <c r="D823" s="42"/>
      <c r="E823" s="42"/>
      <c r="F823" s="42"/>
      <c r="G823" s="42"/>
      <c r="H823" s="42"/>
    </row>
    <row r="824" spans="1:8" ht="16.5" customHeight="1">
      <c r="A824" s="42"/>
      <c r="B824" s="42"/>
      <c r="C824" s="42"/>
      <c r="D824" s="42"/>
      <c r="E824" s="42"/>
      <c r="F824" s="42"/>
      <c r="G824" s="42"/>
      <c r="H824" s="42"/>
    </row>
    <row r="825" spans="1:8" ht="16.5" customHeight="1">
      <c r="A825" s="42"/>
      <c r="B825" s="42"/>
      <c r="C825" s="42"/>
      <c r="D825" s="42"/>
      <c r="E825" s="42"/>
      <c r="F825" s="42"/>
      <c r="G825" s="42"/>
      <c r="H825" s="42"/>
    </row>
    <row r="826" spans="1:8" ht="16.5" customHeight="1">
      <c r="A826" s="42"/>
      <c r="B826" s="42"/>
      <c r="C826" s="42"/>
      <c r="D826" s="42"/>
      <c r="E826" s="42"/>
      <c r="F826" s="42"/>
      <c r="G826" s="42"/>
      <c r="H826" s="42"/>
    </row>
    <row r="827" spans="1:8" ht="16.5" customHeight="1">
      <c r="A827" s="42"/>
      <c r="B827" s="42"/>
      <c r="C827" s="42"/>
      <c r="D827" s="42"/>
      <c r="E827" s="42"/>
      <c r="F827" s="42"/>
      <c r="G827" s="42"/>
      <c r="H827" s="42"/>
    </row>
    <row r="828" spans="1:8" ht="16.5" customHeight="1">
      <c r="A828" s="42"/>
      <c r="B828" s="42"/>
      <c r="C828" s="42"/>
      <c r="D828" s="42"/>
      <c r="E828" s="42"/>
      <c r="F828" s="42"/>
      <c r="G828" s="42"/>
      <c r="H828" s="42"/>
    </row>
    <row r="829" spans="1:8" ht="16.5" customHeight="1">
      <c r="A829" s="42"/>
      <c r="B829" s="42"/>
      <c r="C829" s="42"/>
      <c r="D829" s="42"/>
      <c r="E829" s="42"/>
      <c r="F829" s="42"/>
      <c r="G829" s="42"/>
      <c r="H829" s="42"/>
    </row>
    <row r="830" spans="1:8" ht="16.5" customHeight="1">
      <c r="A830" s="42"/>
      <c r="B830" s="42"/>
      <c r="C830" s="42"/>
      <c r="D830" s="42"/>
      <c r="E830" s="42"/>
      <c r="F830" s="42"/>
      <c r="G830" s="42"/>
      <c r="H830" s="42"/>
    </row>
    <row r="831" spans="1:8" ht="16.5" customHeight="1">
      <c r="A831" s="42"/>
      <c r="B831" s="42"/>
      <c r="C831" s="42"/>
      <c r="D831" s="42"/>
      <c r="E831" s="42"/>
      <c r="F831" s="42"/>
      <c r="G831" s="42"/>
      <c r="H831" s="42"/>
    </row>
    <row r="832" spans="1:8" ht="16.5" customHeight="1">
      <c r="A832" s="42"/>
      <c r="B832" s="42"/>
      <c r="C832" s="42"/>
      <c r="D832" s="42"/>
      <c r="E832" s="42"/>
      <c r="F832" s="42"/>
      <c r="G832" s="42"/>
      <c r="H832" s="42"/>
    </row>
    <row r="833" spans="1:8" ht="16.5" customHeight="1">
      <c r="A833" s="42"/>
      <c r="B833" s="42"/>
      <c r="C833" s="42"/>
      <c r="D833" s="42"/>
      <c r="E833" s="42"/>
      <c r="F833" s="42"/>
      <c r="G833" s="42"/>
      <c r="H833" s="42"/>
    </row>
    <row r="834" spans="1:8" ht="16.5" customHeight="1">
      <c r="A834" s="42"/>
      <c r="B834" s="42"/>
      <c r="C834" s="42"/>
      <c r="D834" s="42"/>
      <c r="E834" s="42"/>
      <c r="F834" s="42"/>
      <c r="G834" s="42"/>
      <c r="H834" s="42"/>
    </row>
    <row r="835" spans="1:8" ht="16.5" customHeight="1">
      <c r="A835" s="42"/>
      <c r="B835" s="42"/>
      <c r="C835" s="42"/>
      <c r="D835" s="42"/>
      <c r="E835" s="42"/>
      <c r="F835" s="42"/>
      <c r="G835" s="42"/>
      <c r="H835" s="42"/>
    </row>
    <row r="836" spans="1:8" ht="16.5" customHeight="1">
      <c r="A836" s="42"/>
      <c r="B836" s="42"/>
      <c r="C836" s="42"/>
      <c r="D836" s="42"/>
      <c r="E836" s="42"/>
      <c r="F836" s="42"/>
      <c r="G836" s="42"/>
      <c r="H836" s="42"/>
    </row>
    <row r="837" spans="1:8" ht="16.5" customHeight="1">
      <c r="A837" s="42"/>
      <c r="B837" s="42"/>
      <c r="C837" s="42"/>
      <c r="D837" s="42"/>
      <c r="E837" s="42"/>
      <c r="F837" s="42"/>
      <c r="G837" s="42"/>
      <c r="H837" s="42"/>
    </row>
    <row r="838" spans="1:8" ht="16.5" customHeight="1">
      <c r="A838" s="42"/>
      <c r="B838" s="42"/>
      <c r="C838" s="42"/>
      <c r="D838" s="42"/>
      <c r="E838" s="42"/>
      <c r="F838" s="42"/>
      <c r="G838" s="42"/>
      <c r="H838" s="42"/>
    </row>
    <row r="839" spans="1:8" ht="16.5" customHeight="1">
      <c r="A839" s="42"/>
      <c r="B839" s="42"/>
      <c r="C839" s="42"/>
      <c r="D839" s="42"/>
      <c r="E839" s="42"/>
      <c r="F839" s="42"/>
      <c r="G839" s="42"/>
      <c r="H839" s="42"/>
    </row>
    <row r="840" spans="1:8" ht="16.5" customHeight="1">
      <c r="A840" s="42"/>
      <c r="B840" s="42"/>
      <c r="C840" s="42"/>
      <c r="D840" s="42"/>
      <c r="E840" s="42"/>
      <c r="F840" s="42"/>
      <c r="G840" s="42"/>
      <c r="H840" s="42"/>
    </row>
    <row r="841" spans="1:8" ht="16.5" customHeight="1">
      <c r="A841" s="42"/>
      <c r="B841" s="42"/>
      <c r="C841" s="42"/>
      <c r="D841" s="42"/>
      <c r="E841" s="42"/>
      <c r="F841" s="42"/>
      <c r="G841" s="42"/>
      <c r="H841" s="42"/>
    </row>
    <row r="842" spans="1:8" ht="16.5" customHeight="1">
      <c r="A842" s="42"/>
      <c r="B842" s="42"/>
      <c r="C842" s="42"/>
      <c r="D842" s="42"/>
      <c r="E842" s="42"/>
      <c r="F842" s="42"/>
      <c r="G842" s="42"/>
      <c r="H842" s="42"/>
    </row>
    <row r="843" spans="1:8" ht="16.5" customHeight="1">
      <c r="A843" s="42"/>
      <c r="B843" s="42"/>
      <c r="C843" s="42"/>
      <c r="D843" s="42"/>
      <c r="E843" s="42"/>
      <c r="F843" s="42"/>
      <c r="G843" s="42"/>
      <c r="H843" s="42"/>
    </row>
    <row r="844" spans="1:8" ht="16.5" customHeight="1">
      <c r="A844" s="42"/>
      <c r="B844" s="42"/>
      <c r="C844" s="42"/>
      <c r="D844" s="42"/>
      <c r="E844" s="42"/>
      <c r="F844" s="42"/>
      <c r="G844" s="42"/>
      <c r="H844" s="42"/>
    </row>
    <row r="845" spans="1:8" ht="16.5" customHeight="1">
      <c r="A845" s="42"/>
      <c r="B845" s="42"/>
      <c r="C845" s="42"/>
      <c r="D845" s="42"/>
      <c r="E845" s="42"/>
      <c r="F845" s="42"/>
      <c r="G845" s="42"/>
      <c r="H845" s="42"/>
    </row>
    <row r="846" spans="1:8" ht="16.5" customHeight="1">
      <c r="A846" s="42"/>
      <c r="B846" s="42"/>
      <c r="C846" s="42"/>
      <c r="D846" s="42"/>
      <c r="E846" s="42"/>
      <c r="F846" s="42"/>
      <c r="G846" s="42"/>
      <c r="H846" s="42"/>
    </row>
    <row r="847" spans="1:8" ht="16.5" customHeight="1">
      <c r="A847" s="42"/>
      <c r="B847" s="42"/>
      <c r="C847" s="42"/>
      <c r="D847" s="42"/>
      <c r="E847" s="42"/>
      <c r="F847" s="42"/>
      <c r="G847" s="42"/>
      <c r="H847" s="42"/>
    </row>
    <row r="848" spans="1:8" ht="16.5" customHeight="1">
      <c r="A848" s="42"/>
      <c r="B848" s="42"/>
      <c r="C848" s="42"/>
      <c r="D848" s="42"/>
      <c r="E848" s="42"/>
      <c r="F848" s="42"/>
      <c r="G848" s="42"/>
      <c r="H848" s="42"/>
    </row>
    <row r="849" spans="1:8" ht="16.5" customHeight="1">
      <c r="A849" s="42"/>
      <c r="B849" s="42"/>
      <c r="C849" s="42"/>
      <c r="D849" s="42"/>
      <c r="E849" s="42"/>
      <c r="F849" s="42"/>
      <c r="G849" s="42"/>
      <c r="H849" s="42"/>
    </row>
    <row r="850" spans="1:8" ht="16.5" customHeight="1">
      <c r="A850" s="42"/>
      <c r="B850" s="42"/>
      <c r="C850" s="42"/>
      <c r="D850" s="42"/>
      <c r="E850" s="42"/>
      <c r="F850" s="42"/>
      <c r="G850" s="42"/>
      <c r="H850" s="42"/>
    </row>
    <row r="851" spans="1:8" ht="16.5" customHeight="1">
      <c r="A851" s="42"/>
      <c r="B851" s="42"/>
      <c r="C851" s="42"/>
      <c r="D851" s="42"/>
      <c r="E851" s="42"/>
      <c r="F851" s="42"/>
      <c r="G851" s="42"/>
      <c r="H851" s="42"/>
    </row>
    <row r="852" spans="1:8" ht="16.5" customHeight="1">
      <c r="A852" s="42"/>
      <c r="B852" s="42"/>
      <c r="C852" s="42"/>
      <c r="D852" s="42"/>
      <c r="E852" s="42"/>
      <c r="F852" s="42"/>
      <c r="G852" s="42"/>
      <c r="H852" s="42"/>
    </row>
    <row r="853" spans="1:8" ht="16.5" customHeight="1">
      <c r="A853" s="42"/>
      <c r="B853" s="42"/>
      <c r="C853" s="42"/>
      <c r="D853" s="42"/>
      <c r="E853" s="42"/>
      <c r="F853" s="42"/>
      <c r="G853" s="42"/>
      <c r="H853" s="42"/>
    </row>
    <row r="854" spans="1:8" ht="16.5" customHeight="1">
      <c r="A854" s="42"/>
      <c r="B854" s="42"/>
      <c r="C854" s="42"/>
      <c r="D854" s="42"/>
      <c r="E854" s="42"/>
      <c r="F854" s="42"/>
      <c r="G854" s="42"/>
      <c r="H854" s="42"/>
    </row>
    <row r="855" spans="1:8" ht="16.5" customHeight="1">
      <c r="A855" s="42"/>
      <c r="B855" s="42"/>
      <c r="C855" s="42"/>
      <c r="D855" s="42"/>
      <c r="E855" s="42"/>
      <c r="F855" s="42"/>
      <c r="G855" s="42"/>
      <c r="H855" s="42"/>
    </row>
    <row r="856" spans="1:8" ht="16.5" customHeight="1">
      <c r="A856" s="42"/>
      <c r="B856" s="42"/>
      <c r="C856" s="42"/>
      <c r="D856" s="42"/>
      <c r="E856" s="42"/>
      <c r="F856" s="42"/>
      <c r="G856" s="42"/>
      <c r="H856" s="42"/>
    </row>
    <row r="857" spans="1:8" ht="16.5" customHeight="1">
      <c r="A857" s="42"/>
      <c r="B857" s="42"/>
      <c r="C857" s="42"/>
      <c r="D857" s="42"/>
      <c r="E857" s="42"/>
      <c r="F857" s="42"/>
      <c r="G857" s="42"/>
      <c r="H857" s="42"/>
    </row>
    <row r="858" spans="1:8" ht="16.5" customHeight="1">
      <c r="A858" s="42"/>
      <c r="B858" s="42"/>
      <c r="C858" s="42"/>
      <c r="D858" s="42"/>
      <c r="E858" s="42"/>
      <c r="F858" s="42"/>
      <c r="G858" s="42"/>
      <c r="H858" s="42"/>
    </row>
    <row r="859" spans="1:8" ht="16.5" customHeight="1">
      <c r="A859" s="42"/>
      <c r="B859" s="42"/>
      <c r="C859" s="42"/>
      <c r="D859" s="42"/>
      <c r="E859" s="42"/>
      <c r="F859" s="42"/>
      <c r="G859" s="42"/>
      <c r="H859" s="42"/>
    </row>
    <row r="860" spans="1:8" ht="16.5" customHeight="1">
      <c r="A860" s="42"/>
      <c r="B860" s="42"/>
      <c r="C860" s="42"/>
      <c r="D860" s="42"/>
      <c r="E860" s="42"/>
      <c r="F860" s="42"/>
      <c r="G860" s="42"/>
      <c r="H860" s="42"/>
    </row>
    <row r="861" spans="1:8" ht="16.5" customHeight="1">
      <c r="A861" s="42"/>
      <c r="B861" s="42"/>
      <c r="C861" s="42"/>
      <c r="D861" s="42"/>
      <c r="E861" s="42"/>
      <c r="F861" s="42"/>
      <c r="G861" s="42"/>
      <c r="H861" s="42"/>
    </row>
    <row r="862" spans="1:8" ht="16.5" customHeight="1">
      <c r="A862" s="42"/>
      <c r="B862" s="42"/>
      <c r="C862" s="42"/>
      <c r="D862" s="42"/>
      <c r="E862" s="42"/>
      <c r="F862" s="42"/>
      <c r="G862" s="42"/>
      <c r="H862" s="42"/>
    </row>
    <row r="863" spans="1:8" ht="16.5" customHeight="1">
      <c r="A863" s="42"/>
      <c r="B863" s="42"/>
      <c r="C863" s="42"/>
      <c r="D863" s="42"/>
      <c r="E863" s="42"/>
      <c r="F863" s="42"/>
      <c r="G863" s="42"/>
      <c r="H863" s="42"/>
    </row>
    <row r="864" spans="1:8" ht="16.5" customHeight="1">
      <c r="A864" s="42"/>
      <c r="B864" s="42"/>
      <c r="C864" s="42"/>
      <c r="D864" s="42"/>
      <c r="E864" s="42"/>
      <c r="F864" s="42"/>
      <c r="G864" s="42"/>
      <c r="H864" s="42"/>
    </row>
    <row r="865" spans="1:8" ht="16.5" customHeight="1">
      <c r="A865" s="42"/>
      <c r="B865" s="42"/>
      <c r="C865" s="42"/>
      <c r="D865" s="42"/>
      <c r="E865" s="42"/>
      <c r="F865" s="42"/>
      <c r="G865" s="42"/>
      <c r="H865" s="42"/>
    </row>
    <row r="866" spans="1:8" ht="16.5" customHeight="1">
      <c r="A866" s="42"/>
      <c r="B866" s="42"/>
      <c r="C866" s="42"/>
      <c r="D866" s="42"/>
      <c r="E866" s="42"/>
      <c r="F866" s="42"/>
      <c r="G866" s="42"/>
      <c r="H866" s="42"/>
    </row>
    <row r="867" spans="1:8" ht="16.5" customHeight="1">
      <c r="A867" s="42"/>
      <c r="B867" s="42"/>
      <c r="C867" s="42"/>
      <c r="D867" s="42"/>
      <c r="E867" s="42"/>
      <c r="F867" s="42"/>
      <c r="G867" s="42"/>
      <c r="H867" s="42"/>
    </row>
    <row r="868" spans="1:8" ht="16.5" customHeight="1">
      <c r="A868" s="42"/>
      <c r="B868" s="42"/>
      <c r="C868" s="42"/>
      <c r="D868" s="42"/>
      <c r="E868" s="42"/>
      <c r="F868" s="42"/>
      <c r="G868" s="42"/>
      <c r="H868" s="42"/>
    </row>
    <row r="869" spans="1:8" ht="16.5" customHeight="1">
      <c r="A869" s="42"/>
      <c r="B869" s="42"/>
      <c r="C869" s="42"/>
      <c r="D869" s="42"/>
      <c r="E869" s="42"/>
      <c r="F869" s="42"/>
      <c r="G869" s="42"/>
      <c r="H869" s="42"/>
    </row>
    <row r="870" spans="1:8" ht="16.5" customHeight="1">
      <c r="A870" s="42"/>
      <c r="B870" s="42"/>
      <c r="C870" s="42"/>
      <c r="D870" s="42"/>
      <c r="E870" s="42"/>
      <c r="F870" s="42"/>
      <c r="G870" s="42"/>
      <c r="H870" s="42"/>
    </row>
    <row r="871" spans="1:8" ht="16.5" customHeight="1">
      <c r="A871" s="42"/>
      <c r="B871" s="42"/>
      <c r="C871" s="42"/>
      <c r="D871" s="42"/>
      <c r="E871" s="42"/>
      <c r="F871" s="42"/>
      <c r="G871" s="42"/>
      <c r="H871" s="42"/>
    </row>
    <row r="872" spans="1:8" ht="16.5" customHeight="1">
      <c r="A872" s="42"/>
      <c r="B872" s="42"/>
      <c r="C872" s="42"/>
      <c r="D872" s="42"/>
      <c r="E872" s="42"/>
      <c r="F872" s="42"/>
      <c r="G872" s="42"/>
      <c r="H872" s="42"/>
    </row>
    <row r="873" spans="1:8" ht="16.5" customHeight="1">
      <c r="A873" s="42"/>
      <c r="B873" s="42"/>
      <c r="C873" s="42"/>
      <c r="D873" s="42"/>
      <c r="E873" s="42"/>
      <c r="F873" s="42"/>
      <c r="G873" s="42"/>
      <c r="H873" s="42"/>
    </row>
    <row r="874" spans="1:8" ht="16.5" customHeight="1">
      <c r="A874" s="42"/>
      <c r="B874" s="42"/>
      <c r="C874" s="42"/>
      <c r="D874" s="42"/>
      <c r="E874" s="42"/>
      <c r="F874" s="42"/>
      <c r="G874" s="42"/>
      <c r="H874" s="42"/>
    </row>
    <row r="875" spans="1:8" ht="16.5" customHeight="1">
      <c r="A875" s="42"/>
      <c r="B875" s="42"/>
      <c r="C875" s="42"/>
      <c r="D875" s="42"/>
      <c r="E875" s="42"/>
      <c r="F875" s="42"/>
      <c r="G875" s="42"/>
      <c r="H875" s="42"/>
    </row>
    <row r="876" spans="1:8" ht="16.5" customHeight="1">
      <c r="A876" s="42"/>
      <c r="B876" s="42"/>
      <c r="C876" s="42"/>
      <c r="D876" s="42"/>
      <c r="E876" s="42"/>
      <c r="F876" s="42"/>
      <c r="G876" s="42"/>
      <c r="H876" s="42"/>
    </row>
    <row r="877" spans="1:8" ht="16.5" customHeight="1">
      <c r="A877" s="42"/>
      <c r="B877" s="42"/>
      <c r="C877" s="42"/>
      <c r="D877" s="42"/>
      <c r="E877" s="42"/>
      <c r="F877" s="42"/>
      <c r="G877" s="42"/>
      <c r="H877" s="42"/>
    </row>
    <row r="878" spans="1:8" ht="16.5" customHeight="1">
      <c r="A878" s="42"/>
      <c r="B878" s="42"/>
      <c r="C878" s="42"/>
      <c r="D878" s="42"/>
      <c r="E878" s="42"/>
      <c r="F878" s="42"/>
      <c r="G878" s="42"/>
      <c r="H878" s="42"/>
    </row>
    <row r="879" spans="1:8" ht="16.5" customHeight="1">
      <c r="A879" s="42"/>
      <c r="B879" s="42"/>
      <c r="C879" s="42"/>
      <c r="D879" s="42"/>
      <c r="E879" s="42"/>
      <c r="F879" s="42"/>
      <c r="G879" s="42"/>
      <c r="H879" s="42"/>
    </row>
    <row r="880" spans="1:8" ht="16.5" customHeight="1">
      <c r="A880" s="42"/>
      <c r="B880" s="42"/>
      <c r="C880" s="42"/>
      <c r="D880" s="42"/>
      <c r="E880" s="42"/>
      <c r="F880" s="42"/>
      <c r="G880" s="42"/>
      <c r="H880" s="42"/>
    </row>
    <row r="881" spans="1:8" ht="16.5" customHeight="1">
      <c r="A881" s="42"/>
      <c r="B881" s="42"/>
      <c r="C881" s="42"/>
      <c r="D881" s="42"/>
      <c r="E881" s="42"/>
      <c r="F881" s="42"/>
      <c r="G881" s="42"/>
      <c r="H881" s="42"/>
    </row>
    <row r="882" spans="1:8" ht="16.5" customHeight="1">
      <c r="A882" s="42"/>
      <c r="B882" s="42"/>
      <c r="C882" s="42"/>
      <c r="D882" s="42"/>
      <c r="E882" s="42"/>
      <c r="F882" s="42"/>
      <c r="G882" s="42"/>
      <c r="H882" s="42"/>
    </row>
    <row r="883" spans="1:8" ht="16.5" customHeight="1">
      <c r="A883" s="42"/>
      <c r="B883" s="42"/>
      <c r="C883" s="42"/>
      <c r="D883" s="42"/>
      <c r="E883" s="42"/>
      <c r="F883" s="42"/>
      <c r="G883" s="42"/>
      <c r="H883" s="42"/>
    </row>
    <row r="884" spans="1:8" ht="16.5" customHeight="1">
      <c r="A884" s="42"/>
      <c r="B884" s="42"/>
      <c r="C884" s="42"/>
      <c r="D884" s="42"/>
      <c r="E884" s="42"/>
      <c r="F884" s="42"/>
      <c r="G884" s="42"/>
      <c r="H884" s="42"/>
    </row>
    <row r="885" spans="1:8" ht="16.5" customHeight="1">
      <c r="A885" s="42"/>
      <c r="B885" s="42"/>
      <c r="C885" s="42"/>
      <c r="D885" s="42"/>
      <c r="E885" s="42"/>
      <c r="F885" s="42"/>
      <c r="G885" s="42"/>
      <c r="H885" s="42"/>
    </row>
    <row r="886" spans="1:8" ht="16.5" customHeight="1">
      <c r="A886" s="42"/>
      <c r="B886" s="42"/>
      <c r="C886" s="42"/>
      <c r="D886" s="42"/>
      <c r="E886" s="42"/>
      <c r="F886" s="42"/>
      <c r="G886" s="42"/>
      <c r="H886" s="42"/>
    </row>
    <row r="887" spans="1:8" ht="16.5" customHeight="1">
      <c r="A887" s="42"/>
      <c r="B887" s="42"/>
      <c r="C887" s="42"/>
      <c r="D887" s="42"/>
      <c r="E887" s="42"/>
      <c r="F887" s="42"/>
      <c r="G887" s="42"/>
      <c r="H887" s="42"/>
    </row>
    <row r="888" spans="1:8" ht="16.5" customHeight="1">
      <c r="A888" s="42"/>
      <c r="B888" s="42"/>
      <c r="C888" s="42"/>
      <c r="D888" s="42"/>
      <c r="E888" s="42"/>
      <c r="F888" s="42"/>
      <c r="G888" s="42"/>
      <c r="H888" s="42"/>
    </row>
    <row r="889" spans="1:8" ht="16.5" customHeight="1">
      <c r="A889" s="42"/>
      <c r="B889" s="42"/>
      <c r="C889" s="42"/>
      <c r="D889" s="42"/>
      <c r="E889" s="42"/>
      <c r="F889" s="42"/>
      <c r="G889" s="42"/>
      <c r="H889" s="42"/>
    </row>
    <row r="890" spans="1:8" ht="16.5" customHeight="1">
      <c r="A890" s="42"/>
      <c r="B890" s="42"/>
      <c r="C890" s="42"/>
      <c r="D890" s="42"/>
      <c r="E890" s="42"/>
      <c r="F890" s="42"/>
      <c r="G890" s="42"/>
      <c r="H890" s="42"/>
    </row>
    <row r="891" spans="1:8" ht="16.5" customHeight="1">
      <c r="A891" s="42"/>
      <c r="B891" s="42"/>
      <c r="C891" s="42"/>
      <c r="D891" s="42"/>
      <c r="E891" s="42"/>
      <c r="F891" s="42"/>
      <c r="G891" s="42"/>
      <c r="H891" s="42"/>
    </row>
    <row r="892" spans="1:8" ht="16.5" customHeight="1">
      <c r="A892" s="42"/>
      <c r="B892" s="42"/>
      <c r="C892" s="42"/>
      <c r="D892" s="42"/>
      <c r="E892" s="42"/>
      <c r="F892" s="42"/>
      <c r="G892" s="42"/>
      <c r="H892" s="42"/>
    </row>
    <row r="893" spans="1:8" ht="16.5" customHeight="1">
      <c r="A893" s="42"/>
      <c r="B893" s="42"/>
      <c r="C893" s="42"/>
      <c r="D893" s="42"/>
      <c r="E893" s="42"/>
      <c r="F893" s="42"/>
      <c r="G893" s="42"/>
      <c r="H893" s="42"/>
    </row>
    <row r="894" spans="1:8" ht="16.5" customHeight="1">
      <c r="A894" s="42"/>
      <c r="B894" s="42"/>
      <c r="C894" s="42"/>
      <c r="D894" s="42"/>
      <c r="E894" s="42"/>
      <c r="F894" s="42"/>
      <c r="G894" s="42"/>
      <c r="H894" s="42"/>
    </row>
    <row r="895" spans="1:8" ht="16.5" customHeight="1">
      <c r="A895" s="42"/>
      <c r="B895" s="42"/>
      <c r="C895" s="42"/>
      <c r="D895" s="42"/>
      <c r="E895" s="42"/>
      <c r="F895" s="42"/>
      <c r="G895" s="42"/>
      <c r="H895" s="42"/>
    </row>
    <row r="896" spans="1:8" ht="16.5" customHeight="1">
      <c r="A896" s="42"/>
      <c r="B896" s="42"/>
      <c r="C896" s="42"/>
      <c r="D896" s="42"/>
      <c r="E896" s="42"/>
      <c r="F896" s="42"/>
      <c r="G896" s="42"/>
      <c r="H896" s="42"/>
    </row>
    <row r="897" spans="1:8" ht="16.5" customHeight="1">
      <c r="A897" s="42"/>
      <c r="B897" s="42"/>
      <c r="C897" s="42"/>
      <c r="D897" s="42"/>
      <c r="E897" s="42"/>
      <c r="F897" s="42"/>
      <c r="G897" s="42"/>
      <c r="H897" s="42"/>
    </row>
    <row r="898" spans="1:8" ht="16.5" customHeight="1">
      <c r="A898" s="42"/>
      <c r="B898" s="42"/>
      <c r="C898" s="42"/>
      <c r="D898" s="42"/>
      <c r="E898" s="42"/>
      <c r="F898" s="42"/>
      <c r="G898" s="42"/>
      <c r="H898" s="42"/>
    </row>
    <row r="899" spans="1:8" ht="16.5" customHeight="1">
      <c r="A899" s="42"/>
      <c r="B899" s="42"/>
      <c r="C899" s="42"/>
      <c r="D899" s="42"/>
      <c r="E899" s="42"/>
      <c r="F899" s="42"/>
      <c r="G899" s="42"/>
      <c r="H899" s="42"/>
    </row>
    <row r="900" spans="1:8" ht="16.5" customHeight="1">
      <c r="A900" s="42"/>
      <c r="B900" s="42"/>
      <c r="C900" s="42"/>
      <c r="D900" s="42"/>
      <c r="E900" s="42"/>
      <c r="F900" s="42"/>
      <c r="G900" s="42"/>
      <c r="H900" s="42"/>
    </row>
    <row r="901" spans="1:8" ht="16.5" customHeight="1">
      <c r="A901" s="42"/>
      <c r="B901" s="42"/>
      <c r="C901" s="42"/>
      <c r="D901" s="42"/>
      <c r="E901" s="42"/>
      <c r="F901" s="42"/>
      <c r="G901" s="42"/>
      <c r="H901" s="42"/>
    </row>
    <row r="902" spans="1:8" ht="16.5" customHeight="1">
      <c r="A902" s="42"/>
      <c r="B902" s="42"/>
      <c r="C902" s="42"/>
      <c r="D902" s="42"/>
      <c r="E902" s="42"/>
      <c r="F902" s="42"/>
      <c r="G902" s="42"/>
      <c r="H902" s="42"/>
    </row>
    <row r="903" spans="1:8" ht="16.5" customHeight="1">
      <c r="A903" s="42"/>
      <c r="B903" s="42"/>
      <c r="C903" s="42"/>
      <c r="D903" s="42"/>
      <c r="E903" s="42"/>
      <c r="F903" s="42"/>
      <c r="G903" s="42"/>
      <c r="H903" s="42"/>
    </row>
    <row r="904" spans="1:8" ht="16.5" customHeight="1">
      <c r="A904" s="42"/>
      <c r="B904" s="42"/>
      <c r="C904" s="42"/>
      <c r="D904" s="42"/>
      <c r="E904" s="42"/>
      <c r="F904" s="42"/>
      <c r="G904" s="42"/>
      <c r="H904" s="42"/>
    </row>
    <row r="905" spans="1:8" ht="16.5" customHeight="1">
      <c r="A905" s="42"/>
      <c r="B905" s="42"/>
      <c r="C905" s="42"/>
      <c r="D905" s="42"/>
      <c r="E905" s="42"/>
      <c r="F905" s="42"/>
      <c r="G905" s="42"/>
      <c r="H905" s="42"/>
    </row>
    <row r="906" spans="1:8" ht="16.5" customHeight="1">
      <c r="A906" s="42"/>
      <c r="B906" s="42"/>
      <c r="C906" s="42"/>
      <c r="D906" s="42"/>
      <c r="E906" s="42"/>
      <c r="F906" s="42"/>
      <c r="G906" s="42"/>
      <c r="H906" s="42"/>
    </row>
    <row r="907" spans="1:8" ht="16.5" customHeight="1">
      <c r="A907" s="42"/>
      <c r="B907" s="42"/>
      <c r="C907" s="42"/>
      <c r="D907" s="42"/>
      <c r="E907" s="42"/>
      <c r="F907" s="42"/>
      <c r="G907" s="42"/>
      <c r="H907" s="42"/>
    </row>
    <row r="908" spans="1:8" ht="16.5" customHeight="1">
      <c r="A908" s="42"/>
      <c r="B908" s="42"/>
      <c r="C908" s="42"/>
      <c r="D908" s="42"/>
      <c r="E908" s="42"/>
      <c r="F908" s="42"/>
      <c r="G908" s="42"/>
      <c r="H908" s="42"/>
    </row>
    <row r="909" spans="1:8" ht="16.5" customHeight="1">
      <c r="A909" s="42"/>
      <c r="B909" s="42"/>
      <c r="C909" s="42"/>
      <c r="D909" s="42"/>
      <c r="E909" s="42"/>
      <c r="F909" s="42"/>
      <c r="G909" s="42"/>
      <c r="H909" s="42"/>
    </row>
    <row r="910" spans="1:8" ht="16.5" customHeight="1">
      <c r="A910" s="42"/>
      <c r="B910" s="42"/>
      <c r="C910" s="42"/>
      <c r="D910" s="42"/>
      <c r="E910" s="42"/>
      <c r="F910" s="42"/>
      <c r="G910" s="42"/>
      <c r="H910" s="42"/>
    </row>
    <row r="911" spans="1:8" ht="16.5" customHeight="1">
      <c r="A911" s="42"/>
      <c r="B911" s="42"/>
      <c r="C911" s="42"/>
      <c r="D911" s="42"/>
      <c r="E911" s="42"/>
      <c r="F911" s="42"/>
      <c r="G911" s="42"/>
      <c r="H911" s="42"/>
    </row>
    <row r="912" spans="1:8" ht="16.5" customHeight="1">
      <c r="A912" s="42"/>
      <c r="B912" s="42"/>
      <c r="C912" s="42"/>
      <c r="D912" s="42"/>
      <c r="E912" s="42"/>
      <c r="F912" s="42"/>
      <c r="G912" s="42"/>
      <c r="H912" s="42"/>
    </row>
    <row r="913" spans="1:8" ht="16.5" customHeight="1">
      <c r="A913" s="42"/>
      <c r="B913" s="42"/>
      <c r="C913" s="42"/>
      <c r="D913" s="42"/>
      <c r="E913" s="42"/>
      <c r="F913" s="42"/>
      <c r="G913" s="42"/>
      <c r="H913" s="42"/>
    </row>
    <row r="914" spans="1:8" ht="16.5" customHeight="1">
      <c r="A914" s="42"/>
      <c r="B914" s="42"/>
      <c r="C914" s="42"/>
      <c r="D914" s="42"/>
      <c r="E914" s="42"/>
      <c r="F914" s="42"/>
      <c r="G914" s="42"/>
      <c r="H914" s="42"/>
    </row>
    <row r="915" spans="1:8" ht="16.5" customHeight="1">
      <c r="A915" s="42"/>
      <c r="B915" s="42"/>
      <c r="C915" s="42"/>
      <c r="D915" s="42"/>
      <c r="E915" s="42"/>
      <c r="F915" s="42"/>
      <c r="G915" s="42"/>
      <c r="H915" s="42"/>
    </row>
    <row r="916" spans="1:8" ht="16.5" customHeight="1">
      <c r="A916" s="42"/>
      <c r="B916" s="42"/>
      <c r="C916" s="42"/>
      <c r="D916" s="42"/>
      <c r="E916" s="42"/>
      <c r="F916" s="42"/>
      <c r="G916" s="42"/>
      <c r="H916" s="42"/>
    </row>
    <row r="917" spans="1:8" ht="16.5" customHeight="1">
      <c r="A917" s="42"/>
      <c r="B917" s="42"/>
      <c r="C917" s="42"/>
      <c r="D917" s="42"/>
      <c r="E917" s="42"/>
      <c r="F917" s="42"/>
      <c r="G917" s="42"/>
      <c r="H917" s="42"/>
    </row>
    <row r="918" spans="1:8" ht="16.5" customHeight="1">
      <c r="A918" s="42"/>
      <c r="B918" s="42"/>
      <c r="C918" s="42"/>
      <c r="D918" s="42"/>
      <c r="E918" s="42"/>
      <c r="F918" s="42"/>
      <c r="G918" s="42"/>
      <c r="H918" s="42"/>
    </row>
    <row r="919" spans="1:8" ht="16.5" customHeight="1">
      <c r="A919" s="42"/>
      <c r="B919" s="42"/>
      <c r="C919" s="42"/>
      <c r="D919" s="42"/>
      <c r="E919" s="42"/>
      <c r="F919" s="42"/>
      <c r="G919" s="42"/>
      <c r="H919" s="42"/>
    </row>
    <row r="920" spans="1:8" ht="16.5" customHeight="1">
      <c r="A920" s="42"/>
      <c r="B920" s="42"/>
      <c r="C920" s="42"/>
      <c r="D920" s="42"/>
      <c r="E920" s="42"/>
      <c r="F920" s="42"/>
      <c r="G920" s="42"/>
      <c r="H920" s="42"/>
    </row>
    <row r="921" spans="1:8" ht="16.5" customHeight="1">
      <c r="A921" s="42"/>
      <c r="B921" s="42"/>
      <c r="C921" s="42"/>
      <c r="D921" s="42"/>
      <c r="E921" s="42"/>
      <c r="F921" s="42"/>
      <c r="G921" s="42"/>
      <c r="H921" s="42"/>
    </row>
    <row r="922" spans="1:8" ht="16.5" customHeight="1">
      <c r="A922" s="42"/>
      <c r="B922" s="42"/>
      <c r="C922" s="42"/>
      <c r="D922" s="42"/>
      <c r="E922" s="42"/>
      <c r="F922" s="42"/>
      <c r="G922" s="42"/>
      <c r="H922" s="42"/>
    </row>
    <row r="923" spans="1:8" ht="16.5" customHeight="1">
      <c r="A923" s="42"/>
      <c r="B923" s="42"/>
      <c r="C923" s="42"/>
      <c r="D923" s="42"/>
      <c r="E923" s="42"/>
      <c r="F923" s="42"/>
      <c r="G923" s="42"/>
      <c r="H923" s="42"/>
    </row>
    <row r="924" spans="1:8" ht="16.5" customHeight="1">
      <c r="A924" s="42"/>
      <c r="B924" s="42"/>
      <c r="C924" s="42"/>
      <c r="D924" s="42"/>
      <c r="E924" s="42"/>
      <c r="F924" s="42"/>
      <c r="G924" s="42"/>
      <c r="H924" s="42"/>
    </row>
    <row r="925" spans="1:8" ht="16.5" customHeight="1">
      <c r="A925" s="42"/>
      <c r="B925" s="42"/>
      <c r="C925" s="42"/>
      <c r="D925" s="42"/>
      <c r="E925" s="42"/>
      <c r="F925" s="42"/>
      <c r="G925" s="42"/>
      <c r="H925" s="42"/>
    </row>
    <row r="926" spans="1:8" ht="16.5" customHeight="1">
      <c r="A926" s="42"/>
      <c r="B926" s="42"/>
      <c r="C926" s="42"/>
      <c r="D926" s="42"/>
      <c r="E926" s="42"/>
      <c r="F926" s="42"/>
      <c r="G926" s="42"/>
      <c r="H926" s="42"/>
    </row>
    <row r="927" spans="1:8" ht="16.5" customHeight="1">
      <c r="A927" s="42"/>
      <c r="B927" s="42"/>
      <c r="C927" s="42"/>
      <c r="D927" s="42"/>
      <c r="E927" s="42"/>
      <c r="F927" s="42"/>
      <c r="G927" s="42"/>
      <c r="H927" s="42"/>
    </row>
    <row r="928" spans="1:8" ht="16.5" customHeight="1">
      <c r="A928" s="42"/>
      <c r="B928" s="42"/>
      <c r="C928" s="42"/>
      <c r="D928" s="42"/>
      <c r="E928" s="42"/>
      <c r="F928" s="42"/>
      <c r="G928" s="42"/>
      <c r="H928" s="42"/>
    </row>
    <row r="929" spans="1:8" ht="16.5" customHeight="1">
      <c r="A929" s="42"/>
      <c r="B929" s="42"/>
      <c r="C929" s="42"/>
      <c r="D929" s="42"/>
      <c r="E929" s="42"/>
      <c r="F929" s="42"/>
      <c r="G929" s="42"/>
      <c r="H929" s="42"/>
    </row>
    <row r="930" spans="1:8" ht="16.5" customHeight="1">
      <c r="A930" s="42"/>
      <c r="B930" s="42"/>
      <c r="C930" s="42"/>
      <c r="D930" s="42"/>
      <c r="E930" s="42"/>
      <c r="F930" s="42"/>
      <c r="G930" s="42"/>
      <c r="H930" s="42"/>
    </row>
    <row r="931" spans="1:8" ht="16.5" customHeight="1">
      <c r="A931" s="42"/>
      <c r="B931" s="42"/>
      <c r="C931" s="42"/>
      <c r="D931" s="42"/>
      <c r="E931" s="42"/>
      <c r="F931" s="42"/>
      <c r="G931" s="42"/>
      <c r="H931" s="42"/>
    </row>
    <row r="932" spans="1:8" ht="16.5" customHeight="1">
      <c r="A932" s="42"/>
      <c r="B932" s="42"/>
      <c r="C932" s="42"/>
      <c r="D932" s="42"/>
      <c r="E932" s="42"/>
      <c r="F932" s="42"/>
      <c r="G932" s="42"/>
      <c r="H932" s="42"/>
    </row>
    <row r="933" spans="1:8" ht="16.5" customHeight="1">
      <c r="A933" s="42"/>
      <c r="B933" s="42"/>
      <c r="C933" s="42"/>
      <c r="D933" s="42"/>
      <c r="E933" s="42"/>
      <c r="F933" s="42"/>
      <c r="G933" s="42"/>
      <c r="H933" s="42"/>
    </row>
    <row r="934" spans="1:8" ht="16.5" customHeight="1">
      <c r="A934" s="42"/>
      <c r="B934" s="42"/>
      <c r="C934" s="42"/>
      <c r="D934" s="42"/>
      <c r="E934" s="42"/>
      <c r="F934" s="42"/>
      <c r="G934" s="42"/>
      <c r="H934" s="42"/>
    </row>
    <row r="935" spans="1:8" ht="16.5" customHeight="1">
      <c r="A935" s="42"/>
      <c r="B935" s="42"/>
      <c r="C935" s="42"/>
      <c r="D935" s="42"/>
      <c r="E935" s="42"/>
      <c r="F935" s="42"/>
      <c r="G935" s="42"/>
      <c r="H935" s="42"/>
    </row>
    <row r="936" spans="1:8" ht="16.5" customHeight="1">
      <c r="A936" s="42"/>
      <c r="B936" s="42"/>
      <c r="C936" s="42"/>
      <c r="D936" s="42"/>
      <c r="E936" s="42"/>
      <c r="F936" s="42"/>
      <c r="G936" s="42"/>
      <c r="H936" s="42"/>
    </row>
    <row r="937" spans="1:8" ht="16.5" customHeight="1">
      <c r="A937" s="42"/>
      <c r="B937" s="42"/>
      <c r="C937" s="42"/>
      <c r="D937" s="42"/>
      <c r="E937" s="42"/>
      <c r="F937" s="42"/>
      <c r="G937" s="42"/>
      <c r="H937" s="42"/>
    </row>
    <row r="938" spans="1:8" ht="16.5" customHeight="1">
      <c r="A938" s="42"/>
      <c r="B938" s="42"/>
      <c r="C938" s="42"/>
      <c r="D938" s="42"/>
      <c r="E938" s="42"/>
      <c r="F938" s="42"/>
      <c r="G938" s="42"/>
      <c r="H938" s="42"/>
    </row>
    <row r="939" spans="1:8" ht="16.5" customHeight="1">
      <c r="A939" s="42"/>
      <c r="B939" s="42"/>
      <c r="C939" s="42"/>
      <c r="D939" s="42"/>
      <c r="E939" s="42"/>
      <c r="F939" s="42"/>
      <c r="G939" s="42"/>
      <c r="H939" s="42"/>
    </row>
    <row r="940" spans="1:8" ht="16.5" customHeight="1">
      <c r="A940" s="42"/>
      <c r="B940" s="42"/>
      <c r="C940" s="42"/>
      <c r="D940" s="42"/>
      <c r="E940" s="42"/>
      <c r="F940" s="42"/>
      <c r="G940" s="42"/>
      <c r="H940" s="42"/>
    </row>
    <row r="941" spans="1:8" ht="16.5" customHeight="1">
      <c r="A941" s="42"/>
      <c r="B941" s="42"/>
      <c r="C941" s="42"/>
      <c r="D941" s="42"/>
      <c r="E941" s="42"/>
      <c r="F941" s="42"/>
      <c r="G941" s="42"/>
      <c r="H941" s="42"/>
    </row>
    <row r="942" spans="1:8" ht="16.5" customHeight="1">
      <c r="A942" s="42"/>
      <c r="B942" s="42"/>
      <c r="C942" s="42"/>
      <c r="D942" s="42"/>
      <c r="E942" s="42"/>
      <c r="F942" s="42"/>
      <c r="G942" s="42"/>
      <c r="H942" s="42"/>
    </row>
    <row r="943" spans="1:8" ht="16.5" customHeight="1">
      <c r="A943" s="42"/>
      <c r="B943" s="42"/>
      <c r="C943" s="42"/>
      <c r="D943" s="42"/>
      <c r="E943" s="42"/>
      <c r="F943" s="42"/>
      <c r="G943" s="42"/>
      <c r="H943" s="42"/>
    </row>
    <row r="944" spans="1:8" ht="16.5" customHeight="1">
      <c r="A944" s="42"/>
      <c r="B944" s="42"/>
      <c r="C944" s="42"/>
      <c r="D944" s="42"/>
      <c r="E944" s="42"/>
      <c r="F944" s="42"/>
      <c r="G944" s="42"/>
      <c r="H944" s="42"/>
    </row>
    <row r="945" spans="1:8" ht="16.5" customHeight="1">
      <c r="A945" s="42"/>
      <c r="B945" s="42"/>
      <c r="C945" s="42"/>
      <c r="D945" s="42"/>
      <c r="E945" s="42"/>
      <c r="F945" s="42"/>
      <c r="G945" s="42"/>
      <c r="H945" s="42"/>
    </row>
    <row r="946" spans="1:8" ht="16.5" customHeight="1">
      <c r="A946" s="42"/>
      <c r="B946" s="42"/>
      <c r="C946" s="42"/>
      <c r="D946" s="42"/>
      <c r="E946" s="42"/>
      <c r="F946" s="42"/>
      <c r="G946" s="42"/>
      <c r="H946" s="42"/>
    </row>
    <row r="947" spans="1:8" ht="16.5" customHeight="1">
      <c r="A947" s="42"/>
      <c r="B947" s="42"/>
      <c r="C947" s="42"/>
      <c r="D947" s="42"/>
      <c r="E947" s="42"/>
      <c r="F947" s="42"/>
      <c r="G947" s="42"/>
      <c r="H947" s="42"/>
    </row>
    <row r="948" spans="1:8" ht="16.5" customHeight="1">
      <c r="A948" s="42"/>
      <c r="B948" s="42"/>
      <c r="C948" s="42"/>
      <c r="D948" s="42"/>
      <c r="E948" s="42"/>
      <c r="F948" s="42"/>
      <c r="G948" s="42"/>
      <c r="H948" s="42"/>
    </row>
    <row r="949" spans="1:8" ht="16.5" customHeight="1">
      <c r="A949" s="42"/>
      <c r="B949" s="42"/>
      <c r="C949" s="42"/>
      <c r="D949" s="42"/>
      <c r="E949" s="42"/>
      <c r="F949" s="42"/>
      <c r="G949" s="42"/>
      <c r="H949" s="42"/>
    </row>
    <row r="950" spans="1:8" ht="16.5" customHeight="1">
      <c r="A950" s="42"/>
      <c r="B950" s="42"/>
      <c r="C950" s="42"/>
      <c r="D950" s="42"/>
      <c r="E950" s="42"/>
      <c r="F950" s="42"/>
      <c r="G950" s="42"/>
      <c r="H950" s="42"/>
    </row>
    <row r="951" spans="1:8" ht="16.5" customHeight="1">
      <c r="A951" s="42"/>
      <c r="B951" s="42"/>
      <c r="C951" s="42"/>
      <c r="D951" s="42"/>
      <c r="E951" s="42"/>
      <c r="F951" s="42"/>
      <c r="G951" s="42"/>
      <c r="H951" s="42"/>
    </row>
    <row r="952" spans="1:8" ht="16.5" customHeight="1">
      <c r="A952" s="42"/>
      <c r="B952" s="42"/>
      <c r="C952" s="42"/>
      <c r="D952" s="42"/>
      <c r="E952" s="42"/>
      <c r="F952" s="42"/>
      <c r="G952" s="42"/>
      <c r="H952" s="42"/>
    </row>
    <row r="953" spans="1:8" ht="16.5" customHeight="1">
      <c r="A953" s="42"/>
      <c r="B953" s="42"/>
      <c r="C953" s="42"/>
      <c r="D953" s="42"/>
      <c r="E953" s="42"/>
      <c r="F953" s="42"/>
      <c r="G953" s="42"/>
      <c r="H953" s="42"/>
    </row>
    <row r="954" spans="1:8" ht="16.5" customHeight="1">
      <c r="A954" s="42"/>
      <c r="B954" s="42"/>
      <c r="C954" s="42"/>
      <c r="D954" s="42"/>
      <c r="E954" s="42"/>
      <c r="F954" s="42"/>
      <c r="G954" s="42"/>
      <c r="H954" s="42"/>
    </row>
    <row r="955" spans="1:8" ht="16.5" customHeight="1">
      <c r="A955" s="42"/>
      <c r="B955" s="42"/>
      <c r="C955" s="42"/>
      <c r="D955" s="42"/>
      <c r="E955" s="42"/>
      <c r="F955" s="42"/>
      <c r="G955" s="42"/>
      <c r="H955" s="42"/>
    </row>
    <row r="956" spans="1:8" ht="16.5" customHeight="1">
      <c r="A956" s="42"/>
      <c r="B956" s="42"/>
      <c r="C956" s="42"/>
      <c r="D956" s="42"/>
      <c r="E956" s="42"/>
      <c r="F956" s="42"/>
      <c r="G956" s="42"/>
      <c r="H956" s="42"/>
    </row>
    <row r="957" spans="1:8" ht="16.5" customHeight="1">
      <c r="A957" s="42"/>
      <c r="B957" s="42"/>
      <c r="C957" s="42"/>
      <c r="D957" s="42"/>
      <c r="E957" s="42"/>
      <c r="F957" s="42"/>
      <c r="G957" s="42"/>
      <c r="H957" s="42"/>
    </row>
    <row r="958" spans="1:8" ht="16.5" customHeight="1">
      <c r="A958" s="42"/>
      <c r="B958" s="42"/>
      <c r="C958" s="42"/>
      <c r="D958" s="42"/>
      <c r="E958" s="42"/>
      <c r="F958" s="42"/>
      <c r="G958" s="42"/>
      <c r="H958" s="42"/>
    </row>
    <row r="959" spans="1:8" ht="16.5" customHeight="1">
      <c r="A959" s="42"/>
      <c r="B959" s="42"/>
      <c r="C959" s="42"/>
      <c r="D959" s="42"/>
      <c r="E959" s="42"/>
      <c r="F959" s="42"/>
      <c r="G959" s="42"/>
      <c r="H959" s="42"/>
    </row>
    <row r="960" spans="1:8" ht="16.5" customHeight="1">
      <c r="A960" s="42"/>
      <c r="B960" s="42"/>
      <c r="C960" s="42"/>
      <c r="D960" s="42"/>
      <c r="E960" s="42"/>
      <c r="F960" s="42"/>
      <c r="G960" s="42"/>
      <c r="H960" s="42"/>
    </row>
    <row r="961" spans="1:8" ht="16.5" customHeight="1">
      <c r="A961" s="42"/>
      <c r="B961" s="42"/>
      <c r="C961" s="42"/>
      <c r="D961" s="42"/>
      <c r="E961" s="42"/>
      <c r="F961" s="42"/>
      <c r="G961" s="42"/>
      <c r="H961" s="42"/>
    </row>
    <row r="962" spans="1:8" ht="16.5" customHeight="1">
      <c r="A962" s="42"/>
      <c r="B962" s="42"/>
      <c r="C962" s="42"/>
      <c r="D962" s="42"/>
      <c r="E962" s="42"/>
      <c r="F962" s="42"/>
      <c r="G962" s="42"/>
      <c r="H962" s="42"/>
    </row>
    <row r="963" spans="1:8" ht="16.5" customHeight="1">
      <c r="A963" s="42"/>
      <c r="B963" s="42"/>
      <c r="C963" s="42"/>
      <c r="D963" s="42"/>
      <c r="E963" s="42"/>
      <c r="F963" s="42"/>
      <c r="G963" s="42"/>
      <c r="H963" s="42"/>
    </row>
    <row r="964" spans="1:8" ht="16.5" customHeight="1">
      <c r="A964" s="42"/>
      <c r="B964" s="42"/>
      <c r="C964" s="42"/>
      <c r="D964" s="42"/>
      <c r="E964" s="42"/>
      <c r="F964" s="42"/>
      <c r="G964" s="42"/>
      <c r="H964" s="42"/>
    </row>
    <row r="965" spans="1:8" ht="16.5" customHeight="1">
      <c r="A965" s="42"/>
      <c r="B965" s="42"/>
      <c r="C965" s="42"/>
      <c r="D965" s="42"/>
      <c r="E965" s="42"/>
      <c r="F965" s="42"/>
      <c r="G965" s="42"/>
      <c r="H965" s="42"/>
    </row>
    <row r="966" spans="1:8" ht="16.5" customHeight="1">
      <c r="A966" s="42"/>
      <c r="B966" s="42"/>
      <c r="C966" s="42"/>
      <c r="D966" s="42"/>
      <c r="E966" s="42"/>
      <c r="F966" s="42"/>
      <c r="G966" s="42"/>
      <c r="H966" s="42"/>
    </row>
    <row r="967" spans="1:8" ht="16.5" customHeight="1">
      <c r="A967" s="42"/>
      <c r="B967" s="42"/>
      <c r="C967" s="42"/>
      <c r="D967" s="42"/>
      <c r="E967" s="42"/>
      <c r="F967" s="42"/>
      <c r="G967" s="42"/>
      <c r="H967" s="42"/>
    </row>
    <row r="968" spans="1:8" ht="16.5" customHeight="1">
      <c r="A968" s="42"/>
      <c r="B968" s="42"/>
      <c r="C968" s="42"/>
      <c r="D968" s="42"/>
      <c r="E968" s="42"/>
      <c r="F968" s="42"/>
      <c r="G968" s="42"/>
      <c r="H968" s="42"/>
    </row>
    <row r="969" spans="1:8" ht="16.5" customHeight="1">
      <c r="A969" s="42"/>
      <c r="B969" s="42"/>
      <c r="C969" s="42"/>
      <c r="D969" s="42"/>
      <c r="E969" s="42"/>
      <c r="F969" s="42"/>
      <c r="G969" s="42"/>
      <c r="H969" s="42"/>
    </row>
    <row r="970" spans="1:8" ht="16.5" customHeight="1">
      <c r="A970" s="42"/>
      <c r="B970" s="42"/>
      <c r="C970" s="42"/>
      <c r="D970" s="42"/>
      <c r="E970" s="42"/>
      <c r="F970" s="42"/>
      <c r="G970" s="42"/>
      <c r="H970" s="42"/>
    </row>
    <row r="971" spans="1:8" ht="16.5" customHeight="1">
      <c r="A971" s="42"/>
      <c r="B971" s="42"/>
      <c r="C971" s="42"/>
      <c r="D971" s="42"/>
      <c r="E971" s="42"/>
      <c r="F971" s="42"/>
      <c r="G971" s="42"/>
      <c r="H971" s="42"/>
    </row>
    <row r="972" spans="1:8" ht="16.5" customHeight="1">
      <c r="A972" s="42"/>
      <c r="B972" s="42"/>
      <c r="C972" s="42"/>
      <c r="D972" s="42"/>
      <c r="E972" s="42"/>
      <c r="F972" s="42"/>
      <c r="G972" s="42"/>
      <c r="H972" s="42"/>
    </row>
    <row r="973" spans="1:8" ht="16.5" customHeight="1">
      <c r="A973" s="42"/>
      <c r="B973" s="42"/>
      <c r="C973" s="42"/>
      <c r="D973" s="42"/>
      <c r="E973" s="42"/>
      <c r="F973" s="42"/>
      <c r="G973" s="42"/>
      <c r="H973" s="42"/>
    </row>
    <row r="974" spans="1:8" ht="16.5" customHeight="1">
      <c r="A974" s="42"/>
      <c r="B974" s="42"/>
      <c r="C974" s="42"/>
      <c r="D974" s="42"/>
      <c r="E974" s="42"/>
      <c r="F974" s="42"/>
      <c r="G974" s="42"/>
      <c r="H974" s="42"/>
    </row>
    <row r="975" spans="1:8" ht="16.5" customHeight="1">
      <c r="A975" s="42"/>
      <c r="B975" s="42"/>
      <c r="C975" s="42"/>
      <c r="D975" s="42"/>
      <c r="E975" s="42"/>
      <c r="F975" s="42"/>
      <c r="G975" s="42"/>
      <c r="H975" s="42"/>
    </row>
    <row r="976" spans="1:8" ht="16.5" customHeight="1">
      <c r="A976" s="42"/>
      <c r="B976" s="42"/>
      <c r="C976" s="42"/>
      <c r="D976" s="42"/>
      <c r="E976" s="42"/>
      <c r="F976" s="42"/>
      <c r="G976" s="42"/>
      <c r="H976" s="42"/>
    </row>
    <row r="977" spans="1:8" ht="16.5" customHeight="1">
      <c r="A977" s="42"/>
      <c r="B977" s="42"/>
      <c r="C977" s="42"/>
      <c r="D977" s="42"/>
      <c r="E977" s="42"/>
      <c r="F977" s="42"/>
      <c r="G977" s="42"/>
      <c r="H977" s="42"/>
    </row>
    <row r="978" spans="1:8" ht="16.5" customHeight="1">
      <c r="A978" s="42"/>
      <c r="B978" s="42"/>
      <c r="C978" s="42"/>
      <c r="D978" s="42"/>
      <c r="E978" s="42"/>
      <c r="F978" s="42"/>
      <c r="G978" s="42"/>
      <c r="H978" s="42"/>
    </row>
    <row r="979" spans="1:8" ht="16.5" customHeight="1">
      <c r="A979" s="42"/>
      <c r="B979" s="42"/>
      <c r="C979" s="42"/>
      <c r="D979" s="42"/>
      <c r="E979" s="42"/>
      <c r="F979" s="42"/>
      <c r="G979" s="42"/>
      <c r="H979" s="42"/>
    </row>
    <row r="980" spans="1:8" ht="16.5" customHeight="1">
      <c r="A980" s="42"/>
      <c r="B980" s="42"/>
      <c r="C980" s="42"/>
      <c r="D980" s="42"/>
      <c r="E980" s="42"/>
      <c r="F980" s="42"/>
      <c r="G980" s="42"/>
      <c r="H980" s="42"/>
    </row>
    <row r="981" spans="1:8" ht="16.5" customHeight="1">
      <c r="A981" s="42"/>
      <c r="B981" s="42"/>
      <c r="C981" s="42"/>
      <c r="D981" s="42"/>
      <c r="E981" s="42"/>
      <c r="F981" s="42"/>
      <c r="G981" s="42"/>
      <c r="H981" s="42"/>
    </row>
    <row r="982" spans="1:8" ht="16.5" customHeight="1">
      <c r="A982" s="42"/>
      <c r="B982" s="42"/>
      <c r="C982" s="42"/>
      <c r="D982" s="42"/>
      <c r="E982" s="42"/>
      <c r="F982" s="42"/>
      <c r="G982" s="42"/>
      <c r="H982" s="42"/>
    </row>
    <row r="983" spans="1:8" ht="16.5" customHeight="1">
      <c r="A983" s="42"/>
      <c r="B983" s="42"/>
      <c r="C983" s="42"/>
      <c r="D983" s="42"/>
      <c r="E983" s="42"/>
      <c r="F983" s="42"/>
      <c r="G983" s="42"/>
      <c r="H983" s="42"/>
    </row>
    <row r="984" spans="1:8" ht="16.5" customHeight="1">
      <c r="A984" s="42"/>
      <c r="B984" s="42"/>
      <c r="C984" s="42"/>
      <c r="D984" s="42"/>
      <c r="E984" s="42"/>
      <c r="F984" s="42"/>
      <c r="G984" s="42"/>
      <c r="H984" s="42"/>
    </row>
    <row r="985" spans="1:8" ht="16.5" customHeight="1">
      <c r="A985" s="42"/>
      <c r="B985" s="42"/>
      <c r="C985" s="42"/>
      <c r="D985" s="42"/>
      <c r="E985" s="42"/>
      <c r="F985" s="42"/>
      <c r="G985" s="42"/>
      <c r="H985" s="42"/>
    </row>
    <row r="986" spans="1:8" ht="16.5" customHeight="1">
      <c r="A986" s="42"/>
      <c r="B986" s="42"/>
      <c r="C986" s="42"/>
      <c r="D986" s="42"/>
      <c r="E986" s="42"/>
      <c r="F986" s="42"/>
      <c r="G986" s="42"/>
      <c r="H986" s="42"/>
    </row>
    <row r="987" spans="1:8" ht="16.5" customHeight="1">
      <c r="A987" s="42"/>
      <c r="B987" s="42"/>
      <c r="C987" s="42"/>
      <c r="D987" s="42"/>
      <c r="E987" s="42"/>
      <c r="F987" s="42"/>
      <c r="G987" s="42"/>
      <c r="H987" s="42"/>
    </row>
    <row r="988" spans="1:8" ht="16.5" customHeight="1">
      <c r="A988" s="42"/>
      <c r="B988" s="42"/>
      <c r="C988" s="42"/>
      <c r="D988" s="42"/>
      <c r="E988" s="42"/>
      <c r="F988" s="42"/>
      <c r="G988" s="42"/>
      <c r="H988" s="42"/>
    </row>
    <row r="989" spans="1:8" ht="16.5" customHeight="1">
      <c r="A989" s="42"/>
      <c r="B989" s="42"/>
      <c r="C989" s="42"/>
      <c r="D989" s="42"/>
      <c r="E989" s="42"/>
      <c r="F989" s="42"/>
      <c r="G989" s="42"/>
      <c r="H989" s="42"/>
    </row>
    <row r="990" spans="1:8" ht="16.5" customHeight="1">
      <c r="A990" s="42"/>
      <c r="B990" s="42"/>
      <c r="C990" s="42"/>
      <c r="D990" s="42"/>
      <c r="E990" s="42"/>
      <c r="F990" s="42"/>
      <c r="G990" s="42"/>
      <c r="H990" s="42"/>
    </row>
    <row r="991" spans="1:8" ht="16.5" customHeight="1">
      <c r="A991" s="42"/>
      <c r="B991" s="42"/>
      <c r="C991" s="42"/>
      <c r="D991" s="42"/>
      <c r="E991" s="42"/>
      <c r="F991" s="42"/>
      <c r="G991" s="42"/>
      <c r="H991" s="42"/>
    </row>
    <row r="992" spans="1:8" ht="16.5" customHeight="1">
      <c r="A992" s="42"/>
      <c r="B992" s="42"/>
      <c r="C992" s="42"/>
      <c r="D992" s="42"/>
      <c r="E992" s="42"/>
      <c r="F992" s="42"/>
      <c r="G992" s="42"/>
      <c r="H992" s="42"/>
    </row>
  </sheetData>
  <mergeCells count="2">
    <mergeCell ref="A1:H1"/>
    <mergeCell ref="J1:Q1"/>
  </mergeCells>
  <phoneticPr fontId="31" type="noConversion"/>
  <hyperlinks>
    <hyperlink ref="O4" r:id="rId1" xr:uid="{00000000-0004-0000-0700-000000000000}"/>
  </hyperlink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874"/>
  <sheetViews>
    <sheetView workbookViewId="0">
      <pane ySplit="4" topLeftCell="A5" activePane="bottomLeft" state="frozen"/>
      <selection pane="bottomLeft" activeCell="J107" sqref="J107"/>
    </sheetView>
  </sheetViews>
  <sheetFormatPr defaultColWidth="14.42578125" defaultRowHeight="15" customHeight="1"/>
  <cols>
    <col min="1" max="1" width="4" customWidth="1"/>
    <col min="2" max="2" width="8.7109375" customWidth="1"/>
    <col min="3" max="3" width="17.5703125" customWidth="1"/>
    <col min="4" max="4" width="34.5703125" customWidth="1"/>
    <col min="5" max="5" width="17.5703125" customWidth="1"/>
    <col min="6" max="26" width="8.7109375" customWidth="1"/>
  </cols>
  <sheetData>
    <row r="1" spans="1:6">
      <c r="B1" s="9"/>
      <c r="C1" s="9"/>
      <c r="D1" s="58"/>
      <c r="E1" s="9"/>
    </row>
    <row r="2" spans="1:6" ht="27" customHeight="1">
      <c r="A2" s="9"/>
      <c r="B2" s="170" t="s">
        <v>142</v>
      </c>
      <c r="C2" s="161"/>
      <c r="D2" s="161"/>
      <c r="E2" s="161"/>
      <c r="F2" s="9"/>
    </row>
    <row r="3" spans="1:6" ht="17.25" customHeight="1">
      <c r="A3" s="9"/>
      <c r="B3" s="171" t="s">
        <v>143</v>
      </c>
      <c r="C3" s="173" t="s">
        <v>15</v>
      </c>
      <c r="D3" s="174" t="s">
        <v>97</v>
      </c>
      <c r="E3" s="175"/>
      <c r="F3" s="9"/>
    </row>
    <row r="4" spans="1:6" ht="17.25" customHeight="1">
      <c r="A4" s="9"/>
      <c r="B4" s="172"/>
      <c r="C4" s="108"/>
      <c r="D4" s="59" t="s">
        <v>16</v>
      </c>
      <c r="E4" s="60" t="s">
        <v>100</v>
      </c>
      <c r="F4" s="9"/>
    </row>
    <row r="5" spans="1:6" ht="23.25" customHeight="1">
      <c r="A5" s="9"/>
      <c r="B5" s="61" t="s">
        <v>91</v>
      </c>
      <c r="C5" s="62" t="s">
        <v>23</v>
      </c>
      <c r="D5" s="62" t="s">
        <v>144</v>
      </c>
      <c r="E5" s="63"/>
      <c r="F5" s="9"/>
    </row>
    <row r="6" spans="1:6" ht="23.25" customHeight="1">
      <c r="A6" s="9"/>
      <c r="B6" s="64" t="s">
        <v>91</v>
      </c>
      <c r="C6" s="65" t="s">
        <v>29</v>
      </c>
      <c r="D6" s="65" t="s">
        <v>24</v>
      </c>
      <c r="E6" s="66"/>
      <c r="F6" s="9"/>
    </row>
    <row r="7" spans="1:6" ht="23.25" customHeight="1">
      <c r="A7" s="9"/>
      <c r="B7" s="64" t="s">
        <v>91</v>
      </c>
      <c r="C7" s="65" t="s">
        <v>32</v>
      </c>
      <c r="D7" s="65" t="s">
        <v>33</v>
      </c>
      <c r="E7" s="66"/>
      <c r="F7" s="9"/>
    </row>
    <row r="8" spans="1:6" ht="23.25" customHeight="1">
      <c r="A8" s="9"/>
      <c r="B8" s="64" t="s">
        <v>91</v>
      </c>
      <c r="C8" s="65" t="s">
        <v>38</v>
      </c>
      <c r="D8" s="65" t="s">
        <v>39</v>
      </c>
      <c r="E8" s="66"/>
      <c r="F8" s="9"/>
    </row>
    <row r="9" spans="1:6" ht="23.25" customHeight="1">
      <c r="A9" s="9"/>
      <c r="B9" s="64" t="s">
        <v>91</v>
      </c>
      <c r="C9" s="65" t="s">
        <v>50</v>
      </c>
      <c r="D9" s="65" t="s">
        <v>51</v>
      </c>
      <c r="E9" s="66"/>
      <c r="F9" s="9"/>
    </row>
    <row r="10" spans="1:6" ht="23.25" customHeight="1">
      <c r="A10" s="9"/>
      <c r="B10" s="64" t="s">
        <v>91</v>
      </c>
      <c r="C10" s="65" t="s">
        <v>54</v>
      </c>
      <c r="D10" s="65" t="s">
        <v>55</v>
      </c>
      <c r="E10" s="66"/>
      <c r="F10" s="9"/>
    </row>
    <row r="11" spans="1:6" ht="23.25" customHeight="1">
      <c r="A11" s="9"/>
      <c r="B11" s="64" t="s">
        <v>91</v>
      </c>
      <c r="C11" s="65" t="s">
        <v>58</v>
      </c>
      <c r="D11" s="65" t="s">
        <v>59</v>
      </c>
      <c r="E11" s="66"/>
      <c r="F11" s="9"/>
    </row>
    <row r="12" spans="1:6" ht="23.25" customHeight="1">
      <c r="A12" s="9"/>
      <c r="B12" s="64" t="s">
        <v>91</v>
      </c>
      <c r="C12" s="65" t="s">
        <v>61</v>
      </c>
      <c r="D12" s="65" t="s">
        <v>62</v>
      </c>
      <c r="E12" s="66"/>
      <c r="F12" s="9"/>
    </row>
    <row r="13" spans="1:6" ht="23.25" customHeight="1">
      <c r="A13" s="9"/>
      <c r="B13" s="64" t="s">
        <v>91</v>
      </c>
      <c r="C13" s="65" t="s">
        <v>65</v>
      </c>
      <c r="D13" s="65" t="s">
        <v>66</v>
      </c>
      <c r="E13" s="66"/>
      <c r="F13" s="9"/>
    </row>
    <row r="14" spans="1:6" ht="23.25" customHeight="1">
      <c r="A14" s="9"/>
      <c r="B14" s="67" t="s">
        <v>91</v>
      </c>
      <c r="C14" s="68" t="s">
        <v>46</v>
      </c>
      <c r="D14" s="68" t="s">
        <v>69</v>
      </c>
      <c r="E14" s="69"/>
      <c r="F14" s="9"/>
    </row>
    <row r="15" spans="1:6" ht="23.25" customHeight="1">
      <c r="A15" s="9"/>
      <c r="B15" s="67" t="s">
        <v>91</v>
      </c>
      <c r="C15" s="68" t="s">
        <v>71</v>
      </c>
      <c r="D15" s="68" t="s">
        <v>72</v>
      </c>
      <c r="E15" s="69"/>
      <c r="F15" s="9"/>
    </row>
    <row r="16" spans="1:6" ht="23.25" customHeight="1">
      <c r="A16" s="9"/>
      <c r="B16" s="67" t="s">
        <v>91</v>
      </c>
      <c r="C16" s="68" t="s">
        <v>74</v>
      </c>
      <c r="D16" s="68" t="s">
        <v>75</v>
      </c>
      <c r="E16" s="69"/>
      <c r="F16" s="9"/>
    </row>
    <row r="17" spans="1:6" ht="23.25" customHeight="1">
      <c r="A17" s="9"/>
      <c r="B17" s="67" t="s">
        <v>91</v>
      </c>
      <c r="C17" s="68" t="s">
        <v>77</v>
      </c>
      <c r="D17" s="68"/>
      <c r="E17" s="69"/>
      <c r="F17" s="9"/>
    </row>
    <row r="18" spans="1:6" ht="23.25" customHeight="1">
      <c r="A18" s="9"/>
      <c r="B18" s="70" t="s">
        <v>91</v>
      </c>
      <c r="C18" s="71" t="s">
        <v>78</v>
      </c>
      <c r="D18" s="71" t="s">
        <v>79</v>
      </c>
      <c r="E18" s="72"/>
      <c r="F18" s="9"/>
    </row>
    <row r="19" spans="1:6" ht="23.25" customHeight="1">
      <c r="A19" s="9"/>
      <c r="B19" s="70" t="s">
        <v>91</v>
      </c>
      <c r="C19" s="71" t="s">
        <v>81</v>
      </c>
      <c r="D19" s="71" t="s">
        <v>145</v>
      </c>
      <c r="E19" s="72"/>
      <c r="F19" s="9"/>
    </row>
    <row r="20" spans="1:6" ht="23.25" customHeight="1">
      <c r="A20" s="9"/>
      <c r="B20" s="70" t="s">
        <v>91</v>
      </c>
      <c r="C20" s="71" t="s">
        <v>84</v>
      </c>
      <c r="D20" s="71" t="s">
        <v>82</v>
      </c>
      <c r="E20" s="72"/>
      <c r="F20" s="9"/>
    </row>
    <row r="21" spans="1:6" ht="23.25" customHeight="1">
      <c r="A21" s="9"/>
      <c r="B21" s="70" t="s">
        <v>91</v>
      </c>
      <c r="C21" s="71" t="s">
        <v>87</v>
      </c>
      <c r="D21" s="71"/>
      <c r="E21" s="72"/>
      <c r="F21" s="9"/>
    </row>
    <row r="22" spans="1:6" ht="23.25" customHeight="1">
      <c r="A22" s="9"/>
      <c r="B22" s="73" t="s">
        <v>91</v>
      </c>
      <c r="C22" s="74" t="s">
        <v>88</v>
      </c>
      <c r="D22" s="74"/>
      <c r="E22" s="75"/>
      <c r="F22" s="9"/>
    </row>
    <row r="23" spans="1:6" ht="15.75" customHeight="1">
      <c r="B23" s="9"/>
      <c r="C23" s="9"/>
      <c r="D23" s="58"/>
      <c r="E23" s="9"/>
    </row>
    <row r="24" spans="1:6" ht="15.75" customHeight="1">
      <c r="D24" s="58"/>
    </row>
    <row r="25" spans="1:6" ht="15.75" customHeight="1">
      <c r="D25" s="58"/>
    </row>
    <row r="26" spans="1:6" ht="15.75" customHeight="1">
      <c r="D26" s="58"/>
    </row>
    <row r="27" spans="1:6" ht="15.75" customHeight="1">
      <c r="D27" s="58"/>
    </row>
    <row r="28" spans="1:6" ht="15.75" customHeight="1">
      <c r="D28" s="58"/>
    </row>
    <row r="29" spans="1:6" ht="15.75" customHeight="1">
      <c r="D29" s="58"/>
    </row>
    <row r="30" spans="1:6" ht="15.75" customHeight="1">
      <c r="D30" s="58"/>
    </row>
    <row r="31" spans="1:6" ht="15.75" customHeight="1">
      <c r="D31" s="58"/>
    </row>
    <row r="32" spans="1:6" ht="15.75" customHeight="1">
      <c r="D32" s="58"/>
    </row>
    <row r="33" spans="4:4" ht="15.75" customHeight="1">
      <c r="D33" s="58"/>
    </row>
    <row r="34" spans="4:4" ht="15.75" customHeight="1">
      <c r="D34" s="58"/>
    </row>
    <row r="35" spans="4:4" ht="15.75" customHeight="1">
      <c r="D35" s="58"/>
    </row>
    <row r="36" spans="4:4" ht="15.75" customHeight="1">
      <c r="D36" s="58"/>
    </row>
    <row r="37" spans="4:4" ht="15.75" customHeight="1">
      <c r="D37" s="58"/>
    </row>
    <row r="38" spans="4:4" ht="15.75" customHeight="1">
      <c r="D38" s="58"/>
    </row>
    <row r="39" spans="4:4" ht="15.75" customHeight="1">
      <c r="D39" s="58"/>
    </row>
    <row r="40" spans="4:4" ht="15.75" customHeight="1">
      <c r="D40" s="58"/>
    </row>
    <row r="41" spans="4:4" ht="15.75" customHeight="1">
      <c r="D41" s="58"/>
    </row>
    <row r="42" spans="4:4" ht="15.75" customHeight="1">
      <c r="D42" s="58"/>
    </row>
    <row r="43" spans="4:4" ht="15.75" customHeight="1">
      <c r="D43" s="58"/>
    </row>
    <row r="44" spans="4:4" ht="15.75" customHeight="1">
      <c r="D44" s="58"/>
    </row>
    <row r="45" spans="4:4" ht="15.75" customHeight="1">
      <c r="D45" s="58"/>
    </row>
    <row r="46" spans="4:4" ht="15.75" customHeight="1">
      <c r="D46" s="58"/>
    </row>
    <row r="47" spans="4:4" ht="15.75" customHeight="1">
      <c r="D47" s="58"/>
    </row>
    <row r="48" spans="4:4" ht="15.75" customHeight="1">
      <c r="D48" s="58"/>
    </row>
    <row r="49" spans="4:4" ht="15.75" customHeight="1">
      <c r="D49" s="58"/>
    </row>
    <row r="50" spans="4:4" ht="15.75" customHeight="1">
      <c r="D50" s="58"/>
    </row>
    <row r="51" spans="4:4" ht="15.75" customHeight="1">
      <c r="D51" s="58"/>
    </row>
    <row r="52" spans="4:4" ht="15.75" customHeight="1">
      <c r="D52" s="58"/>
    </row>
    <row r="53" spans="4:4" ht="15.75" customHeight="1">
      <c r="D53" s="58"/>
    </row>
    <row r="54" spans="4:4" ht="15.75" customHeight="1">
      <c r="D54" s="58"/>
    </row>
    <row r="55" spans="4:4" ht="15.75" customHeight="1">
      <c r="D55" s="58"/>
    </row>
    <row r="56" spans="4:4" ht="15.75" customHeight="1">
      <c r="D56" s="58"/>
    </row>
    <row r="57" spans="4:4" ht="15.75" customHeight="1">
      <c r="D57" s="58"/>
    </row>
    <row r="58" spans="4:4" ht="15.75" customHeight="1">
      <c r="D58" s="58"/>
    </row>
    <row r="59" spans="4:4" ht="15.75" customHeight="1">
      <c r="D59" s="58"/>
    </row>
    <row r="60" spans="4:4" ht="15.75" customHeight="1">
      <c r="D60" s="58"/>
    </row>
    <row r="61" spans="4:4" ht="15.75" customHeight="1">
      <c r="D61" s="58"/>
    </row>
    <row r="62" spans="4:4" ht="15.75" customHeight="1">
      <c r="D62" s="58"/>
    </row>
    <row r="63" spans="4:4" ht="15.75" customHeight="1">
      <c r="D63" s="58"/>
    </row>
    <row r="64" spans="4:4" ht="15.75" customHeight="1">
      <c r="D64" s="58"/>
    </row>
    <row r="65" spans="4:4" ht="15.75" customHeight="1">
      <c r="D65" s="58"/>
    </row>
    <row r="66" spans="4:4" ht="15.75" customHeight="1">
      <c r="D66" s="58"/>
    </row>
    <row r="67" spans="4:4" ht="15.75" customHeight="1">
      <c r="D67" s="58"/>
    </row>
    <row r="68" spans="4:4" ht="15.75" customHeight="1">
      <c r="D68" s="58"/>
    </row>
    <row r="69" spans="4:4" ht="15.75" customHeight="1">
      <c r="D69" s="58"/>
    </row>
    <row r="70" spans="4:4" ht="15.75" customHeight="1">
      <c r="D70" s="58"/>
    </row>
    <row r="71" spans="4:4" ht="15.75" customHeight="1">
      <c r="D71" s="58"/>
    </row>
    <row r="72" spans="4:4" ht="15.75" customHeight="1">
      <c r="D72" s="58"/>
    </row>
    <row r="73" spans="4:4" ht="15.75" customHeight="1">
      <c r="D73" s="58"/>
    </row>
    <row r="74" spans="4:4" ht="15.75" customHeight="1">
      <c r="D74" s="58"/>
    </row>
    <row r="75" spans="4:4" ht="15.75" customHeight="1">
      <c r="D75" s="58"/>
    </row>
    <row r="76" spans="4:4" ht="15.75" customHeight="1">
      <c r="D76" s="58"/>
    </row>
    <row r="77" spans="4:4" ht="15.75" customHeight="1">
      <c r="D77" s="58"/>
    </row>
    <row r="78" spans="4:4" ht="15.75" customHeight="1">
      <c r="D78" s="58"/>
    </row>
    <row r="79" spans="4:4" ht="15.75" customHeight="1">
      <c r="D79" s="58"/>
    </row>
    <row r="80" spans="4:4" ht="15.75" customHeight="1">
      <c r="D80" s="58"/>
    </row>
    <row r="81" spans="4:4" ht="15.75" customHeight="1">
      <c r="D81" s="58"/>
    </row>
    <row r="82" spans="4:4" ht="15.75" customHeight="1">
      <c r="D82" s="58"/>
    </row>
    <row r="83" spans="4:4" ht="15.75" customHeight="1">
      <c r="D83" s="58"/>
    </row>
    <row r="84" spans="4:4" ht="15.75" customHeight="1">
      <c r="D84" s="58"/>
    </row>
    <row r="85" spans="4:4" ht="15.75" customHeight="1">
      <c r="D85" s="58"/>
    </row>
    <row r="86" spans="4:4" ht="15.75" customHeight="1">
      <c r="D86" s="58"/>
    </row>
    <row r="87" spans="4:4" ht="15.75" customHeight="1">
      <c r="D87" s="58"/>
    </row>
    <row r="88" spans="4:4" ht="15.75" customHeight="1">
      <c r="D88" s="58"/>
    </row>
    <row r="89" spans="4:4" ht="15.75" customHeight="1">
      <c r="D89" s="58"/>
    </row>
    <row r="90" spans="4:4" ht="15.75" customHeight="1">
      <c r="D90" s="58"/>
    </row>
    <row r="91" spans="4:4" ht="15.75" customHeight="1">
      <c r="D91" s="58"/>
    </row>
    <row r="92" spans="4:4" ht="15.75" customHeight="1">
      <c r="D92" s="58"/>
    </row>
    <row r="93" spans="4:4" ht="15.75" customHeight="1">
      <c r="D93" s="58"/>
    </row>
    <row r="94" spans="4:4" ht="15.75" customHeight="1">
      <c r="D94" s="58"/>
    </row>
    <row r="95" spans="4:4" ht="15.75" customHeight="1">
      <c r="D95" s="58"/>
    </row>
    <row r="96" spans="4:4" ht="15.75" customHeight="1">
      <c r="D96" s="58"/>
    </row>
    <row r="97" spans="4:4" ht="15.75" customHeight="1">
      <c r="D97" s="58"/>
    </row>
    <row r="98" spans="4:4" ht="15.75" customHeight="1">
      <c r="D98" s="58"/>
    </row>
    <row r="99" spans="4:4" ht="15.75" customHeight="1">
      <c r="D99" s="58"/>
    </row>
    <row r="100" spans="4:4" ht="15.75" customHeight="1">
      <c r="D100" s="58"/>
    </row>
    <row r="101" spans="4:4" ht="15.75" customHeight="1">
      <c r="D101" s="58"/>
    </row>
    <row r="102" spans="4:4" ht="15.75" customHeight="1">
      <c r="D102" s="58"/>
    </row>
    <row r="103" spans="4:4" ht="15.75" customHeight="1">
      <c r="D103" s="58"/>
    </row>
    <row r="104" spans="4:4" ht="15.75" customHeight="1">
      <c r="D104" s="58"/>
    </row>
    <row r="105" spans="4:4" ht="15.75" customHeight="1">
      <c r="D105" s="58"/>
    </row>
    <row r="106" spans="4:4" ht="15.75" customHeight="1">
      <c r="D106" s="58"/>
    </row>
    <row r="107" spans="4:4" ht="15.75" customHeight="1">
      <c r="D107" s="58"/>
    </row>
    <row r="108" spans="4:4" ht="15.75" customHeight="1">
      <c r="D108" s="58"/>
    </row>
    <row r="109" spans="4:4" ht="15.75" customHeight="1">
      <c r="D109" s="58"/>
    </row>
    <row r="110" spans="4:4" ht="15.75" customHeight="1">
      <c r="D110" s="58"/>
    </row>
    <row r="111" spans="4:4" ht="15.75" customHeight="1">
      <c r="D111" s="58"/>
    </row>
    <row r="112" spans="4:4" ht="15.75" customHeight="1">
      <c r="D112" s="58"/>
    </row>
    <row r="113" spans="4:4" ht="15.75" customHeight="1">
      <c r="D113" s="58"/>
    </row>
    <row r="114" spans="4:4" ht="15.75" customHeight="1">
      <c r="D114" s="58"/>
    </row>
    <row r="115" spans="4:4" ht="15.75" customHeight="1">
      <c r="D115" s="58"/>
    </row>
    <row r="116" spans="4:4" ht="15.75" customHeight="1">
      <c r="D116" s="58"/>
    </row>
    <row r="117" spans="4:4" ht="15.75" customHeight="1">
      <c r="D117" s="58"/>
    </row>
    <row r="118" spans="4:4" ht="15.75" customHeight="1">
      <c r="D118" s="58"/>
    </row>
    <row r="119" spans="4:4" ht="15.75" customHeight="1">
      <c r="D119" s="58"/>
    </row>
    <row r="120" spans="4:4" ht="15.75" customHeight="1">
      <c r="D120" s="58"/>
    </row>
    <row r="121" spans="4:4" ht="15.75" customHeight="1">
      <c r="D121" s="58"/>
    </row>
    <row r="122" spans="4:4" ht="15.75" customHeight="1">
      <c r="D122" s="58"/>
    </row>
    <row r="123" spans="4:4" ht="15.75" customHeight="1">
      <c r="D123" s="58"/>
    </row>
    <row r="124" spans="4:4" ht="15.75" customHeight="1">
      <c r="D124" s="58"/>
    </row>
    <row r="125" spans="4:4" ht="15.75" customHeight="1">
      <c r="D125" s="58"/>
    </row>
    <row r="126" spans="4:4" ht="15.75" customHeight="1">
      <c r="D126" s="58"/>
    </row>
    <row r="127" spans="4:4" ht="15.75" customHeight="1">
      <c r="D127" s="58"/>
    </row>
    <row r="128" spans="4:4" ht="15.75" customHeight="1">
      <c r="D128" s="58"/>
    </row>
    <row r="129" spans="4:4" ht="15.75" customHeight="1">
      <c r="D129" s="58"/>
    </row>
    <row r="130" spans="4:4" ht="15.75" customHeight="1">
      <c r="D130" s="58"/>
    </row>
    <row r="131" spans="4:4" ht="15.75" customHeight="1">
      <c r="D131" s="58"/>
    </row>
    <row r="132" spans="4:4" ht="15.75" customHeight="1">
      <c r="D132" s="58"/>
    </row>
    <row r="133" spans="4:4" ht="15.75" customHeight="1">
      <c r="D133" s="58"/>
    </row>
    <row r="134" spans="4:4" ht="15.75" customHeight="1">
      <c r="D134" s="58"/>
    </row>
    <row r="135" spans="4:4" ht="15.75" customHeight="1">
      <c r="D135" s="58"/>
    </row>
    <row r="136" spans="4:4" ht="15.75" customHeight="1">
      <c r="D136" s="58"/>
    </row>
    <row r="137" spans="4:4" ht="15.75" customHeight="1">
      <c r="D137" s="58"/>
    </row>
    <row r="138" spans="4:4" ht="15.75" customHeight="1">
      <c r="D138" s="58"/>
    </row>
    <row r="139" spans="4:4" ht="15.75" customHeight="1">
      <c r="D139" s="58"/>
    </row>
    <row r="140" spans="4:4" ht="15.75" customHeight="1">
      <c r="D140" s="58"/>
    </row>
    <row r="141" spans="4:4" ht="15.75" customHeight="1">
      <c r="D141" s="58"/>
    </row>
    <row r="142" spans="4:4" ht="15.75" customHeight="1">
      <c r="D142" s="58"/>
    </row>
    <row r="143" spans="4:4" ht="15.75" customHeight="1">
      <c r="D143" s="58"/>
    </row>
    <row r="144" spans="4:4" ht="15.75" customHeight="1">
      <c r="D144" s="58"/>
    </row>
    <row r="145" spans="4:4" ht="15.75" customHeight="1">
      <c r="D145" s="58"/>
    </row>
    <row r="146" spans="4:4" ht="15.75" customHeight="1">
      <c r="D146" s="58"/>
    </row>
    <row r="147" spans="4:4" ht="15.75" customHeight="1">
      <c r="D147" s="58"/>
    </row>
    <row r="148" spans="4:4" ht="15.75" customHeight="1">
      <c r="D148" s="58"/>
    </row>
    <row r="149" spans="4:4" ht="15.75" customHeight="1">
      <c r="D149" s="58"/>
    </row>
    <row r="150" spans="4:4" ht="15.75" customHeight="1">
      <c r="D150" s="58"/>
    </row>
    <row r="151" spans="4:4" ht="15.75" customHeight="1">
      <c r="D151" s="58"/>
    </row>
    <row r="152" spans="4:4" ht="15.75" customHeight="1">
      <c r="D152" s="58"/>
    </row>
    <row r="153" spans="4:4" ht="15.75" customHeight="1">
      <c r="D153" s="58"/>
    </row>
    <row r="154" spans="4:4" ht="15.75" customHeight="1">
      <c r="D154" s="58"/>
    </row>
    <row r="155" spans="4:4" ht="15.75" customHeight="1">
      <c r="D155" s="58"/>
    </row>
    <row r="156" spans="4:4" ht="15.75" customHeight="1">
      <c r="D156" s="58"/>
    </row>
    <row r="157" spans="4:4" ht="15.75" customHeight="1">
      <c r="D157" s="58"/>
    </row>
    <row r="158" spans="4:4" ht="15.75" customHeight="1">
      <c r="D158" s="58"/>
    </row>
    <row r="159" spans="4:4" ht="15.75" customHeight="1">
      <c r="D159" s="58"/>
    </row>
    <row r="160" spans="4:4" ht="15.75" customHeight="1">
      <c r="D160" s="58"/>
    </row>
    <row r="161" spans="4:4" ht="15.75" customHeight="1">
      <c r="D161" s="58"/>
    </row>
    <row r="162" spans="4:4" ht="15.75" customHeight="1">
      <c r="D162" s="58"/>
    </row>
    <row r="163" spans="4:4" ht="15.75" customHeight="1">
      <c r="D163" s="58"/>
    </row>
    <row r="164" spans="4:4" ht="15.75" customHeight="1">
      <c r="D164" s="58"/>
    </row>
    <row r="165" spans="4:4" ht="15.75" customHeight="1">
      <c r="D165" s="58"/>
    </row>
    <row r="166" spans="4:4" ht="15.75" customHeight="1">
      <c r="D166" s="58"/>
    </row>
    <row r="167" spans="4:4" ht="15.75" customHeight="1">
      <c r="D167" s="58"/>
    </row>
    <row r="168" spans="4:4" ht="15.75" customHeight="1">
      <c r="D168" s="58"/>
    </row>
    <row r="169" spans="4:4" ht="15.75" customHeight="1">
      <c r="D169" s="58"/>
    </row>
    <row r="170" spans="4:4" ht="15.75" customHeight="1">
      <c r="D170" s="58"/>
    </row>
    <row r="171" spans="4:4" ht="15.75" customHeight="1">
      <c r="D171" s="58"/>
    </row>
    <row r="172" spans="4:4" ht="15.75" customHeight="1">
      <c r="D172" s="58"/>
    </row>
    <row r="173" spans="4:4" ht="15.75" customHeight="1">
      <c r="D173" s="58"/>
    </row>
    <row r="174" spans="4:4" ht="15.75" customHeight="1">
      <c r="D174" s="58"/>
    </row>
    <row r="175" spans="4:4" ht="15.75" customHeight="1">
      <c r="D175" s="58"/>
    </row>
    <row r="176" spans="4:4" ht="15.75" customHeight="1">
      <c r="D176" s="58"/>
    </row>
    <row r="177" spans="4:4" ht="15.75" customHeight="1">
      <c r="D177" s="58"/>
    </row>
    <row r="178" spans="4:4" ht="15.75" customHeight="1">
      <c r="D178" s="58"/>
    </row>
    <row r="179" spans="4:4" ht="15.75" customHeight="1">
      <c r="D179" s="58"/>
    </row>
    <row r="180" spans="4:4" ht="15.75" customHeight="1">
      <c r="D180" s="58"/>
    </row>
    <row r="181" spans="4:4" ht="15.75" customHeight="1">
      <c r="D181" s="58"/>
    </row>
    <row r="182" spans="4:4" ht="15.75" customHeight="1">
      <c r="D182" s="58"/>
    </row>
    <row r="183" spans="4:4" ht="15.75" customHeight="1">
      <c r="D183" s="58"/>
    </row>
    <row r="184" spans="4:4" ht="15.75" customHeight="1">
      <c r="D184" s="58"/>
    </row>
    <row r="185" spans="4:4" ht="15.75" customHeight="1">
      <c r="D185" s="58"/>
    </row>
    <row r="186" spans="4:4" ht="15.75" customHeight="1">
      <c r="D186" s="58"/>
    </row>
    <row r="187" spans="4:4" ht="15.75" customHeight="1">
      <c r="D187" s="58"/>
    </row>
    <row r="188" spans="4:4" ht="15.75" customHeight="1">
      <c r="D188" s="58"/>
    </row>
    <row r="189" spans="4:4" ht="15.75" customHeight="1">
      <c r="D189" s="58"/>
    </row>
    <row r="190" spans="4:4" ht="15.75" customHeight="1">
      <c r="D190" s="58"/>
    </row>
    <row r="191" spans="4:4" ht="15.75" customHeight="1">
      <c r="D191" s="58"/>
    </row>
    <row r="192" spans="4:4" ht="15.75" customHeight="1">
      <c r="D192" s="58"/>
    </row>
    <row r="193" spans="4:4" ht="15.75" customHeight="1">
      <c r="D193" s="58"/>
    </row>
    <row r="194" spans="4:4" ht="15.75" customHeight="1">
      <c r="D194" s="58"/>
    </row>
    <row r="195" spans="4:4" ht="15.75" customHeight="1">
      <c r="D195" s="58"/>
    </row>
    <row r="196" spans="4:4" ht="15.75" customHeight="1">
      <c r="D196" s="58"/>
    </row>
    <row r="197" spans="4:4" ht="15.75" customHeight="1">
      <c r="D197" s="58"/>
    </row>
    <row r="198" spans="4:4" ht="15.75" customHeight="1">
      <c r="D198" s="58"/>
    </row>
    <row r="199" spans="4:4" ht="15.75" customHeight="1">
      <c r="D199" s="58"/>
    </row>
    <row r="200" spans="4:4" ht="15.75" customHeight="1">
      <c r="D200" s="58"/>
    </row>
    <row r="201" spans="4:4" ht="15.75" customHeight="1">
      <c r="D201" s="58"/>
    </row>
    <row r="202" spans="4:4" ht="15.75" customHeight="1">
      <c r="D202" s="58"/>
    </row>
    <row r="203" spans="4:4" ht="15.75" customHeight="1">
      <c r="D203" s="58"/>
    </row>
    <row r="204" spans="4:4" ht="15.75" customHeight="1">
      <c r="D204" s="58"/>
    </row>
    <row r="205" spans="4:4" ht="15.75" customHeight="1">
      <c r="D205" s="58"/>
    </row>
    <row r="206" spans="4:4" ht="15.75" customHeight="1">
      <c r="D206" s="58"/>
    </row>
    <row r="207" spans="4:4" ht="15.75" customHeight="1">
      <c r="D207" s="58"/>
    </row>
    <row r="208" spans="4:4" ht="15.75" customHeight="1">
      <c r="D208" s="58"/>
    </row>
    <row r="209" spans="4:4" ht="15.75" customHeight="1">
      <c r="D209" s="58"/>
    </row>
    <row r="210" spans="4:4" ht="15.75" customHeight="1">
      <c r="D210" s="58"/>
    </row>
    <row r="211" spans="4:4" ht="15.75" customHeight="1">
      <c r="D211" s="58"/>
    </row>
    <row r="212" spans="4:4" ht="15.75" customHeight="1">
      <c r="D212" s="58"/>
    </row>
    <row r="213" spans="4:4" ht="15.75" customHeight="1">
      <c r="D213" s="58"/>
    </row>
    <row r="214" spans="4:4" ht="15.75" customHeight="1">
      <c r="D214" s="58"/>
    </row>
    <row r="215" spans="4:4" ht="15.75" customHeight="1">
      <c r="D215" s="58"/>
    </row>
    <row r="216" spans="4:4" ht="15.75" customHeight="1">
      <c r="D216" s="58"/>
    </row>
    <row r="217" spans="4:4" ht="15.75" customHeight="1">
      <c r="D217" s="58"/>
    </row>
    <row r="218" spans="4:4" ht="15.75" customHeight="1">
      <c r="D218" s="58"/>
    </row>
    <row r="219" spans="4:4" ht="15.75" customHeight="1">
      <c r="D219" s="58"/>
    </row>
    <row r="220" spans="4:4" ht="15.75" customHeight="1">
      <c r="D220" s="58"/>
    </row>
    <row r="221" spans="4:4" ht="15.75" customHeight="1">
      <c r="D221" s="58"/>
    </row>
    <row r="222" spans="4:4" ht="15.75" customHeight="1">
      <c r="D222" s="58"/>
    </row>
    <row r="223" spans="4:4" ht="15.75" customHeight="1">
      <c r="D223" s="58"/>
    </row>
    <row r="224" spans="4:4" ht="15.75" customHeight="1">
      <c r="D224" s="58"/>
    </row>
    <row r="225" spans="4:4" ht="15.75" customHeight="1">
      <c r="D225" s="58"/>
    </row>
    <row r="226" spans="4:4" ht="15.75" customHeight="1">
      <c r="D226" s="58"/>
    </row>
    <row r="227" spans="4:4" ht="15.75" customHeight="1">
      <c r="D227" s="58"/>
    </row>
    <row r="228" spans="4:4" ht="15.75" customHeight="1">
      <c r="D228" s="58"/>
    </row>
    <row r="229" spans="4:4" ht="15.75" customHeight="1">
      <c r="D229" s="58"/>
    </row>
    <row r="230" spans="4:4" ht="15.75" customHeight="1">
      <c r="D230" s="58"/>
    </row>
    <row r="231" spans="4:4" ht="15.75" customHeight="1">
      <c r="D231" s="58"/>
    </row>
    <row r="232" spans="4:4" ht="15.75" customHeight="1">
      <c r="D232" s="58"/>
    </row>
    <row r="233" spans="4:4" ht="15.75" customHeight="1">
      <c r="D233" s="58"/>
    </row>
    <row r="234" spans="4:4" ht="15.75" customHeight="1">
      <c r="D234" s="58"/>
    </row>
    <row r="235" spans="4:4" ht="15.75" customHeight="1">
      <c r="D235" s="58"/>
    </row>
    <row r="236" spans="4:4" ht="15.75" customHeight="1">
      <c r="D236" s="58"/>
    </row>
    <row r="237" spans="4:4" ht="15.75" customHeight="1">
      <c r="D237" s="58"/>
    </row>
    <row r="238" spans="4:4" ht="15.75" customHeight="1">
      <c r="D238" s="58"/>
    </row>
    <row r="239" spans="4:4" ht="15.75" customHeight="1">
      <c r="D239" s="58"/>
    </row>
    <row r="240" spans="4:4" ht="15.75" customHeight="1">
      <c r="D240" s="58"/>
    </row>
    <row r="241" spans="4:4" ht="15.75" customHeight="1">
      <c r="D241" s="58"/>
    </row>
    <row r="242" spans="4:4" ht="15.75" customHeight="1">
      <c r="D242" s="58"/>
    </row>
    <row r="243" spans="4:4" ht="15.75" customHeight="1">
      <c r="D243" s="58"/>
    </row>
    <row r="244" spans="4:4" ht="15.75" customHeight="1">
      <c r="D244" s="58"/>
    </row>
    <row r="245" spans="4:4" ht="15.75" customHeight="1">
      <c r="D245" s="58"/>
    </row>
    <row r="246" spans="4:4" ht="15.75" customHeight="1">
      <c r="D246" s="58"/>
    </row>
    <row r="247" spans="4:4" ht="15.75" customHeight="1">
      <c r="D247" s="58"/>
    </row>
    <row r="248" spans="4:4" ht="15.75" customHeight="1">
      <c r="D248" s="58"/>
    </row>
    <row r="249" spans="4:4" ht="15.75" customHeight="1">
      <c r="D249" s="58"/>
    </row>
    <row r="250" spans="4:4" ht="15.75" customHeight="1">
      <c r="D250" s="58"/>
    </row>
    <row r="251" spans="4:4" ht="15.75" customHeight="1">
      <c r="D251" s="58"/>
    </row>
    <row r="252" spans="4:4" ht="15.75" customHeight="1">
      <c r="D252" s="58"/>
    </row>
    <row r="253" spans="4:4" ht="15.75" customHeight="1">
      <c r="D253" s="58"/>
    </row>
    <row r="254" spans="4:4" ht="15.75" customHeight="1">
      <c r="D254" s="58"/>
    </row>
    <row r="255" spans="4:4" ht="15.75" customHeight="1">
      <c r="D255" s="58"/>
    </row>
    <row r="256" spans="4:4" ht="15.75" customHeight="1">
      <c r="D256" s="58"/>
    </row>
    <row r="257" spans="4:4" ht="15.75" customHeight="1">
      <c r="D257" s="58"/>
    </row>
    <row r="258" spans="4:4" ht="15.75" customHeight="1">
      <c r="D258" s="58"/>
    </row>
    <row r="259" spans="4:4" ht="15.75" customHeight="1">
      <c r="D259" s="58"/>
    </row>
    <row r="260" spans="4:4" ht="15.75" customHeight="1">
      <c r="D260" s="58"/>
    </row>
    <row r="261" spans="4:4" ht="15.75" customHeight="1">
      <c r="D261" s="58"/>
    </row>
    <row r="262" spans="4:4" ht="15.75" customHeight="1">
      <c r="D262" s="58"/>
    </row>
    <row r="263" spans="4:4" ht="15.75" customHeight="1">
      <c r="D263" s="58"/>
    </row>
    <row r="264" spans="4:4" ht="15.75" customHeight="1">
      <c r="D264" s="58"/>
    </row>
    <row r="265" spans="4:4" ht="15.75" customHeight="1">
      <c r="D265" s="58"/>
    </row>
    <row r="266" spans="4:4" ht="15.75" customHeight="1">
      <c r="D266" s="58"/>
    </row>
    <row r="267" spans="4:4" ht="15.75" customHeight="1">
      <c r="D267" s="58"/>
    </row>
    <row r="268" spans="4:4" ht="15.75" customHeight="1">
      <c r="D268" s="58"/>
    </row>
    <row r="269" spans="4:4" ht="15.75" customHeight="1">
      <c r="D269" s="58"/>
    </row>
    <row r="270" spans="4:4" ht="15.75" customHeight="1">
      <c r="D270" s="58"/>
    </row>
    <row r="271" spans="4:4" ht="15.75" customHeight="1">
      <c r="D271" s="58"/>
    </row>
    <row r="272" spans="4:4" ht="15.75" customHeight="1">
      <c r="D272" s="58"/>
    </row>
    <row r="273" spans="4:4" ht="15.75" customHeight="1">
      <c r="D273" s="58"/>
    </row>
    <row r="274" spans="4:4" ht="15.75" customHeight="1">
      <c r="D274" s="58"/>
    </row>
    <row r="275" spans="4:4" ht="15.75" customHeight="1">
      <c r="D275" s="58"/>
    </row>
    <row r="276" spans="4:4" ht="15.75" customHeight="1">
      <c r="D276" s="58"/>
    </row>
    <row r="277" spans="4:4" ht="15.75" customHeight="1">
      <c r="D277" s="58"/>
    </row>
    <row r="278" spans="4:4" ht="15.75" customHeight="1">
      <c r="D278" s="58"/>
    </row>
    <row r="279" spans="4:4" ht="15.75" customHeight="1">
      <c r="D279" s="58"/>
    </row>
    <row r="280" spans="4:4" ht="15.75" customHeight="1">
      <c r="D280" s="58"/>
    </row>
    <row r="281" spans="4:4" ht="15.75" customHeight="1">
      <c r="D281" s="58"/>
    </row>
    <row r="282" spans="4:4" ht="15.75" customHeight="1">
      <c r="D282" s="58"/>
    </row>
    <row r="283" spans="4:4" ht="15.75" customHeight="1">
      <c r="D283" s="58"/>
    </row>
    <row r="284" spans="4:4" ht="15.75" customHeight="1">
      <c r="D284" s="58"/>
    </row>
    <row r="285" spans="4:4" ht="15.75" customHeight="1">
      <c r="D285" s="58"/>
    </row>
    <row r="286" spans="4:4" ht="15.75" customHeight="1">
      <c r="D286" s="58"/>
    </row>
    <row r="287" spans="4:4" ht="15.75" customHeight="1">
      <c r="D287" s="58"/>
    </row>
    <row r="288" spans="4:4" ht="15.75" customHeight="1">
      <c r="D288" s="58"/>
    </row>
    <row r="289" spans="4:4" ht="15.75" customHeight="1">
      <c r="D289" s="58"/>
    </row>
    <row r="290" spans="4:4" ht="15.75" customHeight="1">
      <c r="D290" s="58"/>
    </row>
    <row r="291" spans="4:4" ht="15.75" customHeight="1">
      <c r="D291" s="58"/>
    </row>
    <row r="292" spans="4:4" ht="15.75" customHeight="1">
      <c r="D292" s="58"/>
    </row>
    <row r="293" spans="4:4" ht="15.75" customHeight="1">
      <c r="D293" s="58"/>
    </row>
    <row r="294" spans="4:4" ht="15.75" customHeight="1">
      <c r="D294" s="58"/>
    </row>
    <row r="295" spans="4:4" ht="15.75" customHeight="1">
      <c r="D295" s="58"/>
    </row>
    <row r="296" spans="4:4" ht="15.75" customHeight="1">
      <c r="D296" s="58"/>
    </row>
    <row r="297" spans="4:4" ht="15.75" customHeight="1">
      <c r="D297" s="58"/>
    </row>
    <row r="298" spans="4:4" ht="15.75" customHeight="1">
      <c r="D298" s="58"/>
    </row>
    <row r="299" spans="4:4" ht="15.75" customHeight="1">
      <c r="D299" s="58"/>
    </row>
    <row r="300" spans="4:4" ht="15.75" customHeight="1">
      <c r="D300" s="58"/>
    </row>
    <row r="301" spans="4:4" ht="15.75" customHeight="1">
      <c r="D301" s="58"/>
    </row>
    <row r="302" spans="4:4" ht="15.75" customHeight="1">
      <c r="D302" s="58"/>
    </row>
    <row r="303" spans="4:4" ht="15.75" customHeight="1">
      <c r="D303" s="58"/>
    </row>
    <row r="304" spans="4:4" ht="15.75" customHeight="1">
      <c r="D304" s="58"/>
    </row>
    <row r="305" spans="4:4" ht="15.75" customHeight="1">
      <c r="D305" s="58"/>
    </row>
    <row r="306" spans="4:4" ht="15.75" customHeight="1">
      <c r="D306" s="58"/>
    </row>
    <row r="307" spans="4:4" ht="15.75" customHeight="1">
      <c r="D307" s="58"/>
    </row>
    <row r="308" spans="4:4" ht="15.75" customHeight="1">
      <c r="D308" s="58"/>
    </row>
    <row r="309" spans="4:4" ht="15.75" customHeight="1">
      <c r="D309" s="58"/>
    </row>
    <row r="310" spans="4:4" ht="15.75" customHeight="1">
      <c r="D310" s="58"/>
    </row>
    <row r="311" spans="4:4" ht="15.75" customHeight="1">
      <c r="D311" s="58"/>
    </row>
    <row r="312" spans="4:4" ht="15.75" customHeight="1">
      <c r="D312" s="58"/>
    </row>
    <row r="313" spans="4:4" ht="15.75" customHeight="1">
      <c r="D313" s="58"/>
    </row>
    <row r="314" spans="4:4" ht="15.75" customHeight="1">
      <c r="D314" s="58"/>
    </row>
    <row r="315" spans="4:4" ht="15.75" customHeight="1">
      <c r="D315" s="58"/>
    </row>
    <row r="316" spans="4:4" ht="15.75" customHeight="1">
      <c r="D316" s="58"/>
    </row>
    <row r="317" spans="4:4" ht="15.75" customHeight="1">
      <c r="D317" s="58"/>
    </row>
    <row r="318" spans="4:4" ht="15.75" customHeight="1">
      <c r="D318" s="58"/>
    </row>
    <row r="319" spans="4:4" ht="15.75" customHeight="1">
      <c r="D319" s="58"/>
    </row>
    <row r="320" spans="4:4" ht="15.75" customHeight="1">
      <c r="D320" s="58"/>
    </row>
    <row r="321" spans="4:4" ht="15.75" customHeight="1">
      <c r="D321" s="58"/>
    </row>
    <row r="322" spans="4:4" ht="15.75" customHeight="1">
      <c r="D322" s="58"/>
    </row>
    <row r="323" spans="4:4" ht="15.75" customHeight="1">
      <c r="D323" s="58"/>
    </row>
    <row r="324" spans="4:4" ht="15.75" customHeight="1">
      <c r="D324" s="58"/>
    </row>
    <row r="325" spans="4:4" ht="15.75" customHeight="1">
      <c r="D325" s="58"/>
    </row>
    <row r="326" spans="4:4" ht="15.75" customHeight="1">
      <c r="D326" s="58"/>
    </row>
    <row r="327" spans="4:4" ht="15.75" customHeight="1">
      <c r="D327" s="58"/>
    </row>
    <row r="328" spans="4:4" ht="15.75" customHeight="1">
      <c r="D328" s="58"/>
    </row>
    <row r="329" spans="4:4" ht="15.75" customHeight="1">
      <c r="D329" s="58"/>
    </row>
    <row r="330" spans="4:4" ht="15.75" customHeight="1">
      <c r="D330" s="58"/>
    </row>
    <row r="331" spans="4:4" ht="15.75" customHeight="1">
      <c r="D331" s="58"/>
    </row>
    <row r="332" spans="4:4" ht="15.75" customHeight="1">
      <c r="D332" s="58"/>
    </row>
    <row r="333" spans="4:4" ht="15.75" customHeight="1">
      <c r="D333" s="58"/>
    </row>
    <row r="334" spans="4:4" ht="15.75" customHeight="1">
      <c r="D334" s="58"/>
    </row>
    <row r="335" spans="4:4" ht="15.75" customHeight="1">
      <c r="D335" s="58"/>
    </row>
    <row r="336" spans="4:4" ht="15.75" customHeight="1">
      <c r="D336" s="58"/>
    </row>
    <row r="337" spans="4:4" ht="15.75" customHeight="1">
      <c r="D337" s="58"/>
    </row>
    <row r="338" spans="4:4" ht="15.75" customHeight="1">
      <c r="D338" s="58"/>
    </row>
    <row r="339" spans="4:4" ht="15.75" customHeight="1">
      <c r="D339" s="58"/>
    </row>
    <row r="340" spans="4:4" ht="15.75" customHeight="1">
      <c r="D340" s="58"/>
    </row>
    <row r="341" spans="4:4" ht="15.75" customHeight="1">
      <c r="D341" s="58"/>
    </row>
    <row r="342" spans="4:4" ht="15.75" customHeight="1">
      <c r="D342" s="58"/>
    </row>
    <row r="343" spans="4:4" ht="15.75" customHeight="1">
      <c r="D343" s="58"/>
    </row>
    <row r="344" spans="4:4" ht="15.75" customHeight="1">
      <c r="D344" s="58"/>
    </row>
    <row r="345" spans="4:4" ht="15.75" customHeight="1">
      <c r="D345" s="58"/>
    </row>
    <row r="346" spans="4:4" ht="15.75" customHeight="1">
      <c r="D346" s="58"/>
    </row>
    <row r="347" spans="4:4" ht="15.75" customHeight="1">
      <c r="D347" s="58"/>
    </row>
    <row r="348" spans="4:4" ht="15.75" customHeight="1">
      <c r="D348" s="58"/>
    </row>
    <row r="349" spans="4:4" ht="15.75" customHeight="1">
      <c r="D349" s="58"/>
    </row>
    <row r="350" spans="4:4" ht="15.75" customHeight="1">
      <c r="D350" s="58"/>
    </row>
    <row r="351" spans="4:4" ht="15.75" customHeight="1">
      <c r="D351" s="58"/>
    </row>
    <row r="352" spans="4:4" ht="15.75" customHeight="1">
      <c r="D352" s="58"/>
    </row>
    <row r="353" spans="4:4" ht="15.75" customHeight="1">
      <c r="D353" s="58"/>
    </row>
    <row r="354" spans="4:4" ht="15.75" customHeight="1">
      <c r="D354" s="58"/>
    </row>
    <row r="355" spans="4:4" ht="15.75" customHeight="1">
      <c r="D355" s="58"/>
    </row>
    <row r="356" spans="4:4" ht="15.75" customHeight="1">
      <c r="D356" s="58"/>
    </row>
    <row r="357" spans="4:4" ht="15.75" customHeight="1">
      <c r="D357" s="58"/>
    </row>
    <row r="358" spans="4:4" ht="15.75" customHeight="1">
      <c r="D358" s="58"/>
    </row>
    <row r="359" spans="4:4" ht="15.75" customHeight="1">
      <c r="D359" s="58"/>
    </row>
    <row r="360" spans="4:4" ht="15.75" customHeight="1">
      <c r="D360" s="58"/>
    </row>
    <row r="361" spans="4:4" ht="15.75" customHeight="1">
      <c r="D361" s="58"/>
    </row>
    <row r="362" spans="4:4" ht="15.75" customHeight="1">
      <c r="D362" s="58"/>
    </row>
    <row r="363" spans="4:4" ht="15.75" customHeight="1">
      <c r="D363" s="58"/>
    </row>
    <row r="364" spans="4:4" ht="15.75" customHeight="1">
      <c r="D364" s="58"/>
    </row>
    <row r="365" spans="4:4" ht="15.75" customHeight="1">
      <c r="D365" s="58"/>
    </row>
    <row r="366" spans="4:4" ht="15.75" customHeight="1">
      <c r="D366" s="58"/>
    </row>
    <row r="367" spans="4:4" ht="15.75" customHeight="1">
      <c r="D367" s="58"/>
    </row>
    <row r="368" spans="4:4" ht="15.75" customHeight="1">
      <c r="D368" s="58"/>
    </row>
    <row r="369" spans="4:4" ht="15.75" customHeight="1">
      <c r="D369" s="58"/>
    </row>
    <row r="370" spans="4:4" ht="15.75" customHeight="1">
      <c r="D370" s="58"/>
    </row>
    <row r="371" spans="4:4" ht="15.75" customHeight="1">
      <c r="D371" s="58"/>
    </row>
    <row r="372" spans="4:4" ht="15.75" customHeight="1">
      <c r="D372" s="58"/>
    </row>
    <row r="373" spans="4:4" ht="15.75" customHeight="1">
      <c r="D373" s="58"/>
    </row>
    <row r="374" spans="4:4" ht="15.75" customHeight="1">
      <c r="D374" s="58"/>
    </row>
    <row r="375" spans="4:4" ht="15.75" customHeight="1">
      <c r="D375" s="58"/>
    </row>
    <row r="376" spans="4:4" ht="15.75" customHeight="1">
      <c r="D376" s="58"/>
    </row>
    <row r="377" spans="4:4" ht="15.75" customHeight="1">
      <c r="D377" s="58"/>
    </row>
    <row r="378" spans="4:4" ht="15.75" customHeight="1">
      <c r="D378" s="58"/>
    </row>
    <row r="379" spans="4:4" ht="15.75" customHeight="1">
      <c r="D379" s="58"/>
    </row>
    <row r="380" spans="4:4" ht="15.75" customHeight="1">
      <c r="D380" s="58"/>
    </row>
    <row r="381" spans="4:4" ht="15.75" customHeight="1">
      <c r="D381" s="58"/>
    </row>
    <row r="382" spans="4:4" ht="15.75" customHeight="1">
      <c r="D382" s="58"/>
    </row>
    <row r="383" spans="4:4" ht="15.75" customHeight="1">
      <c r="D383" s="58"/>
    </row>
    <row r="384" spans="4:4" ht="15.75" customHeight="1">
      <c r="D384" s="58"/>
    </row>
    <row r="385" spans="4:4" ht="15.75" customHeight="1">
      <c r="D385" s="58"/>
    </row>
    <row r="386" spans="4:4" ht="15.75" customHeight="1">
      <c r="D386" s="58"/>
    </row>
    <row r="387" spans="4:4" ht="15.75" customHeight="1">
      <c r="D387" s="58"/>
    </row>
    <row r="388" spans="4:4" ht="15.75" customHeight="1">
      <c r="D388" s="58"/>
    </row>
    <row r="389" spans="4:4" ht="15.75" customHeight="1">
      <c r="D389" s="58"/>
    </row>
    <row r="390" spans="4:4" ht="15.75" customHeight="1">
      <c r="D390" s="58"/>
    </row>
    <row r="391" spans="4:4" ht="15.75" customHeight="1">
      <c r="D391" s="58"/>
    </row>
    <row r="392" spans="4:4" ht="15.75" customHeight="1">
      <c r="D392" s="58"/>
    </row>
    <row r="393" spans="4:4" ht="15.75" customHeight="1">
      <c r="D393" s="58"/>
    </row>
    <row r="394" spans="4:4" ht="15.75" customHeight="1">
      <c r="D394" s="58"/>
    </row>
    <row r="395" spans="4:4" ht="15.75" customHeight="1">
      <c r="D395" s="58"/>
    </row>
    <row r="396" spans="4:4" ht="15.75" customHeight="1">
      <c r="D396" s="58"/>
    </row>
    <row r="397" spans="4:4" ht="15.75" customHeight="1">
      <c r="D397" s="58"/>
    </row>
    <row r="398" spans="4:4" ht="15.75" customHeight="1">
      <c r="D398" s="58"/>
    </row>
    <row r="399" spans="4:4" ht="15.75" customHeight="1">
      <c r="D399" s="58"/>
    </row>
    <row r="400" spans="4:4" ht="15.75" customHeight="1">
      <c r="D400" s="58"/>
    </row>
    <row r="401" spans="4:4" ht="15.75" customHeight="1">
      <c r="D401" s="58"/>
    </row>
    <row r="402" spans="4:4" ht="15.75" customHeight="1">
      <c r="D402" s="58"/>
    </row>
    <row r="403" spans="4:4" ht="15.75" customHeight="1">
      <c r="D403" s="58"/>
    </row>
    <row r="404" spans="4:4" ht="15.75" customHeight="1">
      <c r="D404" s="58"/>
    </row>
    <row r="405" spans="4:4" ht="15.75" customHeight="1">
      <c r="D405" s="58"/>
    </row>
    <row r="406" spans="4:4" ht="15.75" customHeight="1">
      <c r="D406" s="58"/>
    </row>
    <row r="407" spans="4:4" ht="15.75" customHeight="1">
      <c r="D407" s="58"/>
    </row>
    <row r="408" spans="4:4" ht="15.75" customHeight="1">
      <c r="D408" s="58"/>
    </row>
    <row r="409" spans="4:4" ht="15.75" customHeight="1">
      <c r="D409" s="58"/>
    </row>
    <row r="410" spans="4:4" ht="15.75" customHeight="1">
      <c r="D410" s="58"/>
    </row>
    <row r="411" spans="4:4" ht="15.75" customHeight="1">
      <c r="D411" s="58"/>
    </row>
    <row r="412" spans="4:4" ht="15.75" customHeight="1">
      <c r="D412" s="58"/>
    </row>
    <row r="413" spans="4:4" ht="15.75" customHeight="1">
      <c r="D413" s="58"/>
    </row>
    <row r="414" spans="4:4" ht="15.75" customHeight="1">
      <c r="D414" s="58"/>
    </row>
    <row r="415" spans="4:4" ht="15.75" customHeight="1">
      <c r="D415" s="58"/>
    </row>
    <row r="416" spans="4:4" ht="15.75" customHeight="1">
      <c r="D416" s="58"/>
    </row>
    <row r="417" spans="4:4" ht="15.75" customHeight="1">
      <c r="D417" s="58"/>
    </row>
    <row r="418" spans="4:4" ht="15.75" customHeight="1">
      <c r="D418" s="58"/>
    </row>
    <row r="419" spans="4:4" ht="15.75" customHeight="1">
      <c r="D419" s="58"/>
    </row>
    <row r="420" spans="4:4" ht="15.75" customHeight="1">
      <c r="D420" s="58"/>
    </row>
    <row r="421" spans="4:4" ht="15.75" customHeight="1">
      <c r="D421" s="58"/>
    </row>
    <row r="422" spans="4:4" ht="15.75" customHeight="1">
      <c r="D422" s="58"/>
    </row>
    <row r="423" spans="4:4" ht="15.75" customHeight="1">
      <c r="D423" s="58"/>
    </row>
    <row r="424" spans="4:4" ht="15.75" customHeight="1">
      <c r="D424" s="58"/>
    </row>
    <row r="425" spans="4:4" ht="15.75" customHeight="1">
      <c r="D425" s="58"/>
    </row>
    <row r="426" spans="4:4" ht="15.75" customHeight="1">
      <c r="D426" s="58"/>
    </row>
    <row r="427" spans="4:4" ht="15.75" customHeight="1">
      <c r="D427" s="58"/>
    </row>
    <row r="428" spans="4:4" ht="15.75" customHeight="1">
      <c r="D428" s="58"/>
    </row>
    <row r="429" spans="4:4" ht="15.75" customHeight="1">
      <c r="D429" s="58"/>
    </row>
    <row r="430" spans="4:4" ht="15.75" customHeight="1">
      <c r="D430" s="58"/>
    </row>
    <row r="431" spans="4:4" ht="15.75" customHeight="1">
      <c r="D431" s="58"/>
    </row>
    <row r="432" spans="4:4" ht="15.75" customHeight="1">
      <c r="D432" s="58"/>
    </row>
    <row r="433" spans="4:4" ht="15.75" customHeight="1">
      <c r="D433" s="58"/>
    </row>
    <row r="434" spans="4:4" ht="15.75" customHeight="1">
      <c r="D434" s="58"/>
    </row>
    <row r="435" spans="4:4" ht="15.75" customHeight="1">
      <c r="D435" s="58"/>
    </row>
    <row r="436" spans="4:4" ht="15.75" customHeight="1">
      <c r="D436" s="58"/>
    </row>
    <row r="437" spans="4:4" ht="15.75" customHeight="1">
      <c r="D437" s="58"/>
    </row>
    <row r="438" spans="4:4" ht="15.75" customHeight="1">
      <c r="D438" s="58"/>
    </row>
    <row r="439" spans="4:4" ht="15.75" customHeight="1">
      <c r="D439" s="58"/>
    </row>
    <row r="440" spans="4:4" ht="15.75" customHeight="1">
      <c r="D440" s="58"/>
    </row>
    <row r="441" spans="4:4" ht="15.75" customHeight="1">
      <c r="D441" s="58"/>
    </row>
    <row r="442" spans="4:4" ht="15.75" customHeight="1">
      <c r="D442" s="58"/>
    </row>
    <row r="443" spans="4:4" ht="15.75" customHeight="1">
      <c r="D443" s="58"/>
    </row>
    <row r="444" spans="4:4" ht="15.75" customHeight="1">
      <c r="D444" s="58"/>
    </row>
    <row r="445" spans="4:4" ht="15.75" customHeight="1">
      <c r="D445" s="58"/>
    </row>
    <row r="446" spans="4:4" ht="15.75" customHeight="1">
      <c r="D446" s="58"/>
    </row>
    <row r="447" spans="4:4" ht="15.75" customHeight="1">
      <c r="D447" s="58"/>
    </row>
    <row r="448" spans="4:4" ht="15.75" customHeight="1">
      <c r="D448" s="58"/>
    </row>
    <row r="449" spans="4:4" ht="15.75" customHeight="1">
      <c r="D449" s="58"/>
    </row>
    <row r="450" spans="4:4" ht="15.75" customHeight="1">
      <c r="D450" s="58"/>
    </row>
    <row r="451" spans="4:4" ht="15.75" customHeight="1">
      <c r="D451" s="58"/>
    </row>
    <row r="452" spans="4:4" ht="15.75" customHeight="1">
      <c r="D452" s="58"/>
    </row>
    <row r="453" spans="4:4" ht="15.75" customHeight="1">
      <c r="D453" s="58"/>
    </row>
    <row r="454" spans="4:4" ht="15.75" customHeight="1">
      <c r="D454" s="58"/>
    </row>
    <row r="455" spans="4:4" ht="15.75" customHeight="1">
      <c r="D455" s="58"/>
    </row>
    <row r="456" spans="4:4" ht="15.75" customHeight="1">
      <c r="D456" s="58"/>
    </row>
    <row r="457" spans="4:4" ht="15.75" customHeight="1">
      <c r="D457" s="58"/>
    </row>
    <row r="458" spans="4:4" ht="15.75" customHeight="1">
      <c r="D458" s="58"/>
    </row>
    <row r="459" spans="4:4" ht="15.75" customHeight="1">
      <c r="D459" s="58"/>
    </row>
    <row r="460" spans="4:4" ht="15.75" customHeight="1">
      <c r="D460" s="58"/>
    </row>
    <row r="461" spans="4:4" ht="15.75" customHeight="1">
      <c r="D461" s="58"/>
    </row>
    <row r="462" spans="4:4" ht="15.75" customHeight="1">
      <c r="D462" s="58"/>
    </row>
    <row r="463" spans="4:4" ht="15.75" customHeight="1">
      <c r="D463" s="58"/>
    </row>
    <row r="464" spans="4:4" ht="15.75" customHeight="1">
      <c r="D464" s="58"/>
    </row>
    <row r="465" spans="4:4" ht="15.75" customHeight="1">
      <c r="D465" s="58"/>
    </row>
    <row r="466" spans="4:4" ht="15.75" customHeight="1">
      <c r="D466" s="58"/>
    </row>
    <row r="467" spans="4:4" ht="15.75" customHeight="1">
      <c r="D467" s="58"/>
    </row>
    <row r="468" spans="4:4" ht="15.75" customHeight="1">
      <c r="D468" s="58"/>
    </row>
    <row r="469" spans="4:4" ht="15.75" customHeight="1">
      <c r="D469" s="58"/>
    </row>
    <row r="470" spans="4:4" ht="15.75" customHeight="1">
      <c r="D470" s="58"/>
    </row>
    <row r="471" spans="4:4" ht="15.75" customHeight="1">
      <c r="D471" s="58"/>
    </row>
    <row r="472" spans="4:4" ht="15.75" customHeight="1">
      <c r="D472" s="58"/>
    </row>
    <row r="473" spans="4:4" ht="15.75" customHeight="1">
      <c r="D473" s="58"/>
    </row>
    <row r="474" spans="4:4" ht="15.75" customHeight="1">
      <c r="D474" s="58"/>
    </row>
    <row r="475" spans="4:4" ht="15.75" customHeight="1">
      <c r="D475" s="58"/>
    </row>
    <row r="476" spans="4:4" ht="15.75" customHeight="1">
      <c r="D476" s="58"/>
    </row>
    <row r="477" spans="4:4" ht="15.75" customHeight="1">
      <c r="D477" s="58"/>
    </row>
    <row r="478" spans="4:4" ht="15.75" customHeight="1">
      <c r="D478" s="58"/>
    </row>
    <row r="479" spans="4:4" ht="15.75" customHeight="1">
      <c r="D479" s="58"/>
    </row>
    <row r="480" spans="4:4" ht="15.75" customHeight="1">
      <c r="D480" s="58"/>
    </row>
    <row r="481" spans="4:4" ht="15.75" customHeight="1">
      <c r="D481" s="58"/>
    </row>
    <row r="482" spans="4:4" ht="15.75" customHeight="1">
      <c r="D482" s="58"/>
    </row>
    <row r="483" spans="4:4" ht="15.75" customHeight="1">
      <c r="D483" s="58"/>
    </row>
    <row r="484" spans="4:4" ht="15.75" customHeight="1">
      <c r="D484" s="58"/>
    </row>
    <row r="485" spans="4:4" ht="15.75" customHeight="1">
      <c r="D485" s="58"/>
    </row>
    <row r="486" spans="4:4" ht="15.75" customHeight="1">
      <c r="D486" s="58"/>
    </row>
    <row r="487" spans="4:4" ht="15.75" customHeight="1">
      <c r="D487" s="58"/>
    </row>
    <row r="488" spans="4:4" ht="15.75" customHeight="1">
      <c r="D488" s="58"/>
    </row>
    <row r="489" spans="4:4" ht="15.75" customHeight="1">
      <c r="D489" s="58"/>
    </row>
    <row r="490" spans="4:4" ht="15.75" customHeight="1">
      <c r="D490" s="58"/>
    </row>
    <row r="491" spans="4:4" ht="15.75" customHeight="1">
      <c r="D491" s="58"/>
    </row>
    <row r="492" spans="4:4" ht="15.75" customHeight="1">
      <c r="D492" s="58"/>
    </row>
    <row r="493" spans="4:4" ht="15.75" customHeight="1">
      <c r="D493" s="58"/>
    </row>
    <row r="494" spans="4:4" ht="15.75" customHeight="1">
      <c r="D494" s="58"/>
    </row>
    <row r="495" spans="4:4" ht="15.75" customHeight="1">
      <c r="D495" s="58"/>
    </row>
    <row r="496" spans="4:4" ht="15.75" customHeight="1">
      <c r="D496" s="58"/>
    </row>
    <row r="497" spans="4:4" ht="15.75" customHeight="1">
      <c r="D497" s="58"/>
    </row>
    <row r="498" spans="4:4" ht="15.75" customHeight="1">
      <c r="D498" s="58"/>
    </row>
    <row r="499" spans="4:4" ht="15.75" customHeight="1">
      <c r="D499" s="58"/>
    </row>
    <row r="500" spans="4:4" ht="15.75" customHeight="1">
      <c r="D500" s="58"/>
    </row>
    <row r="501" spans="4:4" ht="15.75" customHeight="1">
      <c r="D501" s="58"/>
    </row>
    <row r="502" spans="4:4" ht="15.75" customHeight="1">
      <c r="D502" s="58"/>
    </row>
    <row r="503" spans="4:4" ht="15.75" customHeight="1">
      <c r="D503" s="58"/>
    </row>
    <row r="504" spans="4:4" ht="15.75" customHeight="1">
      <c r="D504" s="58"/>
    </row>
    <row r="505" spans="4:4" ht="15.75" customHeight="1">
      <c r="D505" s="58"/>
    </row>
    <row r="506" spans="4:4" ht="15.75" customHeight="1">
      <c r="D506" s="58"/>
    </row>
    <row r="507" spans="4:4" ht="15.75" customHeight="1">
      <c r="D507" s="58"/>
    </row>
    <row r="508" spans="4:4" ht="15.75" customHeight="1">
      <c r="D508" s="58"/>
    </row>
    <row r="509" spans="4:4" ht="15.75" customHeight="1">
      <c r="D509" s="58"/>
    </row>
    <row r="510" spans="4:4" ht="15.75" customHeight="1">
      <c r="D510" s="58"/>
    </row>
    <row r="511" spans="4:4" ht="15.75" customHeight="1">
      <c r="D511" s="58"/>
    </row>
    <row r="512" spans="4:4" ht="15.75" customHeight="1">
      <c r="D512" s="58"/>
    </row>
    <row r="513" spans="4:4" ht="15.75" customHeight="1">
      <c r="D513" s="58"/>
    </row>
    <row r="514" spans="4:4" ht="15.75" customHeight="1">
      <c r="D514" s="58"/>
    </row>
    <row r="515" spans="4:4" ht="15.75" customHeight="1">
      <c r="D515" s="58"/>
    </row>
    <row r="516" spans="4:4" ht="15.75" customHeight="1">
      <c r="D516" s="58"/>
    </row>
    <row r="517" spans="4:4" ht="15.75" customHeight="1">
      <c r="D517" s="58"/>
    </row>
    <row r="518" spans="4:4" ht="15.75" customHeight="1">
      <c r="D518" s="58"/>
    </row>
    <row r="519" spans="4:4" ht="15.75" customHeight="1">
      <c r="D519" s="58"/>
    </row>
    <row r="520" spans="4:4" ht="15.75" customHeight="1">
      <c r="D520" s="58"/>
    </row>
    <row r="521" spans="4:4" ht="15.75" customHeight="1">
      <c r="D521" s="58"/>
    </row>
    <row r="522" spans="4:4" ht="15.75" customHeight="1">
      <c r="D522" s="58"/>
    </row>
    <row r="523" spans="4:4" ht="15.75" customHeight="1">
      <c r="D523" s="58"/>
    </row>
    <row r="524" spans="4:4" ht="15.75" customHeight="1">
      <c r="D524" s="58"/>
    </row>
    <row r="525" spans="4:4" ht="15.75" customHeight="1">
      <c r="D525" s="58"/>
    </row>
    <row r="526" spans="4:4" ht="15.75" customHeight="1">
      <c r="D526" s="58"/>
    </row>
    <row r="527" spans="4:4" ht="15.75" customHeight="1">
      <c r="D527" s="58"/>
    </row>
    <row r="528" spans="4:4" ht="15.75" customHeight="1">
      <c r="D528" s="58"/>
    </row>
    <row r="529" spans="4:4" ht="15.75" customHeight="1">
      <c r="D529" s="58"/>
    </row>
    <row r="530" spans="4:4" ht="15.75" customHeight="1">
      <c r="D530" s="58"/>
    </row>
    <row r="531" spans="4:4" ht="15.75" customHeight="1">
      <c r="D531" s="58"/>
    </row>
    <row r="532" spans="4:4" ht="15.75" customHeight="1">
      <c r="D532" s="58"/>
    </row>
    <row r="533" spans="4:4" ht="15.75" customHeight="1">
      <c r="D533" s="58"/>
    </row>
    <row r="534" spans="4:4" ht="15.75" customHeight="1">
      <c r="D534" s="58"/>
    </row>
    <row r="535" spans="4:4" ht="15.75" customHeight="1">
      <c r="D535" s="58"/>
    </row>
    <row r="536" spans="4:4" ht="15.75" customHeight="1">
      <c r="D536" s="58"/>
    </row>
    <row r="537" spans="4:4" ht="15.75" customHeight="1">
      <c r="D537" s="58"/>
    </row>
    <row r="538" spans="4:4" ht="15.75" customHeight="1">
      <c r="D538" s="58"/>
    </row>
    <row r="539" spans="4:4" ht="15.75" customHeight="1">
      <c r="D539" s="58"/>
    </row>
    <row r="540" spans="4:4" ht="15.75" customHeight="1">
      <c r="D540" s="58"/>
    </row>
    <row r="541" spans="4:4" ht="15.75" customHeight="1">
      <c r="D541" s="58"/>
    </row>
    <row r="542" spans="4:4" ht="15.75" customHeight="1">
      <c r="D542" s="58"/>
    </row>
    <row r="543" spans="4:4" ht="15.75" customHeight="1">
      <c r="D543" s="58"/>
    </row>
    <row r="544" spans="4:4" ht="15.75" customHeight="1">
      <c r="D544" s="58"/>
    </row>
    <row r="545" spans="4:4" ht="15.75" customHeight="1">
      <c r="D545" s="58"/>
    </row>
    <row r="546" spans="4:4" ht="15.75" customHeight="1">
      <c r="D546" s="58"/>
    </row>
    <row r="547" spans="4:4" ht="15.75" customHeight="1">
      <c r="D547" s="58"/>
    </row>
    <row r="548" spans="4:4" ht="15.75" customHeight="1">
      <c r="D548" s="58"/>
    </row>
    <row r="549" spans="4:4" ht="15.75" customHeight="1">
      <c r="D549" s="58"/>
    </row>
    <row r="550" spans="4:4" ht="15.75" customHeight="1">
      <c r="D550" s="58"/>
    </row>
    <row r="551" spans="4:4" ht="15.75" customHeight="1">
      <c r="D551" s="58"/>
    </row>
    <row r="552" spans="4:4" ht="15.75" customHeight="1">
      <c r="D552" s="58"/>
    </row>
    <row r="553" spans="4:4" ht="15.75" customHeight="1">
      <c r="D553" s="58"/>
    </row>
    <row r="554" spans="4:4" ht="15.75" customHeight="1">
      <c r="D554" s="58"/>
    </row>
    <row r="555" spans="4:4" ht="15.75" customHeight="1">
      <c r="D555" s="58"/>
    </row>
    <row r="556" spans="4:4" ht="15.75" customHeight="1">
      <c r="D556" s="58"/>
    </row>
    <row r="557" spans="4:4" ht="15.75" customHeight="1">
      <c r="D557" s="58"/>
    </row>
    <row r="558" spans="4:4" ht="15.75" customHeight="1">
      <c r="D558" s="58"/>
    </row>
    <row r="559" spans="4:4" ht="15.75" customHeight="1">
      <c r="D559" s="58"/>
    </row>
    <row r="560" spans="4:4" ht="15.75" customHeight="1">
      <c r="D560" s="58"/>
    </row>
    <row r="561" spans="4:4" ht="15.75" customHeight="1">
      <c r="D561" s="58"/>
    </row>
    <row r="562" spans="4:4" ht="15.75" customHeight="1">
      <c r="D562" s="58"/>
    </row>
    <row r="563" spans="4:4" ht="15.75" customHeight="1">
      <c r="D563" s="58"/>
    </row>
    <row r="564" spans="4:4" ht="15.75" customHeight="1">
      <c r="D564" s="58"/>
    </row>
    <row r="565" spans="4:4" ht="15.75" customHeight="1">
      <c r="D565" s="58"/>
    </row>
    <row r="566" spans="4:4" ht="15.75" customHeight="1">
      <c r="D566" s="58"/>
    </row>
    <row r="567" spans="4:4" ht="15.75" customHeight="1">
      <c r="D567" s="58"/>
    </row>
    <row r="568" spans="4:4" ht="15.75" customHeight="1">
      <c r="D568" s="58"/>
    </row>
    <row r="569" spans="4:4" ht="15.75" customHeight="1">
      <c r="D569" s="58"/>
    </row>
    <row r="570" spans="4:4" ht="15.75" customHeight="1">
      <c r="D570" s="58"/>
    </row>
    <row r="571" spans="4:4" ht="15.75" customHeight="1">
      <c r="D571" s="58"/>
    </row>
    <row r="572" spans="4:4" ht="15.75" customHeight="1">
      <c r="D572" s="58"/>
    </row>
    <row r="573" spans="4:4" ht="15.75" customHeight="1">
      <c r="D573" s="58"/>
    </row>
    <row r="574" spans="4:4" ht="15.75" customHeight="1">
      <c r="D574" s="58"/>
    </row>
    <row r="575" spans="4:4" ht="15.75" customHeight="1">
      <c r="D575" s="58"/>
    </row>
    <row r="576" spans="4:4" ht="15.75" customHeight="1">
      <c r="D576" s="58"/>
    </row>
    <row r="577" spans="4:4" ht="15.75" customHeight="1">
      <c r="D577" s="58"/>
    </row>
    <row r="578" spans="4:4" ht="15.75" customHeight="1">
      <c r="D578" s="58"/>
    </row>
    <row r="579" spans="4:4" ht="15.75" customHeight="1">
      <c r="D579" s="58"/>
    </row>
    <row r="580" spans="4:4" ht="15.75" customHeight="1">
      <c r="D580" s="58"/>
    </row>
    <row r="581" spans="4:4" ht="15.75" customHeight="1">
      <c r="D581" s="58"/>
    </row>
    <row r="582" spans="4:4" ht="15.75" customHeight="1">
      <c r="D582" s="58"/>
    </row>
    <row r="583" spans="4:4" ht="15.75" customHeight="1">
      <c r="D583" s="58"/>
    </row>
    <row r="584" spans="4:4" ht="15.75" customHeight="1">
      <c r="D584" s="58"/>
    </row>
    <row r="585" spans="4:4" ht="15.75" customHeight="1">
      <c r="D585" s="58"/>
    </row>
    <row r="586" spans="4:4" ht="15.75" customHeight="1">
      <c r="D586" s="58"/>
    </row>
    <row r="587" spans="4:4" ht="15.75" customHeight="1">
      <c r="D587" s="58"/>
    </row>
    <row r="588" spans="4:4" ht="15.75" customHeight="1">
      <c r="D588" s="58"/>
    </row>
    <row r="589" spans="4:4" ht="15.75" customHeight="1">
      <c r="D589" s="58"/>
    </row>
    <row r="590" spans="4:4" ht="15.75" customHeight="1">
      <c r="D590" s="58"/>
    </row>
    <row r="591" spans="4:4" ht="15.75" customHeight="1">
      <c r="D591" s="58"/>
    </row>
    <row r="592" spans="4:4" ht="15.75" customHeight="1">
      <c r="D592" s="58"/>
    </row>
    <row r="593" spans="4:4" ht="15.75" customHeight="1">
      <c r="D593" s="58"/>
    </row>
    <row r="594" spans="4:4" ht="15.75" customHeight="1">
      <c r="D594" s="58"/>
    </row>
    <row r="595" spans="4:4" ht="15.75" customHeight="1">
      <c r="D595" s="58"/>
    </row>
    <row r="596" spans="4:4" ht="15.75" customHeight="1">
      <c r="D596" s="58"/>
    </row>
    <row r="597" spans="4:4" ht="15.75" customHeight="1">
      <c r="D597" s="58"/>
    </row>
    <row r="598" spans="4:4" ht="15.75" customHeight="1">
      <c r="D598" s="58"/>
    </row>
    <row r="599" spans="4:4" ht="15.75" customHeight="1">
      <c r="D599" s="58"/>
    </row>
    <row r="600" spans="4:4" ht="15.75" customHeight="1">
      <c r="D600" s="58"/>
    </row>
    <row r="601" spans="4:4" ht="15.75" customHeight="1">
      <c r="D601" s="58"/>
    </row>
    <row r="602" spans="4:4" ht="15.75" customHeight="1">
      <c r="D602" s="58"/>
    </row>
    <row r="603" spans="4:4" ht="15.75" customHeight="1">
      <c r="D603" s="58"/>
    </row>
    <row r="604" spans="4:4" ht="15.75" customHeight="1">
      <c r="D604" s="58"/>
    </row>
    <row r="605" spans="4:4" ht="15.75" customHeight="1">
      <c r="D605" s="58"/>
    </row>
    <row r="606" spans="4:4" ht="15.75" customHeight="1">
      <c r="D606" s="58"/>
    </row>
    <row r="607" spans="4:4" ht="15.75" customHeight="1">
      <c r="D607" s="58"/>
    </row>
    <row r="608" spans="4:4" ht="15.75" customHeight="1">
      <c r="D608" s="58"/>
    </row>
    <row r="609" spans="4:4" ht="15.75" customHeight="1">
      <c r="D609" s="58"/>
    </row>
    <row r="610" spans="4:4" ht="15.75" customHeight="1">
      <c r="D610" s="58"/>
    </row>
    <row r="611" spans="4:4" ht="15.75" customHeight="1">
      <c r="D611" s="58"/>
    </row>
    <row r="612" spans="4:4" ht="15.75" customHeight="1">
      <c r="D612" s="58"/>
    </row>
    <row r="613" spans="4:4" ht="15.75" customHeight="1">
      <c r="D613" s="58"/>
    </row>
    <row r="614" spans="4:4" ht="15.75" customHeight="1">
      <c r="D614" s="58"/>
    </row>
    <row r="615" spans="4:4" ht="15.75" customHeight="1">
      <c r="D615" s="58"/>
    </row>
    <row r="616" spans="4:4" ht="15.75" customHeight="1">
      <c r="D616" s="58"/>
    </row>
    <row r="617" spans="4:4" ht="15.75" customHeight="1">
      <c r="D617" s="58"/>
    </row>
    <row r="618" spans="4:4" ht="15.75" customHeight="1">
      <c r="D618" s="58"/>
    </row>
    <row r="619" spans="4:4" ht="15.75" customHeight="1">
      <c r="D619" s="58"/>
    </row>
    <row r="620" spans="4:4" ht="15.75" customHeight="1">
      <c r="D620" s="58"/>
    </row>
    <row r="621" spans="4:4" ht="15.75" customHeight="1">
      <c r="D621" s="58"/>
    </row>
    <row r="622" spans="4:4" ht="15.75" customHeight="1">
      <c r="D622" s="58"/>
    </row>
    <row r="623" spans="4:4" ht="15.75" customHeight="1">
      <c r="D623" s="58"/>
    </row>
    <row r="624" spans="4:4" ht="15.75" customHeight="1">
      <c r="D624" s="58"/>
    </row>
    <row r="625" spans="4:4" ht="15.75" customHeight="1">
      <c r="D625" s="58"/>
    </row>
    <row r="626" spans="4:4" ht="15.75" customHeight="1">
      <c r="D626" s="58"/>
    </row>
    <row r="627" spans="4:4" ht="15.75" customHeight="1">
      <c r="D627" s="58"/>
    </row>
    <row r="628" spans="4:4" ht="15.75" customHeight="1">
      <c r="D628" s="58"/>
    </row>
    <row r="629" spans="4:4" ht="15.75" customHeight="1">
      <c r="D629" s="58"/>
    </row>
    <row r="630" spans="4:4" ht="15.75" customHeight="1">
      <c r="D630" s="58"/>
    </row>
    <row r="631" spans="4:4" ht="15.75" customHeight="1">
      <c r="D631" s="58"/>
    </row>
    <row r="632" spans="4:4" ht="15.75" customHeight="1">
      <c r="D632" s="58"/>
    </row>
    <row r="633" spans="4:4" ht="15.75" customHeight="1">
      <c r="D633" s="58"/>
    </row>
    <row r="634" spans="4:4" ht="15.75" customHeight="1">
      <c r="D634" s="58"/>
    </row>
    <row r="635" spans="4:4" ht="15.75" customHeight="1">
      <c r="D635" s="58"/>
    </row>
    <row r="636" spans="4:4" ht="15.75" customHeight="1">
      <c r="D636" s="58"/>
    </row>
    <row r="637" spans="4:4" ht="15.75" customHeight="1">
      <c r="D637" s="58"/>
    </row>
    <row r="638" spans="4:4" ht="15.75" customHeight="1">
      <c r="D638" s="58"/>
    </row>
    <row r="639" spans="4:4" ht="15.75" customHeight="1">
      <c r="D639" s="58"/>
    </row>
    <row r="640" spans="4:4" ht="15.75" customHeight="1">
      <c r="D640" s="58"/>
    </row>
    <row r="641" spans="4:4" ht="15.75" customHeight="1">
      <c r="D641" s="58"/>
    </row>
    <row r="642" spans="4:4" ht="15.75" customHeight="1">
      <c r="D642" s="58"/>
    </row>
    <row r="643" spans="4:4" ht="15.75" customHeight="1">
      <c r="D643" s="58"/>
    </row>
    <row r="644" spans="4:4" ht="15.75" customHeight="1">
      <c r="D644" s="58"/>
    </row>
    <row r="645" spans="4:4" ht="15.75" customHeight="1">
      <c r="D645" s="58"/>
    </row>
    <row r="646" spans="4:4" ht="15.75" customHeight="1">
      <c r="D646" s="58"/>
    </row>
    <row r="647" spans="4:4" ht="15.75" customHeight="1">
      <c r="D647" s="58"/>
    </row>
    <row r="648" spans="4:4" ht="15.75" customHeight="1">
      <c r="D648" s="58"/>
    </row>
    <row r="649" spans="4:4" ht="15.75" customHeight="1">
      <c r="D649" s="58"/>
    </row>
    <row r="650" spans="4:4" ht="15.75" customHeight="1">
      <c r="D650" s="58"/>
    </row>
    <row r="651" spans="4:4" ht="15.75" customHeight="1">
      <c r="D651" s="58"/>
    </row>
    <row r="652" spans="4:4" ht="15.75" customHeight="1">
      <c r="D652" s="58"/>
    </row>
    <row r="653" spans="4:4" ht="15.75" customHeight="1">
      <c r="D653" s="58"/>
    </row>
    <row r="654" spans="4:4" ht="15.75" customHeight="1">
      <c r="D654" s="58"/>
    </row>
    <row r="655" spans="4:4" ht="15.75" customHeight="1">
      <c r="D655" s="58"/>
    </row>
    <row r="656" spans="4:4" ht="15.75" customHeight="1">
      <c r="D656" s="58"/>
    </row>
    <row r="657" spans="4:4" ht="15.75" customHeight="1">
      <c r="D657" s="58"/>
    </row>
    <row r="658" spans="4:4" ht="15.75" customHeight="1">
      <c r="D658" s="58"/>
    </row>
    <row r="659" spans="4:4" ht="15.75" customHeight="1">
      <c r="D659" s="58"/>
    </row>
    <row r="660" spans="4:4" ht="15.75" customHeight="1">
      <c r="D660" s="58"/>
    </row>
    <row r="661" spans="4:4" ht="15.75" customHeight="1">
      <c r="D661" s="58"/>
    </row>
    <row r="662" spans="4:4" ht="15.75" customHeight="1">
      <c r="D662" s="58"/>
    </row>
    <row r="663" spans="4:4" ht="15.75" customHeight="1">
      <c r="D663" s="58"/>
    </row>
    <row r="664" spans="4:4" ht="15.75" customHeight="1">
      <c r="D664" s="58"/>
    </row>
    <row r="665" spans="4:4" ht="15.75" customHeight="1">
      <c r="D665" s="58"/>
    </row>
    <row r="666" spans="4:4" ht="15.75" customHeight="1">
      <c r="D666" s="58"/>
    </row>
    <row r="667" spans="4:4" ht="15.75" customHeight="1">
      <c r="D667" s="58"/>
    </row>
    <row r="668" spans="4:4" ht="15.75" customHeight="1">
      <c r="D668" s="58"/>
    </row>
    <row r="669" spans="4:4" ht="15.75" customHeight="1">
      <c r="D669" s="58"/>
    </row>
    <row r="670" spans="4:4" ht="15.75" customHeight="1">
      <c r="D670" s="58"/>
    </row>
    <row r="671" spans="4:4" ht="15.75" customHeight="1">
      <c r="D671" s="58"/>
    </row>
    <row r="672" spans="4:4" ht="15.75" customHeight="1">
      <c r="D672" s="58"/>
    </row>
    <row r="673" spans="4:4" ht="15.75" customHeight="1">
      <c r="D673" s="58"/>
    </row>
    <row r="674" spans="4:4" ht="15.75" customHeight="1">
      <c r="D674" s="58"/>
    </row>
    <row r="675" spans="4:4" ht="15.75" customHeight="1">
      <c r="D675" s="58"/>
    </row>
    <row r="676" spans="4:4" ht="15.75" customHeight="1">
      <c r="D676" s="58"/>
    </row>
    <row r="677" spans="4:4" ht="15.75" customHeight="1">
      <c r="D677" s="58"/>
    </row>
    <row r="678" spans="4:4" ht="15.75" customHeight="1">
      <c r="D678" s="58"/>
    </row>
    <row r="679" spans="4:4" ht="15.75" customHeight="1">
      <c r="D679" s="58"/>
    </row>
    <row r="680" spans="4:4" ht="15.75" customHeight="1">
      <c r="D680" s="58"/>
    </row>
    <row r="681" spans="4:4" ht="15.75" customHeight="1">
      <c r="D681" s="58"/>
    </row>
    <row r="682" spans="4:4" ht="15.75" customHeight="1">
      <c r="D682" s="58"/>
    </row>
    <row r="683" spans="4:4" ht="15.75" customHeight="1">
      <c r="D683" s="58"/>
    </row>
    <row r="684" spans="4:4" ht="15.75" customHeight="1">
      <c r="D684" s="58"/>
    </row>
    <row r="685" spans="4:4" ht="15.75" customHeight="1">
      <c r="D685" s="58"/>
    </row>
    <row r="686" spans="4:4" ht="15.75" customHeight="1">
      <c r="D686" s="58"/>
    </row>
    <row r="687" spans="4:4" ht="15.75" customHeight="1">
      <c r="D687" s="58"/>
    </row>
    <row r="688" spans="4:4" ht="15.75" customHeight="1">
      <c r="D688" s="58"/>
    </row>
    <row r="689" spans="4:4" ht="15.75" customHeight="1">
      <c r="D689" s="58"/>
    </row>
    <row r="690" spans="4:4" ht="15.75" customHeight="1">
      <c r="D690" s="58"/>
    </row>
    <row r="691" spans="4:4" ht="15.75" customHeight="1">
      <c r="D691" s="58"/>
    </row>
    <row r="692" spans="4:4" ht="15.75" customHeight="1">
      <c r="D692" s="58"/>
    </row>
    <row r="693" spans="4:4" ht="15.75" customHeight="1">
      <c r="D693" s="58"/>
    </row>
    <row r="694" spans="4:4" ht="15.75" customHeight="1">
      <c r="D694" s="58"/>
    </row>
    <row r="695" spans="4:4" ht="15.75" customHeight="1">
      <c r="D695" s="58"/>
    </row>
    <row r="696" spans="4:4" ht="15.75" customHeight="1">
      <c r="D696" s="58"/>
    </row>
    <row r="697" spans="4:4" ht="15.75" customHeight="1">
      <c r="D697" s="58"/>
    </row>
    <row r="698" spans="4:4" ht="15.75" customHeight="1">
      <c r="D698" s="58"/>
    </row>
    <row r="699" spans="4:4" ht="15.75" customHeight="1">
      <c r="D699" s="58"/>
    </row>
    <row r="700" spans="4:4" ht="15.75" customHeight="1">
      <c r="D700" s="58"/>
    </row>
    <row r="701" spans="4:4" ht="15.75" customHeight="1">
      <c r="D701" s="58"/>
    </row>
    <row r="702" spans="4:4" ht="15.75" customHeight="1">
      <c r="D702" s="58"/>
    </row>
    <row r="703" spans="4:4" ht="15.75" customHeight="1">
      <c r="D703" s="58"/>
    </row>
    <row r="704" spans="4:4" ht="15.75" customHeight="1">
      <c r="D704" s="58"/>
    </row>
    <row r="705" spans="4:4" ht="15.75" customHeight="1">
      <c r="D705" s="58"/>
    </row>
    <row r="706" spans="4:4" ht="15.75" customHeight="1">
      <c r="D706" s="58"/>
    </row>
    <row r="707" spans="4:4" ht="15.75" customHeight="1">
      <c r="D707" s="58"/>
    </row>
    <row r="708" spans="4:4" ht="15.75" customHeight="1">
      <c r="D708" s="58"/>
    </row>
    <row r="709" spans="4:4" ht="15.75" customHeight="1">
      <c r="D709" s="58"/>
    </row>
    <row r="710" spans="4:4" ht="15.75" customHeight="1">
      <c r="D710" s="58"/>
    </row>
    <row r="711" spans="4:4" ht="15.75" customHeight="1">
      <c r="D711" s="58"/>
    </row>
    <row r="712" spans="4:4" ht="15.75" customHeight="1">
      <c r="D712" s="58"/>
    </row>
    <row r="713" spans="4:4" ht="15.75" customHeight="1">
      <c r="D713" s="58"/>
    </row>
    <row r="714" spans="4:4" ht="15.75" customHeight="1">
      <c r="D714" s="58"/>
    </row>
    <row r="715" spans="4:4" ht="15.75" customHeight="1">
      <c r="D715" s="58"/>
    </row>
    <row r="716" spans="4:4" ht="15.75" customHeight="1">
      <c r="D716" s="58"/>
    </row>
    <row r="717" spans="4:4" ht="15.75" customHeight="1">
      <c r="D717" s="58"/>
    </row>
    <row r="718" spans="4:4" ht="15.75" customHeight="1">
      <c r="D718" s="58"/>
    </row>
    <row r="719" spans="4:4" ht="15.75" customHeight="1">
      <c r="D719" s="58"/>
    </row>
    <row r="720" spans="4:4" ht="15.75" customHeight="1">
      <c r="D720" s="58"/>
    </row>
    <row r="721" spans="4:4" ht="15.75" customHeight="1">
      <c r="D721" s="58"/>
    </row>
    <row r="722" spans="4:4" ht="15.75" customHeight="1">
      <c r="D722" s="58"/>
    </row>
    <row r="723" spans="4:4" ht="15.75" customHeight="1">
      <c r="D723" s="58"/>
    </row>
    <row r="724" spans="4:4" ht="15.75" customHeight="1">
      <c r="D724" s="58"/>
    </row>
    <row r="725" spans="4:4" ht="15.75" customHeight="1">
      <c r="D725" s="58"/>
    </row>
    <row r="726" spans="4:4" ht="15.75" customHeight="1">
      <c r="D726" s="58"/>
    </row>
    <row r="727" spans="4:4" ht="15.75" customHeight="1">
      <c r="D727" s="58"/>
    </row>
    <row r="728" spans="4:4" ht="15.75" customHeight="1">
      <c r="D728" s="58"/>
    </row>
    <row r="729" spans="4:4" ht="15.75" customHeight="1">
      <c r="D729" s="58"/>
    </row>
    <row r="730" spans="4:4" ht="15.75" customHeight="1">
      <c r="D730" s="58"/>
    </row>
    <row r="731" spans="4:4" ht="15.75" customHeight="1">
      <c r="D731" s="58"/>
    </row>
    <row r="732" spans="4:4" ht="15.75" customHeight="1">
      <c r="D732" s="58"/>
    </row>
    <row r="733" spans="4:4" ht="15.75" customHeight="1">
      <c r="D733" s="58"/>
    </row>
    <row r="734" spans="4:4" ht="15.75" customHeight="1">
      <c r="D734" s="58"/>
    </row>
    <row r="735" spans="4:4" ht="15.75" customHeight="1">
      <c r="D735" s="58"/>
    </row>
    <row r="736" spans="4:4" ht="15.75" customHeight="1">
      <c r="D736" s="58"/>
    </row>
    <row r="737" spans="4:4" ht="15.75" customHeight="1">
      <c r="D737" s="58"/>
    </row>
    <row r="738" spans="4:4" ht="15.75" customHeight="1">
      <c r="D738" s="58"/>
    </row>
    <row r="739" spans="4:4" ht="15.75" customHeight="1">
      <c r="D739" s="58"/>
    </row>
    <row r="740" spans="4:4" ht="15.75" customHeight="1">
      <c r="D740" s="58"/>
    </row>
    <row r="741" spans="4:4" ht="15.75" customHeight="1">
      <c r="D741" s="58"/>
    </row>
    <row r="742" spans="4:4" ht="15.75" customHeight="1">
      <c r="D742" s="58"/>
    </row>
    <row r="743" spans="4:4" ht="15.75" customHeight="1">
      <c r="D743" s="58"/>
    </row>
    <row r="744" spans="4:4" ht="15.75" customHeight="1">
      <c r="D744" s="58"/>
    </row>
    <row r="745" spans="4:4" ht="15.75" customHeight="1">
      <c r="D745" s="58"/>
    </row>
    <row r="746" spans="4:4" ht="15.75" customHeight="1">
      <c r="D746" s="58"/>
    </row>
    <row r="747" spans="4:4" ht="15.75" customHeight="1">
      <c r="D747" s="58"/>
    </row>
    <row r="748" spans="4:4" ht="15.75" customHeight="1">
      <c r="D748" s="58"/>
    </row>
    <row r="749" spans="4:4" ht="15.75" customHeight="1">
      <c r="D749" s="58"/>
    </row>
    <row r="750" spans="4:4" ht="15.75" customHeight="1">
      <c r="D750" s="58"/>
    </row>
    <row r="751" spans="4:4" ht="15.75" customHeight="1">
      <c r="D751" s="58"/>
    </row>
    <row r="752" spans="4:4" ht="15.75" customHeight="1">
      <c r="D752" s="58"/>
    </row>
    <row r="753" spans="4:4" ht="15.75" customHeight="1">
      <c r="D753" s="58"/>
    </row>
    <row r="754" spans="4:4" ht="15.75" customHeight="1">
      <c r="D754" s="58"/>
    </row>
    <row r="755" spans="4:4" ht="15.75" customHeight="1">
      <c r="D755" s="58"/>
    </row>
    <row r="756" spans="4:4" ht="15.75" customHeight="1">
      <c r="D756" s="58"/>
    </row>
    <row r="757" spans="4:4" ht="15.75" customHeight="1">
      <c r="D757" s="58"/>
    </row>
    <row r="758" spans="4:4" ht="15.75" customHeight="1">
      <c r="D758" s="58"/>
    </row>
    <row r="759" spans="4:4" ht="15.75" customHeight="1">
      <c r="D759" s="58"/>
    </row>
    <row r="760" spans="4:4" ht="15.75" customHeight="1">
      <c r="D760" s="58"/>
    </row>
    <row r="761" spans="4:4" ht="15.75" customHeight="1">
      <c r="D761" s="58"/>
    </row>
    <row r="762" spans="4:4" ht="15.75" customHeight="1">
      <c r="D762" s="58"/>
    </row>
    <row r="763" spans="4:4" ht="15.75" customHeight="1">
      <c r="D763" s="58"/>
    </row>
    <row r="764" spans="4:4" ht="15.75" customHeight="1">
      <c r="D764" s="58"/>
    </row>
    <row r="765" spans="4:4" ht="15.75" customHeight="1">
      <c r="D765" s="58"/>
    </row>
    <row r="766" spans="4:4" ht="15.75" customHeight="1">
      <c r="D766" s="58"/>
    </row>
    <row r="767" spans="4:4" ht="15.75" customHeight="1">
      <c r="D767" s="58"/>
    </row>
    <row r="768" spans="4:4" ht="15.75" customHeight="1">
      <c r="D768" s="58"/>
    </row>
    <row r="769" spans="4:4" ht="15.75" customHeight="1">
      <c r="D769" s="58"/>
    </row>
    <row r="770" spans="4:4" ht="15.75" customHeight="1">
      <c r="D770" s="58"/>
    </row>
    <row r="771" spans="4:4" ht="15.75" customHeight="1">
      <c r="D771" s="58"/>
    </row>
    <row r="772" spans="4:4" ht="15.75" customHeight="1">
      <c r="D772" s="58"/>
    </row>
    <row r="773" spans="4:4" ht="15.75" customHeight="1">
      <c r="D773" s="58"/>
    </row>
    <row r="774" spans="4:4" ht="15.75" customHeight="1">
      <c r="D774" s="58"/>
    </row>
    <row r="775" spans="4:4" ht="15.75" customHeight="1">
      <c r="D775" s="58"/>
    </row>
    <row r="776" spans="4:4" ht="15.75" customHeight="1">
      <c r="D776" s="58"/>
    </row>
    <row r="777" spans="4:4" ht="15.75" customHeight="1">
      <c r="D777" s="58"/>
    </row>
    <row r="778" spans="4:4" ht="15.75" customHeight="1">
      <c r="D778" s="58"/>
    </row>
    <row r="779" spans="4:4" ht="15.75" customHeight="1">
      <c r="D779" s="58"/>
    </row>
    <row r="780" spans="4:4" ht="15.75" customHeight="1">
      <c r="D780" s="58"/>
    </row>
    <row r="781" spans="4:4" ht="15.75" customHeight="1">
      <c r="D781" s="58"/>
    </row>
    <row r="782" spans="4:4" ht="15.75" customHeight="1">
      <c r="D782" s="58"/>
    </row>
    <row r="783" spans="4:4" ht="15.75" customHeight="1">
      <c r="D783" s="58"/>
    </row>
    <row r="784" spans="4:4" ht="15.75" customHeight="1">
      <c r="D784" s="58"/>
    </row>
    <row r="785" spans="4:4" ht="15.75" customHeight="1">
      <c r="D785" s="58"/>
    </row>
    <row r="786" spans="4:4" ht="15.75" customHeight="1">
      <c r="D786" s="58"/>
    </row>
    <row r="787" spans="4:4" ht="15.75" customHeight="1">
      <c r="D787" s="58"/>
    </row>
    <row r="788" spans="4:4" ht="15.75" customHeight="1">
      <c r="D788" s="58"/>
    </row>
    <row r="789" spans="4:4" ht="15.75" customHeight="1">
      <c r="D789" s="58"/>
    </row>
    <row r="790" spans="4:4" ht="15.75" customHeight="1">
      <c r="D790" s="58"/>
    </row>
    <row r="791" spans="4:4" ht="15.75" customHeight="1">
      <c r="D791" s="58"/>
    </row>
    <row r="792" spans="4:4" ht="15.75" customHeight="1">
      <c r="D792" s="58"/>
    </row>
    <row r="793" spans="4:4" ht="15.75" customHeight="1">
      <c r="D793" s="58"/>
    </row>
    <row r="794" spans="4:4" ht="15.75" customHeight="1">
      <c r="D794" s="58"/>
    </row>
    <row r="795" spans="4:4" ht="15.75" customHeight="1">
      <c r="D795" s="58"/>
    </row>
    <row r="796" spans="4:4" ht="15.75" customHeight="1">
      <c r="D796" s="58"/>
    </row>
    <row r="797" spans="4:4" ht="15.75" customHeight="1">
      <c r="D797" s="58"/>
    </row>
    <row r="798" spans="4:4" ht="15.75" customHeight="1">
      <c r="D798" s="58"/>
    </row>
    <row r="799" spans="4:4" ht="15.75" customHeight="1">
      <c r="D799" s="58"/>
    </row>
    <row r="800" spans="4:4" ht="15.75" customHeight="1">
      <c r="D800" s="58"/>
    </row>
    <row r="801" spans="4:4" ht="15.75" customHeight="1">
      <c r="D801" s="58"/>
    </row>
    <row r="802" spans="4:4" ht="15.75" customHeight="1">
      <c r="D802" s="58"/>
    </row>
    <row r="803" spans="4:4" ht="15.75" customHeight="1">
      <c r="D803" s="58"/>
    </row>
    <row r="804" spans="4:4" ht="15.75" customHeight="1">
      <c r="D804" s="58"/>
    </row>
    <row r="805" spans="4:4" ht="15.75" customHeight="1">
      <c r="D805" s="58"/>
    </row>
    <row r="806" spans="4:4" ht="15.75" customHeight="1">
      <c r="D806" s="58"/>
    </row>
    <row r="807" spans="4:4" ht="15.75" customHeight="1">
      <c r="D807" s="58"/>
    </row>
    <row r="808" spans="4:4" ht="15.75" customHeight="1">
      <c r="D808" s="58"/>
    </row>
    <row r="809" spans="4:4" ht="15.75" customHeight="1">
      <c r="D809" s="58"/>
    </row>
    <row r="810" spans="4:4" ht="15.75" customHeight="1">
      <c r="D810" s="58"/>
    </row>
    <row r="811" spans="4:4" ht="15.75" customHeight="1">
      <c r="D811" s="58"/>
    </row>
    <row r="812" spans="4:4" ht="15.75" customHeight="1">
      <c r="D812" s="58"/>
    </row>
    <row r="813" spans="4:4" ht="15.75" customHeight="1">
      <c r="D813" s="58"/>
    </row>
    <row r="814" spans="4:4" ht="15.75" customHeight="1">
      <c r="D814" s="58"/>
    </row>
    <row r="815" spans="4:4" ht="15.75" customHeight="1">
      <c r="D815" s="58"/>
    </row>
    <row r="816" spans="4:4" ht="15.75" customHeight="1">
      <c r="D816" s="58"/>
    </row>
    <row r="817" spans="4:4" ht="15.75" customHeight="1">
      <c r="D817" s="58"/>
    </row>
    <row r="818" spans="4:4" ht="15.75" customHeight="1">
      <c r="D818" s="58"/>
    </row>
    <row r="819" spans="4:4" ht="15.75" customHeight="1">
      <c r="D819" s="58"/>
    </row>
    <row r="820" spans="4:4" ht="15.75" customHeight="1">
      <c r="D820" s="58"/>
    </row>
    <row r="821" spans="4:4" ht="15.75" customHeight="1">
      <c r="D821" s="58"/>
    </row>
    <row r="822" spans="4:4" ht="15.75" customHeight="1">
      <c r="D822" s="58"/>
    </row>
    <row r="823" spans="4:4" ht="15.75" customHeight="1">
      <c r="D823" s="58"/>
    </row>
    <row r="824" spans="4:4" ht="15.75" customHeight="1">
      <c r="D824" s="58"/>
    </row>
    <row r="825" spans="4:4" ht="15.75" customHeight="1">
      <c r="D825" s="58"/>
    </row>
    <row r="826" spans="4:4" ht="15.75" customHeight="1">
      <c r="D826" s="58"/>
    </row>
    <row r="827" spans="4:4" ht="15.75" customHeight="1">
      <c r="D827" s="58"/>
    </row>
    <row r="828" spans="4:4" ht="15.75" customHeight="1">
      <c r="D828" s="58"/>
    </row>
    <row r="829" spans="4:4" ht="15.75" customHeight="1">
      <c r="D829" s="58"/>
    </row>
    <row r="830" spans="4:4" ht="15.75" customHeight="1">
      <c r="D830" s="58"/>
    </row>
    <row r="831" spans="4:4" ht="15.75" customHeight="1">
      <c r="D831" s="58"/>
    </row>
    <row r="832" spans="4:4" ht="15.75" customHeight="1">
      <c r="D832" s="58"/>
    </row>
    <row r="833" spans="4:4" ht="15.75" customHeight="1">
      <c r="D833" s="58"/>
    </row>
    <row r="834" spans="4:4" ht="15.75" customHeight="1">
      <c r="D834" s="58"/>
    </row>
    <row r="835" spans="4:4" ht="15.75" customHeight="1">
      <c r="D835" s="58"/>
    </row>
    <row r="836" spans="4:4" ht="15.75" customHeight="1">
      <c r="D836" s="58"/>
    </row>
    <row r="837" spans="4:4" ht="15.75" customHeight="1">
      <c r="D837" s="58"/>
    </row>
    <row r="838" spans="4:4" ht="15.75" customHeight="1">
      <c r="D838" s="58"/>
    </row>
    <row r="839" spans="4:4" ht="15.75" customHeight="1">
      <c r="D839" s="58"/>
    </row>
    <row r="840" spans="4:4" ht="15.75" customHeight="1">
      <c r="D840" s="58"/>
    </row>
    <row r="841" spans="4:4" ht="15.75" customHeight="1">
      <c r="D841" s="58"/>
    </row>
    <row r="842" spans="4:4" ht="15.75" customHeight="1">
      <c r="D842" s="58"/>
    </row>
    <row r="843" spans="4:4" ht="15.75" customHeight="1">
      <c r="D843" s="58"/>
    </row>
    <row r="844" spans="4:4" ht="15.75" customHeight="1">
      <c r="D844" s="58"/>
    </row>
    <row r="845" spans="4:4" ht="15.75" customHeight="1">
      <c r="D845" s="58"/>
    </row>
    <row r="846" spans="4:4" ht="15.75" customHeight="1">
      <c r="D846" s="58"/>
    </row>
    <row r="847" spans="4:4" ht="15.75" customHeight="1">
      <c r="D847" s="58"/>
    </row>
    <row r="848" spans="4:4" ht="15.75" customHeight="1">
      <c r="D848" s="58"/>
    </row>
    <row r="849" spans="4:4" ht="15.75" customHeight="1">
      <c r="D849" s="58"/>
    </row>
    <row r="850" spans="4:4" ht="15.75" customHeight="1">
      <c r="D850" s="58"/>
    </row>
    <row r="851" spans="4:4" ht="15.75" customHeight="1">
      <c r="D851" s="58"/>
    </row>
    <row r="852" spans="4:4" ht="15.75" customHeight="1">
      <c r="D852" s="58"/>
    </row>
    <row r="853" spans="4:4" ht="15.75" customHeight="1">
      <c r="D853" s="58"/>
    </row>
    <row r="854" spans="4:4" ht="15.75" customHeight="1">
      <c r="D854" s="58"/>
    </row>
    <row r="855" spans="4:4" ht="15.75" customHeight="1">
      <c r="D855" s="58"/>
    </row>
    <row r="856" spans="4:4" ht="15.75" customHeight="1">
      <c r="D856" s="58"/>
    </row>
    <row r="857" spans="4:4" ht="15.75" customHeight="1">
      <c r="D857" s="58"/>
    </row>
    <row r="858" spans="4:4" ht="15.75" customHeight="1">
      <c r="D858" s="58"/>
    </row>
    <row r="859" spans="4:4" ht="15.75" customHeight="1">
      <c r="D859" s="58"/>
    </row>
    <row r="860" spans="4:4" ht="15.75" customHeight="1">
      <c r="D860" s="58"/>
    </row>
    <row r="861" spans="4:4" ht="15.75" customHeight="1">
      <c r="D861" s="58"/>
    </row>
    <row r="862" spans="4:4" ht="15.75" customHeight="1">
      <c r="D862" s="58"/>
    </row>
    <row r="863" spans="4:4" ht="15.75" customHeight="1">
      <c r="D863" s="58"/>
    </row>
    <row r="864" spans="4:4" ht="15.75" customHeight="1">
      <c r="D864" s="58"/>
    </row>
    <row r="865" spans="4:4" ht="15.75" customHeight="1">
      <c r="D865" s="58"/>
    </row>
    <row r="866" spans="4:4" ht="15.75" customHeight="1">
      <c r="D866" s="58"/>
    </row>
    <row r="867" spans="4:4" ht="15.75" customHeight="1">
      <c r="D867" s="58"/>
    </row>
    <row r="868" spans="4:4" ht="15.75" customHeight="1">
      <c r="D868" s="58"/>
    </row>
    <row r="869" spans="4:4" ht="15.75" customHeight="1">
      <c r="D869" s="58"/>
    </row>
    <row r="870" spans="4:4" ht="15.75" customHeight="1">
      <c r="D870" s="58"/>
    </row>
    <row r="871" spans="4:4" ht="15.75" customHeight="1">
      <c r="D871" s="58"/>
    </row>
    <row r="872" spans="4:4" ht="15.75" customHeight="1">
      <c r="D872" s="58"/>
    </row>
    <row r="873" spans="4:4" ht="15.75" customHeight="1">
      <c r="D873" s="58"/>
    </row>
    <row r="874" spans="4:4" ht="15.75" customHeight="1">
      <c r="D874" s="58"/>
    </row>
  </sheetData>
  <mergeCells count="4">
    <mergeCell ref="B2:E2"/>
    <mergeCell ref="B3:B4"/>
    <mergeCell ref="C3:C4"/>
    <mergeCell ref="D3:E3"/>
  </mergeCells>
  <phoneticPr fontId="31" type="noConversion"/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64b1f61-af5a-4604-8e0c-bc4fb696e991">
      <Terms xmlns="http://schemas.microsoft.com/office/infopath/2007/PartnerControls"/>
    </lcf76f155ced4ddcb4097134ff3c332f>
    <TaxCatchAll xmlns="2d0c65ad-883a-4e52-ab3f-10f07b74bb0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BC705FAE2E5DE6448A9E0656EFB92063" ma:contentTypeVersion="16" ma:contentTypeDescription="새 문서를 만듭니다." ma:contentTypeScope="" ma:versionID="e5e4cfaf102a44373d6e4ac9385a587b">
  <xsd:schema xmlns:xsd="http://www.w3.org/2001/XMLSchema" xmlns:xs="http://www.w3.org/2001/XMLSchema" xmlns:p="http://schemas.microsoft.com/office/2006/metadata/properties" xmlns:ns2="b64b1f61-af5a-4604-8e0c-bc4fb696e991" xmlns:ns3="2d0c65ad-883a-4e52-ab3f-10f07b74bb01" targetNamespace="http://schemas.microsoft.com/office/2006/metadata/properties" ma:root="true" ma:fieldsID="103b71b7520dc2a8440241ef25b00005" ns2:_="" ns3:_="">
    <xsd:import namespace="b64b1f61-af5a-4604-8e0c-bc4fb696e991"/>
    <xsd:import namespace="2d0c65ad-883a-4e52-ab3f-10f07b74bb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b1f61-af5a-4604-8e0c-bc4fb696e9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이미지 태그" ma:readOnly="false" ma:fieldId="{5cf76f15-5ced-4ddc-b409-7134ff3c332f}" ma:taxonomyMulti="true" ma:sspId="f2af6553-ef47-49da-b921-594a0caa602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0c65ad-883a-4e52-ab3f-10f07b74bb0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640295c-dc62-4a81-9242-372374ab7b50}" ma:internalName="TaxCatchAll" ma:showField="CatchAllData" ma:web="2d0c65ad-883a-4e52-ab3f-10f07b74bb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1780DB9-A6DF-499C-9451-390FDF3AA077}">
  <ds:schemaRefs>
    <ds:schemaRef ds:uri="http://schemas.microsoft.com/office/2006/metadata/properties"/>
    <ds:schemaRef ds:uri="http://schemas.microsoft.com/office/infopath/2007/PartnerControls"/>
    <ds:schemaRef ds:uri="b64b1f61-af5a-4604-8e0c-bc4fb696e991"/>
    <ds:schemaRef ds:uri="2d0c65ad-883a-4e52-ab3f-10f07b74bb01"/>
  </ds:schemaRefs>
</ds:datastoreItem>
</file>

<file path=customXml/itemProps2.xml><?xml version="1.0" encoding="utf-8"?>
<ds:datastoreItem xmlns:ds="http://schemas.openxmlformats.org/officeDocument/2006/customXml" ds:itemID="{5C3362E8-2866-4CF9-A4F9-729256470FE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C784CF0-0124-4144-92EF-289EF01F09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b1f61-af5a-4604-8e0c-bc4fb696e991"/>
    <ds:schemaRef ds:uri="2d0c65ad-883a-4e52-ab3f-10f07b74bb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1. 과정정보</vt:lpstr>
      <vt:lpstr>2. 시간표</vt:lpstr>
      <vt:lpstr>7. 지급표 및 강사정보</vt:lpstr>
      <vt:lpstr>(참고)교과목정보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채송화</dc:creator>
  <cp:keywords/>
  <dc:description/>
  <cp:lastModifiedBy>수호 김</cp:lastModifiedBy>
  <cp:revision/>
  <dcterms:created xsi:type="dcterms:W3CDTF">2024-03-18T04:42:49Z</dcterms:created>
  <dcterms:modified xsi:type="dcterms:W3CDTF">2026-03-09T04:20:51Z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0x010100BC705FAE2E5DE6448A9E0656EFB92063</vt:lpwstr>
  </property>
  <property fmtid="{D5CDD505-2E9C-101B-9397-08002B2CF9AE}" pid="3" name="MediaServiceImageTags">
    <vt:lpwstr/>
  </property>
</Properties>
</file>